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2"/>
    <sheet name="flux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<sst xmlns="http://schemas.openxmlformats.org/spreadsheetml/2006/main" count="71" uniqueCount="61">
  <si>
    <t xml:space="preserve">Parameter</t>
  </si>
  <si>
    <t xml:space="preserve">Unit</t>
  </si>
  <si>
    <t xml:space="preserve">Value</t>
  </si>
  <si>
    <t xml:space="preserve">Cultivation</t>
  </si>
  <si>
    <t xml:space="preserve">-</t>
  </si>
  <si>
    <t xml:space="preserve">SF72</t>
  </si>
  <si>
    <t xml:space="preserve">Samples collected</t>
  </si>
  <si>
    <t xml:space="preserve">September - December 2023</t>
  </si>
  <si>
    <t xml:space="preserve">Reactor volume</t>
  </si>
  <si>
    <t xml:space="preserve">L</t>
  </si>
  <si>
    <t xml:space="preserve">Agitation</t>
  </si>
  <si>
    <t xml:space="preserve">rpm</t>
  </si>
  <si>
    <t xml:space="preserve">900 (3x radial turbine, D=75mm)</t>
  </si>
  <si>
    <t xml:space="preserve">Pressure</t>
  </si>
  <si>
    <t xml:space="preserve">bar(g)</t>
  </si>
  <si>
    <t xml:space="preserve">Data averaging</t>
  </si>
  <si>
    <t xml:space="preserve">Average of +/- 30min from sampling time (for continuous measurements)</t>
  </si>
  <si>
    <t xml:space="preserve">Variable</t>
  </si>
  <si>
    <t xml:space="preserve">Description</t>
  </si>
  <si>
    <t xml:space="preserve">Growth</t>
  </si>
  <si>
    <t xml:space="preserve">h-1</t>
  </si>
  <si>
    <t xml:space="preserve">dilution rate (from outlet flow: Fout/Volume)</t>
  </si>
  <si>
    <t xml:space="preserve">sampleDS</t>
  </si>
  <si>
    <t xml:space="preserve">%</t>
  </si>
  <si>
    <t xml:space="preserve">manual sample dry solids</t>
  </si>
  <si>
    <t xml:space="preserve">H2consumption</t>
  </si>
  <si>
    <t xml:space="preserve">l/min</t>
  </si>
  <si>
    <t xml:space="preserve">calculated value from gasflows</t>
  </si>
  <si>
    <t xml:space="preserve">O2consumption</t>
  </si>
  <si>
    <t xml:space="preserve">CO2consumption</t>
  </si>
  <si>
    <t xml:space="preserve">EX_[co2/o2/h2]_e</t>
  </si>
  <si>
    <t xml:space="preserve">mmol/gCDW/h</t>
  </si>
  <si>
    <t xml:space="preserve">calculated value from consumption, sample DS and growth</t>
  </si>
  <si>
    <t xml:space="preserve">Group name </t>
  </si>
  <si>
    <t xml:space="preserve">Sample name </t>
  </si>
  <si>
    <t xml:space="preserve">EX_h2_e</t>
  </si>
  <si>
    <t xml:space="preserve">EX_o2_e</t>
  </si>
  <si>
    <t xml:space="preserve">EX_co2_e</t>
  </si>
  <si>
    <t xml:space="preserve">D1</t>
  </si>
  <si>
    <t xml:space="preserve">SF72-99 </t>
  </si>
  <si>
    <t xml:space="preserve">SF72-107 </t>
  </si>
  <si>
    <t xml:space="preserve">SF72-108 </t>
  </si>
  <si>
    <t xml:space="preserve">D2</t>
  </si>
  <si>
    <t xml:space="preserve">SF72-120 </t>
  </si>
  <si>
    <t xml:space="preserve">SF72-121 </t>
  </si>
  <si>
    <t xml:space="preserve">SF72-122 </t>
  </si>
  <si>
    <t xml:space="preserve">D3</t>
  </si>
  <si>
    <t xml:space="preserve">SF72-134 </t>
  </si>
  <si>
    <t xml:space="preserve">SF72-135 </t>
  </si>
  <si>
    <t xml:space="preserve">SF72-136 </t>
  </si>
  <si>
    <t xml:space="preserve">D4</t>
  </si>
  <si>
    <t xml:space="preserve">SF72-150 </t>
  </si>
  <si>
    <t xml:space="preserve">SF72-153 </t>
  </si>
  <si>
    <t xml:space="preserve">SF72-155 </t>
  </si>
  <si>
    <t xml:space="preserve">D5</t>
  </si>
  <si>
    <t xml:space="preserve">SF72-169 </t>
  </si>
  <si>
    <t xml:space="preserve">SF72-170 </t>
  </si>
  <si>
    <t xml:space="preserve">SF72-171 </t>
  </si>
  <si>
    <t xml:space="preserve">D6</t>
  </si>
  <si>
    <t xml:space="preserve">SF72-178 </t>
  </si>
  <si>
    <t xml:space="preserve">SF72-182 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</si>
</sst>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8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justify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D11" activeCellId="0" sqref="D1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3" style="0" width="14.86"/>
    <col collapsed="false" customWidth="true" hidden="false" outlineLevel="0" max="4" min="4" style="0" width="15"/>
    <col collapsed="false" customWidth="true" hidden="false" outlineLevel="0" max="5" min="5" style="0" width="16.14"/>
    <col collapsed="false" customWidth="true" hidden="false" outlineLevel="0" max="7" min="6" style="0" width="11.71"/>
    <col collapsed="false" customWidth="true" hidden="false" outlineLevel="0" max="8" min="8" style="0" width="12.42"/>
    <col collapsed="false" customWidth="true" hidden="false" outlineLevel="0" max="9" min="9" style="0" width="13.7"/>
    <col collapsed="false" customWidth="true" hidden="false" outlineLevel="0" max="10" min="10" style="0" width="10.29"/>
    <col collapsed="false" customWidth="true" hidden="false" outlineLevel="0" max="11" min="11" style="0" width="9.85"/>
    <col collapsed="false" customWidth="true" hidden="false" outlineLevel="0" max="12" min="12" style="0" width="15"/>
    <col collapsed="false" customWidth="true" hidden="false" outlineLevel="0" max="13" min="13" style="0" width="15.15"/>
    <col collapsed="false" customWidth="true" hidden="false" outlineLevel="0" max="14" min="14" style="0" width="16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/>
    </row>
    <row r="2" customFormat="false" ht="15" hidden="false" customHeight="false" outlineLevel="0" collapsed="false">
      <c r="A2" s="0" t="s">
        <v>3</v>
      </c>
      <c r="B2" s="2" t="s">
        <v>4</v>
      </c>
      <c r="C2" s="0" t="s">
        <v>5</v>
      </c>
    </row>
    <row r="3" customFormat="false" ht="15" hidden="false" customHeight="false" outlineLevel="0" collapsed="false">
      <c r="A3" s="2" t="s">
        <v>6</v>
      </c>
      <c r="B3" s="2"/>
      <c r="C3" s="2" t="s">
        <v>7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n">
        <v>9</v>
      </c>
    </row>
    <row r="5" customFormat="false" ht="15" hidden="false" customHeight="false" outlineLevel="0" collapsed="false">
      <c r="A5" s="2" t="s">
        <v>10</v>
      </c>
      <c r="B5" s="2" t="s">
        <v>11</v>
      </c>
      <c r="C5" s="0" t="s">
        <v>12</v>
      </c>
      <c r="D5" s="2"/>
    </row>
    <row r="6" customFormat="false" ht="15" hidden="false" customHeight="false" outlineLevel="0" collapsed="false">
      <c r="A6" s="2" t="s">
        <v>13</v>
      </c>
      <c r="B6" s="2" t="s">
        <v>14</v>
      </c>
      <c r="C6" s="0" t="n">
        <v>0.8</v>
      </c>
    </row>
    <row r="7" customFormat="false" ht="15" hidden="false" customHeight="false" outlineLevel="0" collapsed="false">
      <c r="A7" s="0" t="s">
        <v>15</v>
      </c>
      <c r="C7" s="0" t="s">
        <v>16</v>
      </c>
    </row>
    <row r="8" customFormat="false" ht="15" hidden="false" customHeight="false" outlineLevel="0" collapsed="false">
      <c r="A8" s="1" t="s">
        <v>17</v>
      </c>
      <c r="B8" s="1" t="s">
        <v>1</v>
      </c>
      <c r="C8" s="1" t="s">
        <v>18</v>
      </c>
    </row>
    <row r="9" customFormat="false" ht="15" hidden="false" customHeight="false" outlineLevel="0" collapsed="false">
      <c r="A9" s="0" t="s">
        <v>19</v>
      </c>
      <c r="B9" s="2" t="s">
        <v>20</v>
      </c>
      <c r="C9" s="0" t="s">
        <v>21</v>
      </c>
      <c r="D9" s="2"/>
    </row>
    <row r="10" customFormat="false" ht="15" hidden="false" customHeight="false" outlineLevel="0" collapsed="false">
      <c r="A10" s="0" t="s">
        <v>22</v>
      </c>
      <c r="B10" s="2" t="s">
        <v>23</v>
      </c>
      <c r="C10" s="0" t="s">
        <v>24</v>
      </c>
      <c r="D10" s="2"/>
    </row>
    <row r="11" customFormat="false" ht="15" hidden="false" customHeight="false" outlineLevel="0" collapsed="false">
      <c r="A11" s="0" t="s">
        <v>25</v>
      </c>
      <c r="B11" s="2" t="s">
        <v>26</v>
      </c>
      <c r="C11" s="0" t="s">
        <v>27</v>
      </c>
      <c r="D11" s="2"/>
    </row>
    <row r="12" customFormat="false" ht="13.8" hidden="false" customHeight="false" outlineLevel="0" collapsed="false">
      <c r="A12" s="0" t="s">
        <v>28</v>
      </c>
      <c r="B12" s="2" t="s">
        <v>26</v>
      </c>
      <c r="C12" s="0" t="s">
        <v>27</v>
      </c>
      <c r="D12" s="2"/>
    </row>
    <row r="13" customFormat="false" ht="13.8" hidden="false" customHeight="false" outlineLevel="0" collapsed="false">
      <c r="A13" s="0" t="s">
        <v>29</v>
      </c>
      <c r="B13" s="2" t="s">
        <v>26</v>
      </c>
      <c r="C13" s="0" t="s">
        <v>27</v>
      </c>
      <c r="D13" s="2"/>
    </row>
    <row r="14" customFormat="false" ht="13.8" hidden="false" customHeight="false" outlineLevel="0" collapsed="false">
      <c r="A14" s="0" t="s">
        <v>30</v>
      </c>
      <c r="B14" s="2" t="s">
        <v>31</v>
      </c>
      <c r="C14" s="0" t="s">
        <v>32</v>
      </c>
      <c r="D14" s="2"/>
    </row>
    <row r="15" customFormat="false" ht="13.8" hidden="false" customHeight="false" outlineLevel="0" collapsed="false">
      <c r="B15" s="2"/>
      <c r="D15" s="2"/>
    </row>
    <row r="16" customFormat="false" ht="13.8" hidden="false" customHeight="false" outlineLevel="0" collapsed="false">
      <c r="B16" s="2"/>
      <c r="D16" s="2"/>
    </row>
    <row r="17" customFormat="false" ht="13.8" hidden="false" customHeight="false" outlineLevel="0" collapsed="false">
      <c r="B17" s="2"/>
      <c r="D17" s="2"/>
    </row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953125" defaultRowHeight="13.8" zeroHeight="false" outlineLevelRow="0" outlineLevelCol="0"/>
  <cols>
    <col collapsed="false" customWidth="true" hidden="false" outlineLevel="0" max="3" min="3" style="0" width="7.41"/>
    <col collapsed="false" customWidth="true" hidden="false" outlineLevel="0" max="4" min="4" style="0" width="9.85"/>
    <col collapsed="false" customWidth="true" hidden="false" outlineLevel="0" max="5" min="5" style="0" width="15"/>
    <col collapsed="false" customWidth="true" hidden="false" outlineLevel="0" max="6" min="6" style="0" width="15.15"/>
    <col collapsed="false" customWidth="true" hidden="false" outlineLevel="0" max="7" min="7" style="0" width="16.29"/>
    <col collapsed="false" customWidth="true" hidden="false" outlineLevel="0" max="8" min="8" style="0" width="13.57"/>
    <col collapsed="false" customWidth="true" hidden="false" outlineLevel="0" max="9" min="9" style="0" width="18.13"/>
    <col collapsed="false" customWidth="true" hidden="false" outlineLevel="0" max="10" min="10" style="0" width="18.58"/>
    <col collapsed="false" customWidth="true" hidden="false" outlineLevel="0" max="1024" min="1006" style="0" width="11.52"/>
  </cols>
  <sheetData>
    <row r="1" customFormat="false" ht="13.8" hidden="false" customHeight="false" outlineLevel="0" collapsed="false">
      <c r="A1" s="3" t="s">
        <v>33</v>
      </c>
      <c r="B1" s="3" t="s">
        <v>34</v>
      </c>
      <c r="C1" s="3" t="s">
        <v>19</v>
      </c>
      <c r="D1" s="3" t="s">
        <v>22</v>
      </c>
      <c r="E1" s="3" t="s">
        <v>25</v>
      </c>
      <c r="F1" s="3" t="s">
        <v>28</v>
      </c>
      <c r="G1" s="3" t="s">
        <v>29</v>
      </c>
      <c r="H1" s="3" t="s">
        <v>35</v>
      </c>
      <c r="I1" s="3" t="s">
        <v>36</v>
      </c>
      <c r="J1" s="3" t="s">
        <v>37</v>
      </c>
    </row>
    <row r="2" customFormat="false" ht="13.8" hidden="false" customHeight="false" outlineLevel="0" collapsed="false">
      <c r="A2" s="4" t="s">
        <v>38</v>
      </c>
      <c r="B2" s="5" t="s">
        <v>39</v>
      </c>
      <c r="C2" s="6" t="n">
        <v>0.0463331648947161</v>
      </c>
      <c r="D2" s="6" t="n">
        <v>2.424</v>
      </c>
      <c r="E2" s="6" t="n">
        <v>1.58178089974623</v>
      </c>
      <c r="F2" s="6" t="n">
        <v>0.561223054820528</v>
      </c>
      <c r="G2" s="6" t="n">
        <v>0.204692964449632</v>
      </c>
      <c r="H2" s="6" t="n">
        <f aca="false">(((E2/22.4)*60)*1000)/($D2*10*9)</f>
        <v>19.4211272658611</v>
      </c>
      <c r="I2" s="6" t="n">
        <f aca="false">(((F2/22.4)*60)*1000)/($D2*10*9)</f>
        <v>6.89070425237369</v>
      </c>
      <c r="J2" s="6" t="n">
        <f aca="false">(((G2/22.4)*60)*1000)/($D2*10*9)</f>
        <v>2.51322298406844</v>
      </c>
    </row>
    <row r="3" customFormat="false" ht="13.8" hidden="false" customHeight="false" outlineLevel="0" collapsed="false">
      <c r="A3" s="4"/>
      <c r="B3" s="0" t="s">
        <v>40</v>
      </c>
      <c r="C3" s="6" t="n">
        <v>0.0460384365791236</v>
      </c>
      <c r="D3" s="6" t="n">
        <v>2.435</v>
      </c>
      <c r="E3" s="6" t="n">
        <v>1.566231610892</v>
      </c>
      <c r="F3" s="6" t="n">
        <v>0.557328540097615</v>
      </c>
      <c r="G3" s="6" t="n">
        <v>0.201264814092348</v>
      </c>
      <c r="H3" s="6" t="n">
        <v>19.1433412888922</v>
      </c>
      <c r="I3" s="6" t="n">
        <v>6.81197492052429</v>
      </c>
      <c r="J3" s="6" t="n">
        <v>2.45996888252112</v>
      </c>
    </row>
    <row r="4" customFormat="false" ht="13.8" hidden="false" customHeight="false" outlineLevel="0" collapsed="false">
      <c r="A4" s="4"/>
      <c r="B4" s="0" t="s">
        <v>41</v>
      </c>
      <c r="C4" s="6" t="n">
        <v>0.0461093202580483</v>
      </c>
      <c r="D4" s="6" t="n">
        <v>2.351</v>
      </c>
      <c r="E4" s="6" t="n">
        <v>1.57228019165769</v>
      </c>
      <c r="F4" s="6" t="n">
        <v>0.558929489840725</v>
      </c>
      <c r="G4" s="6" t="n">
        <v>0.201862719813061</v>
      </c>
      <c r="H4" s="6" t="n">
        <v>19.9038933743707</v>
      </c>
      <c r="I4" s="6" t="n">
        <v>7.07563004902581</v>
      </c>
      <c r="J4" s="6" t="n">
        <v>2.55543132371561</v>
      </c>
    </row>
    <row r="5" customFormat="false" ht="13.8" hidden="false" customHeight="false" outlineLevel="0" collapsed="false">
      <c r="A5" s="7" t="s">
        <v>42</v>
      </c>
      <c r="B5" s="0" t="s">
        <v>43</v>
      </c>
      <c r="C5" s="6" t="n">
        <v>0.0338141428042361</v>
      </c>
      <c r="D5" s="6" t="n">
        <v>2.495</v>
      </c>
      <c r="E5" s="6" t="n">
        <v>1.45764486372765</v>
      </c>
      <c r="F5" s="6" t="n">
        <v>0.529739238034191</v>
      </c>
      <c r="G5" s="6" t="n">
        <v>0.172509333975864</v>
      </c>
      <c r="H5" s="6" t="n">
        <v>17.3876904252272</v>
      </c>
      <c r="I5" s="6" t="n">
        <v>6.31905761563831</v>
      </c>
      <c r="J5" s="6" t="n">
        <v>2.05779814361895</v>
      </c>
    </row>
    <row r="6" customFormat="false" ht="13.8" hidden="false" customHeight="false" outlineLevel="0" collapsed="false">
      <c r="A6" s="7"/>
      <c r="B6" s="0" t="s">
        <v>44</v>
      </c>
      <c r="C6" s="6" t="n">
        <v>0.0359832921161398</v>
      </c>
      <c r="D6" s="6" t="n">
        <v>2.484</v>
      </c>
      <c r="E6" s="6" t="n">
        <v>1.45844538230777</v>
      </c>
      <c r="F6" s="6" t="n">
        <v>0.529865414869153</v>
      </c>
      <c r="G6" s="6" t="n">
        <v>0.172613555282088</v>
      </c>
      <c r="H6" s="6" t="n">
        <v>17.4742804221754</v>
      </c>
      <c r="I6" s="6" t="n">
        <v>6.34855234056478</v>
      </c>
      <c r="J6" s="6" t="n">
        <v>2.06815949795463</v>
      </c>
    </row>
    <row r="7" customFormat="false" ht="13.8" hidden="false" customHeight="false" outlineLevel="0" collapsed="false">
      <c r="A7" s="7"/>
      <c r="B7" s="0" t="s">
        <v>45</v>
      </c>
      <c r="C7" s="6" t="n">
        <v>0.0359832921161398</v>
      </c>
      <c r="D7" s="6" t="n">
        <v>2.515</v>
      </c>
      <c r="E7" s="6" t="n">
        <v>1.46018398181749</v>
      </c>
      <c r="F7" s="6" t="n">
        <v>0.530525439929762</v>
      </c>
      <c r="G7" s="6" t="n">
        <v>0.17318473940029</v>
      </c>
      <c r="H7" s="6" t="n">
        <v>17.2794658456107</v>
      </c>
      <c r="I7" s="6" t="n">
        <v>6.27811038447602</v>
      </c>
      <c r="J7" s="6" t="n">
        <v>2.04942652892514</v>
      </c>
    </row>
    <row r="8" customFormat="false" ht="13.8" hidden="false" customHeight="false" outlineLevel="0" collapsed="false">
      <c r="A8" s="7" t="s">
        <v>46</v>
      </c>
      <c r="B8" s="0" t="s">
        <v>47</v>
      </c>
      <c r="C8" s="6" t="n">
        <v>0.026490651372406</v>
      </c>
      <c r="D8" s="6" t="n">
        <v>2.625</v>
      </c>
      <c r="E8" s="6" t="n">
        <v>1.36109900252119</v>
      </c>
      <c r="F8" s="6" t="n">
        <v>0.513801661961425</v>
      </c>
      <c r="G8" s="6" t="n">
        <v>0.140540569287875</v>
      </c>
      <c r="H8" s="6" t="n">
        <v>15.4319614798321</v>
      </c>
      <c r="I8" s="6" t="n">
        <v>5.82541566849688</v>
      </c>
      <c r="J8" s="6" t="n">
        <v>1.59343049079223</v>
      </c>
    </row>
    <row r="9" customFormat="false" ht="13.8" hidden="false" customHeight="false" outlineLevel="0" collapsed="false">
      <c r="A9" s="7"/>
      <c r="B9" s="0" t="s">
        <v>48</v>
      </c>
      <c r="C9" s="6" t="n">
        <v>0.0262905370412442</v>
      </c>
      <c r="D9" s="6" t="n">
        <v>2.601</v>
      </c>
      <c r="E9" s="6" t="n">
        <v>1.36207257608783</v>
      </c>
      <c r="F9" s="6" t="n">
        <v>0.514431915584886</v>
      </c>
      <c r="G9" s="6" t="n">
        <v>0.140557030294497</v>
      </c>
      <c r="H9" s="6" t="n">
        <v>15.5854956894765</v>
      </c>
      <c r="I9" s="6" t="n">
        <v>5.88637973015056</v>
      </c>
      <c r="J9" s="6" t="n">
        <v>1.60832177979277</v>
      </c>
    </row>
    <row r="10" customFormat="false" ht="13.8" hidden="false" customHeight="false" outlineLevel="0" collapsed="false">
      <c r="A10" s="7"/>
      <c r="B10" s="0" t="s">
        <v>49</v>
      </c>
      <c r="C10" s="6" t="n">
        <v>0.0262905370412442</v>
      </c>
      <c r="D10" s="6" t="n">
        <v>2.566</v>
      </c>
      <c r="E10" s="6" t="n">
        <v>1.36802803292108</v>
      </c>
      <c r="F10" s="6" t="n">
        <v>0.515691623206322</v>
      </c>
      <c r="G10" s="6" t="n">
        <v>0.142200568298826</v>
      </c>
      <c r="H10" s="6" t="n">
        <v>15.8671551159054</v>
      </c>
      <c r="I10" s="6" t="n">
        <v>5.98128019344452</v>
      </c>
      <c r="J10" s="6" t="n">
        <v>1.64932181247014</v>
      </c>
    </row>
    <row r="11" customFormat="false" ht="13.8" hidden="false" customHeight="false" outlineLevel="0" collapsed="false">
      <c r="A11" s="7" t="s">
        <v>50</v>
      </c>
      <c r="B11" s="0" t="s">
        <v>51</v>
      </c>
      <c r="C11" s="6" t="n">
        <v>0.0208282160388255</v>
      </c>
      <c r="D11" s="6" t="n">
        <v>2.541</v>
      </c>
      <c r="E11" s="6" t="n">
        <v>1.32684324318362</v>
      </c>
      <c r="F11" s="6" t="n">
        <v>0.522048369871185</v>
      </c>
      <c r="G11" s="6" t="n">
        <v>0.122490490387818</v>
      </c>
      <c r="H11" s="6" t="n">
        <v>15.540882423301</v>
      </c>
      <c r="I11" s="6" t="n">
        <v>6.11458239481065</v>
      </c>
      <c r="J11" s="6" t="n">
        <v>1.43469118817837</v>
      </c>
    </row>
    <row r="12" customFormat="false" ht="13.8" hidden="false" customHeight="false" outlineLevel="0" collapsed="false">
      <c r="A12" s="7"/>
      <c r="B12" s="0" t="s">
        <v>52</v>
      </c>
      <c r="C12" s="6" t="n">
        <v>0.0211696284081858</v>
      </c>
      <c r="D12" s="6" t="n">
        <v>2.579</v>
      </c>
      <c r="E12" s="6" t="n">
        <v>1.2992267056267</v>
      </c>
      <c r="F12" s="6" t="n">
        <v>0.510824785181476</v>
      </c>
      <c r="G12" s="6" t="n">
        <v>0.119277219847563</v>
      </c>
      <c r="H12" s="6" t="n">
        <v>14.9931994870047</v>
      </c>
      <c r="I12" s="6" t="n">
        <v>5.89496650119874</v>
      </c>
      <c r="J12" s="6" t="n">
        <v>1.37647043713376</v>
      </c>
    </row>
    <row r="13" customFormat="false" ht="13.8" hidden="false" customHeight="false" outlineLevel="0" collapsed="false">
      <c r="A13" s="7"/>
      <c r="B13" s="0" t="s">
        <v>53</v>
      </c>
      <c r="C13" s="6" t="n">
        <v>0.020174615807333</v>
      </c>
      <c r="D13" s="6" t="n">
        <v>2.524</v>
      </c>
      <c r="E13" s="6" t="n">
        <v>1.32526396468443</v>
      </c>
      <c r="F13" s="6" t="n">
        <v>0.518287726740738</v>
      </c>
      <c r="G13" s="6" t="n">
        <v>0.125763204804338</v>
      </c>
      <c r="H13" s="6" t="n">
        <v>15.62693339989</v>
      </c>
      <c r="I13" s="6" t="n">
        <v>6.11142233063469</v>
      </c>
      <c r="J13" s="6" t="n">
        <v>1.48294474007078</v>
      </c>
    </row>
    <row r="14" customFormat="false" ht="13.8" hidden="false" customHeight="false" outlineLevel="0" collapsed="false">
      <c r="A14" s="7" t="s">
        <v>54</v>
      </c>
      <c r="B14" s="0" t="s">
        <v>55</v>
      </c>
      <c r="C14" s="6" t="n">
        <v>0.0214988924567923</v>
      </c>
      <c r="D14" s="6" t="n">
        <v>2.277</v>
      </c>
      <c r="E14" s="6" t="n">
        <v>1.47190442278104</v>
      </c>
      <c r="F14" s="6" t="n">
        <v>0.603335076686087</v>
      </c>
      <c r="G14" s="6" t="n">
        <v>0.12930603331976</v>
      </c>
      <c r="H14" s="6" t="n">
        <v>19.2387699821852</v>
      </c>
      <c r="I14" s="6" t="n">
        <v>7.88599081767582</v>
      </c>
      <c r="J14" s="6" t="n">
        <v>1.69011587562687</v>
      </c>
    </row>
    <row r="15" customFormat="false" ht="13.8" hidden="false" customHeight="false" outlineLevel="0" collapsed="false">
      <c r="A15" s="7"/>
      <c r="B15" s="0" t="s">
        <v>56</v>
      </c>
      <c r="C15" s="6" t="n">
        <v>0.0214988924567923</v>
      </c>
      <c r="D15" s="6" t="n">
        <v>2.459</v>
      </c>
      <c r="E15" s="6" t="n">
        <v>1.46918187574129</v>
      </c>
      <c r="F15" s="6" t="n">
        <v>0.60226559273962</v>
      </c>
      <c r="G15" s="6" t="n">
        <v>0.128415312830563</v>
      </c>
      <c r="H15" s="6" t="n">
        <v>17.7818833118052</v>
      </c>
      <c r="I15" s="6" t="n">
        <v>7.28937422224021</v>
      </c>
      <c r="J15" s="6" t="n">
        <v>1.55424331453169</v>
      </c>
    </row>
    <row r="16" customFormat="false" ht="13.8" hidden="false" customHeight="false" outlineLevel="0" collapsed="false">
      <c r="A16" s="7"/>
      <c r="B16" s="0" t="s">
        <v>57</v>
      </c>
      <c r="C16" s="6" t="n">
        <v>0.0214988924567923</v>
      </c>
      <c r="D16" s="6" t="n">
        <v>2.261</v>
      </c>
      <c r="E16" s="6" t="n">
        <v>1.48082795167</v>
      </c>
      <c r="F16" s="6" t="n">
        <v>0.605767936802129</v>
      </c>
      <c r="G16" s="6" t="n">
        <v>0.132772300544263</v>
      </c>
      <c r="H16" s="6" t="n">
        <v>19.492375261552</v>
      </c>
      <c r="I16" s="6" t="n">
        <v>7.97382027550664</v>
      </c>
      <c r="J16" s="6" t="n">
        <v>1.74770303574407</v>
      </c>
    </row>
    <row r="17" customFormat="false" ht="13.8" hidden="false" customHeight="false" outlineLevel="0" collapsed="false">
      <c r="A17" s="7" t="s">
        <v>58</v>
      </c>
      <c r="B17" s="0" t="s">
        <v>59</v>
      </c>
      <c r="C17" s="6" t="n">
        <v>0.0186968845742944</v>
      </c>
      <c r="D17" s="6" t="n">
        <v>2.459</v>
      </c>
      <c r="E17" s="6" t="n">
        <v>1.45357523111519</v>
      </c>
      <c r="F17" s="6" t="n">
        <v>0.605530990395999</v>
      </c>
      <c r="G17" s="6" t="n">
        <v>0.115546380947832</v>
      </c>
      <c r="H17" s="6" t="n">
        <v>17.592992107651</v>
      </c>
      <c r="I17" s="6" t="n">
        <v>7.32889616370378</v>
      </c>
      <c r="J17" s="6" t="n">
        <v>1.39848734662551</v>
      </c>
    </row>
    <row r="18" customFormat="false" ht="13.8" hidden="false" customHeight="false" outlineLevel="0" collapsed="false">
      <c r="A18" s="7"/>
      <c r="B18" s="0" t="s">
        <v>60</v>
      </c>
      <c r="C18" s="6" t="n">
        <v>0.0183671133209938</v>
      </c>
      <c r="D18" s="6" t="n">
        <v>2.455</v>
      </c>
      <c r="E18" s="6" t="n">
        <v>1.47064965521903</v>
      </c>
      <c r="F18" s="6" t="n">
        <v>0.606970979011025</v>
      </c>
      <c r="G18" s="6" t="n">
        <v>0.126334925114212</v>
      </c>
      <c r="H18" s="6" t="n">
        <v>17.8286496850333</v>
      </c>
      <c r="I18" s="6" t="n">
        <v>7.35829428536302</v>
      </c>
      <c r="J18" s="6" t="n">
        <v>1.53155519729187</v>
      </c>
    </row>
    <row r="19" customFormat="false" ht="13.8" hidden="false" customHeight="false" outlineLevel="0" collapsed="false">
      <c r="A19" s="8"/>
      <c r="B19" s="8"/>
    </row>
  </sheetData>
  <mergeCells count="6">
    <mergeCell ref="A2:A4"/>
    <mergeCell ref="A5:A7"/>
    <mergeCell ref="A8:A10"/>
    <mergeCell ref="A11:A13"/>
    <mergeCell ref="A14:A16"/>
    <mergeCell ref="A17:A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661ce3-2683-4bf9-9289-294c7bfab3a2" xsi:nil="true"/>
    <lcf76f155ced4ddcb4097134ff3c332f xmlns="66484ace-d928-4e65-ba92-ed7e9f2e823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AB0B5EC405FE48BFE4A2BF33C2612E" ma:contentTypeVersion="14" ma:contentTypeDescription="Create a new document." ma:contentTypeScope="" ma:versionID="accbfc248b953e96cdc18c40e9a283a7">
  <xsd:schema xmlns:xsd="http://www.w3.org/2001/XMLSchema" xmlns:xs="http://www.w3.org/2001/XMLSchema" xmlns:p="http://schemas.microsoft.com/office/2006/metadata/properties" xmlns:ns2="66484ace-d928-4e65-ba92-ed7e9f2e823d" xmlns:ns3="09661ce3-2683-4bf9-9289-294c7bfab3a2" targetNamespace="http://schemas.microsoft.com/office/2006/metadata/properties" ma:root="true" ma:fieldsID="005fe4654d6cc1acd4a6f2580ca83e9a" ns2:_="" ns3:_="">
    <xsd:import namespace="66484ace-d928-4e65-ba92-ed7e9f2e823d"/>
    <xsd:import namespace="09661ce3-2683-4bf9-9289-294c7bfab3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84ace-d928-4e65-ba92-ed7e9f2e82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30a464d-8088-473d-a813-aa74308d77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661ce3-2683-4bf9-9289-294c7bfab3a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da3f9f6-8c89-452c-b529-03fd48d3c39f}" ma:internalName="TaxCatchAll" ma:showField="CatchAllData" ma:web="09661ce3-2683-4bf9-9289-294c7bfab3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A94D0F-0FD3-40F6-A869-4D6A70F8648B}">
  <ds:schemaRefs>
    <ds:schemaRef ds:uri="http://schemas.microsoft.com/office/2006/metadata/properties"/>
    <ds:schemaRef ds:uri="http://schemas.microsoft.com/office/infopath/2007/PartnerControls"/>
    <ds:schemaRef ds:uri="09661ce3-2683-4bf9-9289-294c7bfab3a2"/>
    <ds:schemaRef ds:uri="66484ace-d928-4e65-ba92-ed7e9f2e823d"/>
  </ds:schemaRefs>
</ds:datastoreItem>
</file>

<file path=customXml/itemProps2.xml><?xml version="1.0" encoding="utf-8"?>
<ds:datastoreItem xmlns:ds="http://schemas.openxmlformats.org/officeDocument/2006/customXml" ds:itemID="{2E3C1807-4CF0-4EED-B76F-6A829F39C8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042DA7-1C81-4E3D-AB53-1640AF4714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484ace-d928-4e65-ba92-ed7e9f2e823d"/>
    <ds:schemaRef ds:uri="09661ce3-2683-4bf9-9289-294c7bfab3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2024-06-12T17:31:50Z</dcterms:created>
  <dc:creator/>
  <dc:description/>
  <dc:language>en-US</dc:language>
  <cp:lastModifiedBy/>
  <dcterms:modified xsi:type="dcterms:W3CDTF">2025-05-08T10:54:22Z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0x010100C5AB0B5EC405FE48BFE4A2BF33C2612E</vt:lpwstr>
  </property>
  <property fmtid="{D5CDD505-2E9C-101B-9397-08002B2CF9AE}" pid="3" name="MediaServiceImageTags">
    <vt:lpwstr/>
  </property>
</Properties>
</file>