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fo" sheetId="1" state="visible" r:id="rId2"/>
    <sheet name="data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<sst xmlns="http://schemas.openxmlformats.org/spreadsheetml/2006/main" count="122" uniqueCount="89">
  <si>
    <t xml:space="preserve">Parameter</t>
  </si>
  <si>
    <t xml:space="preserve">Unit</t>
  </si>
  <si>
    <t xml:space="preserve">Value</t>
  </si>
  <si>
    <t xml:space="preserve">Cultivation</t>
  </si>
  <si>
    <t xml:space="preserve">-</t>
  </si>
  <si>
    <t xml:space="preserve">SF72</t>
  </si>
  <si>
    <t xml:space="preserve">Samples collected</t>
  </si>
  <si>
    <t xml:space="preserve">September - December 2023</t>
  </si>
  <si>
    <t xml:space="preserve">Reactor volume</t>
  </si>
  <si>
    <t xml:space="preserve">L</t>
  </si>
  <si>
    <t xml:space="preserve">Agitation</t>
  </si>
  <si>
    <t xml:space="preserve">rpm</t>
  </si>
  <si>
    <t xml:space="preserve">900 (3x radial turbine, D=75mm)</t>
  </si>
  <si>
    <t xml:space="preserve">Pressure</t>
  </si>
  <si>
    <t xml:space="preserve">bar(g)</t>
  </si>
  <si>
    <t xml:space="preserve">Data averaging</t>
  </si>
  <si>
    <t xml:space="preserve">Average of +/- 30min from sampling time (for continuous measurements)</t>
  </si>
  <si>
    <t xml:space="preserve">Variable</t>
  </si>
  <si>
    <t xml:space="preserve">Description</t>
  </si>
  <si>
    <t xml:space="preserve">massFlowIn_H2</t>
  </si>
  <si>
    <t xml:space="preserve">l/min</t>
  </si>
  <si>
    <t xml:space="preserve">gas flow rate H2</t>
  </si>
  <si>
    <t xml:space="preserve">massFlowIn_O2</t>
  </si>
  <si>
    <t xml:space="preserve">gas flow rate O2</t>
  </si>
  <si>
    <t xml:space="preserve">massFlowIn_CO2</t>
  </si>
  <si>
    <t xml:space="preserve">gas flow rate CO2</t>
  </si>
  <si>
    <t xml:space="preserve">od</t>
  </si>
  <si>
    <t xml:space="preserve">AU</t>
  </si>
  <si>
    <t xml:space="preserve">turbidity probe</t>
  </si>
  <si>
    <t xml:space="preserve">pH</t>
  </si>
  <si>
    <t xml:space="preserve">pH probe</t>
  </si>
  <si>
    <t xml:space="preserve">DO</t>
  </si>
  <si>
    <t xml:space="preserve">%</t>
  </si>
  <si>
    <t xml:space="preserve">dissolved oxyen probe</t>
  </si>
  <si>
    <t xml:space="preserve">dilRate</t>
  </si>
  <si>
    <t xml:space="preserve">h-1</t>
  </si>
  <si>
    <t xml:space="preserve">dilution rate (from outlet flow: Fout/Volume)</t>
  </si>
  <si>
    <t xml:space="preserve">sampleOD</t>
  </si>
  <si>
    <t xml:space="preserve">manual sample OD600</t>
  </si>
  <si>
    <t xml:space="preserve">sampleDS</t>
  </si>
  <si>
    <t xml:space="preserve">manual sample dry solids</t>
  </si>
  <si>
    <t xml:space="preserve">H2consumption</t>
  </si>
  <si>
    <t xml:space="preserve">calculated value</t>
  </si>
  <si>
    <t xml:space="preserve">O2consumption</t>
  </si>
  <si>
    <t xml:space="preserve">CO2consumption</t>
  </si>
  <si>
    <t xml:space="preserve">H2/CO2</t>
  </si>
  <si>
    <t xml:space="preserve">O2/CO2</t>
  </si>
  <si>
    <t xml:space="preserve">H2/O2</t>
  </si>
  <si>
    <t xml:space="preserve">Rx</t>
  </si>
  <si>
    <t xml:space="preserve">g/l/h</t>
  </si>
  <si>
    <t xml:space="preserve">volumetric productivity, calculated value</t>
  </si>
  <si>
    <t xml:space="preserve">Flux theoretic is the theoretic conversion from  gas consumption to standard flux that can be used as a constraint in the model.</t>
  </si>
  <si>
    <t xml:space="preserve">Model flux are how much uptake flux the model have from the theoretic flux</t>
  </si>
  <si>
    <t xml:space="preserve">Group name </t>
  </si>
  <si>
    <t xml:space="preserve">Sample name </t>
  </si>
  <si>
    <t xml:space="preserve">H2 Flux theoretic</t>
  </si>
  <si>
    <t xml:space="preserve">O2 flux theoretic</t>
  </si>
  <si>
    <t xml:space="preserve">CO2 flux theoretic</t>
  </si>
  <si>
    <t xml:space="preserve">H2 Flux model</t>
  </si>
  <si>
    <t xml:space="preserve">O2 Flux model</t>
  </si>
  <si>
    <t xml:space="preserve">CO2 Flux model</t>
  </si>
  <si>
    <t xml:space="preserve">H2/CO2.1</t>
  </si>
  <si>
    <t xml:space="preserve">O2/CO2.1</t>
  </si>
  <si>
    <t xml:space="preserve">H2/O2.1</t>
  </si>
  <si>
    <t xml:space="preserve">model_growth_rate</t>
  </si>
  <si>
    <t xml:space="preserve">exp_dilRate</t>
  </si>
  <si>
    <t xml:space="preserve">D1</t>
  </si>
  <si>
    <t xml:space="preserve">SF72-99 </t>
  </si>
  <si>
    <t xml:space="preserve">SF72-107 </t>
  </si>
  <si>
    <t xml:space="preserve">SF72-108 </t>
  </si>
  <si>
    <t xml:space="preserve">D2</t>
  </si>
  <si>
    <t xml:space="preserve">SF72-120 </t>
  </si>
  <si>
    <t xml:space="preserve">SF72-121 </t>
  </si>
  <si>
    <t xml:space="preserve">SF72-122 </t>
  </si>
  <si>
    <t xml:space="preserve">D3</t>
  </si>
  <si>
    <t xml:space="preserve">SF72-134 </t>
  </si>
  <si>
    <t xml:space="preserve">SF72-135 </t>
  </si>
  <si>
    <t xml:space="preserve">SF72-136 </t>
  </si>
  <si>
    <t xml:space="preserve">D4</t>
  </si>
  <si>
    <t xml:space="preserve">SF72-150 </t>
  </si>
  <si>
    <t xml:space="preserve">SF72-153 </t>
  </si>
  <si>
    <t xml:space="preserve">SF72-155 </t>
  </si>
  <si>
    <t xml:space="preserve">D5</t>
  </si>
  <si>
    <t xml:space="preserve">SF72-169 </t>
  </si>
  <si>
    <t xml:space="preserve">SF72-170 </t>
  </si>
  <si>
    <t xml:space="preserve">SF72-171 </t>
  </si>
  <si>
    <t xml:space="preserve">D6</t>
  </si>
  <si>
    <t xml:space="preserve">SF72-178 </t>
  </si>
  <si>
    <t xml:space="preserve">SF72-182 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</si>
</sst>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.00"/>
  </numFmts>
  <fonts count="8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name val="Calibri"/>
      <family val="0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justify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23" activeCellId="0" sqref="A23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3" min="3" style="0" width="14.86"/>
    <col collapsed="false" customWidth="true" hidden="false" outlineLevel="0" max="4" min="4" style="0" width="15"/>
    <col collapsed="false" customWidth="true" hidden="false" outlineLevel="0" max="5" min="5" style="0" width="16.14"/>
    <col collapsed="false" customWidth="true" hidden="false" outlineLevel="0" max="7" min="6" style="0" width="11.71"/>
    <col collapsed="false" customWidth="true" hidden="false" outlineLevel="0" max="8" min="8" style="0" width="12.42"/>
    <col collapsed="false" customWidth="true" hidden="false" outlineLevel="0" max="9" min="9" style="0" width="13.7"/>
    <col collapsed="false" customWidth="true" hidden="false" outlineLevel="0" max="10" min="10" style="0" width="10.29"/>
    <col collapsed="false" customWidth="true" hidden="false" outlineLevel="0" max="11" min="11" style="0" width="9.85"/>
    <col collapsed="false" customWidth="true" hidden="false" outlineLevel="0" max="12" min="12" style="0" width="15"/>
    <col collapsed="false" customWidth="true" hidden="false" outlineLevel="0" max="13" min="13" style="0" width="15.15"/>
    <col collapsed="false" customWidth="true" hidden="false" outlineLevel="0" max="14" min="14" style="0" width="16.2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/>
    </row>
    <row r="2" customFormat="false" ht="15" hidden="false" customHeight="false" outlineLevel="0" collapsed="false">
      <c r="A2" s="0" t="s">
        <v>3</v>
      </c>
      <c r="B2" s="2" t="s">
        <v>4</v>
      </c>
      <c r="C2" s="0" t="s">
        <v>5</v>
      </c>
    </row>
    <row r="3" customFormat="false" ht="15" hidden="false" customHeight="false" outlineLevel="0" collapsed="false">
      <c r="A3" s="2" t="s">
        <v>6</v>
      </c>
      <c r="B3" s="2"/>
      <c r="C3" s="2" t="s">
        <v>7</v>
      </c>
    </row>
    <row r="4" customFormat="false" ht="15" hidden="false" customHeight="false" outlineLevel="0" collapsed="false">
      <c r="A4" s="0" t="s">
        <v>8</v>
      </c>
      <c r="B4" s="0" t="s">
        <v>9</v>
      </c>
      <c r="C4" s="0" t="n">
        <v>9</v>
      </c>
    </row>
    <row r="5" customFormat="false" ht="15" hidden="false" customHeight="false" outlineLevel="0" collapsed="false">
      <c r="A5" s="2" t="s">
        <v>10</v>
      </c>
      <c r="B5" s="2" t="s">
        <v>11</v>
      </c>
      <c r="C5" s="0" t="s">
        <v>12</v>
      </c>
      <c r="D5" s="2"/>
    </row>
    <row r="6" customFormat="false" ht="15" hidden="false" customHeight="false" outlineLevel="0" collapsed="false">
      <c r="A6" s="2" t="s">
        <v>13</v>
      </c>
      <c r="B6" s="2" t="s">
        <v>14</v>
      </c>
      <c r="C6" s="0" t="n">
        <v>0.8</v>
      </c>
    </row>
    <row r="7" customFormat="false" ht="15" hidden="false" customHeight="false" outlineLevel="0" collapsed="false">
      <c r="A7" s="0" t="s">
        <v>15</v>
      </c>
      <c r="C7" s="0" t="s">
        <v>16</v>
      </c>
    </row>
    <row r="8" customFormat="false" ht="15" hidden="false" customHeight="false" outlineLevel="0" collapsed="false">
      <c r="A8" s="1" t="s">
        <v>17</v>
      </c>
      <c r="B8" s="1" t="s">
        <v>1</v>
      </c>
      <c r="C8" s="1" t="s">
        <v>18</v>
      </c>
    </row>
    <row r="9" customFormat="false" ht="15" hidden="false" customHeight="false" outlineLevel="0" collapsed="false">
      <c r="A9" s="0" t="s">
        <v>19</v>
      </c>
      <c r="B9" s="2" t="s">
        <v>20</v>
      </c>
      <c r="C9" s="0" t="s">
        <v>21</v>
      </c>
      <c r="D9" s="2"/>
    </row>
    <row r="10" customFormat="false" ht="15" hidden="false" customHeight="false" outlineLevel="0" collapsed="false">
      <c r="A10" s="0" t="s">
        <v>22</v>
      </c>
      <c r="B10" s="2" t="s">
        <v>20</v>
      </c>
      <c r="C10" s="0" t="s">
        <v>23</v>
      </c>
      <c r="D10" s="2"/>
    </row>
    <row r="11" customFormat="false" ht="15" hidden="false" customHeight="false" outlineLevel="0" collapsed="false">
      <c r="A11" s="0" t="s">
        <v>24</v>
      </c>
      <c r="B11" s="2" t="s">
        <v>20</v>
      </c>
      <c r="C11" s="0" t="s">
        <v>25</v>
      </c>
      <c r="D11" s="2"/>
    </row>
    <row r="12" customFormat="false" ht="15" hidden="false" customHeight="false" outlineLevel="0" collapsed="false">
      <c r="A12" s="0" t="s">
        <v>26</v>
      </c>
      <c r="B12" s="2" t="s">
        <v>27</v>
      </c>
      <c r="C12" s="0" t="s">
        <v>28</v>
      </c>
      <c r="D12" s="2"/>
    </row>
    <row r="13" customFormat="false" ht="15" hidden="false" customHeight="false" outlineLevel="0" collapsed="false">
      <c r="A13" s="0" t="s">
        <v>29</v>
      </c>
      <c r="B13" s="2" t="s">
        <v>4</v>
      </c>
      <c r="C13" s="0" t="s">
        <v>30</v>
      </c>
      <c r="D13" s="2"/>
    </row>
    <row r="14" customFormat="false" ht="15" hidden="false" customHeight="false" outlineLevel="0" collapsed="false">
      <c r="A14" s="0" t="s">
        <v>31</v>
      </c>
      <c r="B14" s="2" t="s">
        <v>32</v>
      </c>
      <c r="C14" s="0" t="s">
        <v>33</v>
      </c>
      <c r="D14" s="2"/>
    </row>
    <row r="15" customFormat="false" ht="15" hidden="false" customHeight="false" outlineLevel="0" collapsed="false">
      <c r="A15" s="0" t="s">
        <v>34</v>
      </c>
      <c r="B15" s="2" t="s">
        <v>35</v>
      </c>
      <c r="C15" s="0" t="s">
        <v>36</v>
      </c>
      <c r="D15" s="2"/>
    </row>
    <row r="16" customFormat="false" ht="15" hidden="false" customHeight="false" outlineLevel="0" collapsed="false">
      <c r="A16" s="0" t="s">
        <v>37</v>
      </c>
      <c r="B16" s="2" t="s">
        <v>4</v>
      </c>
      <c r="C16" s="0" t="s">
        <v>38</v>
      </c>
      <c r="D16" s="2"/>
    </row>
    <row r="17" customFormat="false" ht="15" hidden="false" customHeight="false" outlineLevel="0" collapsed="false">
      <c r="A17" s="0" t="s">
        <v>39</v>
      </c>
      <c r="B17" s="2" t="s">
        <v>32</v>
      </c>
      <c r="C17" s="0" t="s">
        <v>40</v>
      </c>
      <c r="D17" s="2"/>
    </row>
    <row r="18" customFormat="false" ht="15" hidden="false" customHeight="false" outlineLevel="0" collapsed="false">
      <c r="A18" s="0" t="s">
        <v>41</v>
      </c>
      <c r="B18" s="2" t="s">
        <v>20</v>
      </c>
      <c r="C18" s="0" t="s">
        <v>42</v>
      </c>
      <c r="D18" s="2"/>
    </row>
    <row r="19" customFormat="false" ht="15" hidden="false" customHeight="false" outlineLevel="0" collapsed="false">
      <c r="A19" s="0" t="s">
        <v>43</v>
      </c>
      <c r="B19" s="2" t="s">
        <v>20</v>
      </c>
      <c r="C19" s="0" t="s">
        <v>42</v>
      </c>
      <c r="D19" s="2"/>
    </row>
    <row r="20" customFormat="false" ht="15" hidden="false" customHeight="false" outlineLevel="0" collapsed="false">
      <c r="A20" s="0" t="s">
        <v>44</v>
      </c>
      <c r="B20" s="2" t="s">
        <v>20</v>
      </c>
      <c r="C20" s="0" t="s">
        <v>42</v>
      </c>
      <c r="D20" s="2"/>
    </row>
    <row r="21" customFormat="false" ht="15" hidden="false" customHeight="false" outlineLevel="0" collapsed="false">
      <c r="A21" s="0" t="s">
        <v>45</v>
      </c>
      <c r="B21" s="2" t="s">
        <v>4</v>
      </c>
      <c r="C21" s="0" t="s">
        <v>42</v>
      </c>
      <c r="D21" s="2"/>
    </row>
    <row r="22" customFormat="false" ht="15" hidden="false" customHeight="false" outlineLevel="0" collapsed="false">
      <c r="A22" s="0" t="s">
        <v>46</v>
      </c>
      <c r="B22" s="2" t="s">
        <v>4</v>
      </c>
      <c r="C22" s="0" t="s">
        <v>42</v>
      </c>
      <c r="D22" s="2"/>
    </row>
    <row r="23" customFormat="false" ht="15" hidden="false" customHeight="false" outlineLevel="0" collapsed="false">
      <c r="A23" s="0" t="s">
        <v>47</v>
      </c>
      <c r="B23" s="2" t="s">
        <v>4</v>
      </c>
      <c r="C23" s="0" t="s">
        <v>42</v>
      </c>
      <c r="D23" s="2"/>
    </row>
    <row r="24" customFormat="false" ht="15" hidden="false" customHeight="false" outlineLevel="0" collapsed="false">
      <c r="A24" s="0" t="s">
        <v>48</v>
      </c>
      <c r="B24" s="2" t="s">
        <v>49</v>
      </c>
      <c r="C24" s="0" t="s">
        <v>50</v>
      </c>
      <c r="D24" s="2"/>
    </row>
    <row r="27" customFormat="false" ht="13.8" hidden="false" customHeight="false" outlineLevel="0" collapsed="false">
      <c r="A27" s="0" t="s">
        <v>51</v>
      </c>
    </row>
    <row r="28" customFormat="false" ht="13.8" hidden="false" customHeight="false" outlineLevel="0" collapsed="false">
      <c r="A28" s="0" t="s">
        <v>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" activeCellId="0" sqref="K2"/>
    </sheetView>
  </sheetViews>
  <sheetFormatPr defaultColWidth="8.6875" defaultRowHeight="15" zeroHeight="false" outlineLevelRow="0" outlineLevelCol="0"/>
  <cols>
    <col collapsed="false" customWidth="true" hidden="false" outlineLevel="0" max="3" min="3" style="0" width="14.86"/>
    <col collapsed="false" customWidth="true" hidden="false" outlineLevel="0" max="4" min="4" style="0" width="15"/>
    <col collapsed="false" customWidth="true" hidden="false" outlineLevel="0" max="5" min="5" style="0" width="16.14"/>
    <col collapsed="false" customWidth="true" hidden="false" outlineLevel="0" max="6" min="6" style="0" width="7.64"/>
    <col collapsed="false" customWidth="true" hidden="false" outlineLevel="0" max="7" min="7" style="0" width="7.92"/>
    <col collapsed="false" customWidth="true" hidden="false" outlineLevel="0" max="8" min="8" style="0" width="9.31"/>
    <col collapsed="false" customWidth="true" hidden="false" outlineLevel="0" max="9" min="9" style="0" width="7.42"/>
    <col collapsed="false" customWidth="true" hidden="false" outlineLevel="0" max="10" min="10" style="0" width="10.29"/>
    <col collapsed="false" customWidth="true" hidden="false" outlineLevel="0" max="11" min="11" style="0" width="9.85"/>
    <col collapsed="false" customWidth="true" hidden="false" outlineLevel="0" max="12" min="12" style="0" width="15"/>
    <col collapsed="false" customWidth="true" hidden="false" outlineLevel="0" max="13" min="13" style="0" width="15.15"/>
    <col collapsed="false" customWidth="true" hidden="false" outlineLevel="0" max="14" min="14" style="0" width="16.29"/>
    <col collapsed="false" customWidth="true" hidden="false" outlineLevel="0" max="19" min="19" style="0" width="13.57"/>
    <col collapsed="false" customWidth="true" hidden="false" outlineLevel="0" max="20" min="20" style="0" width="18.14"/>
    <col collapsed="false" customWidth="true" hidden="false" outlineLevel="0" max="21" min="21" style="0" width="18.58"/>
    <col collapsed="false" customWidth="true" hidden="false" outlineLevel="0" max="22" min="22" style="0" width="13.43"/>
    <col collapsed="false" customWidth="true" hidden="false" outlineLevel="0" max="23" min="23" style="0" width="15.57"/>
    <col collapsed="false" customWidth="true" hidden="false" outlineLevel="0" max="24" min="24" style="0" width="16.86"/>
  </cols>
  <sheetData>
    <row r="1" customFormat="false" ht="13.8" hidden="false" customHeight="false" outlineLevel="0" collapsed="false">
      <c r="A1" s="3" t="s">
        <v>53</v>
      </c>
      <c r="B1" s="3" t="s">
        <v>54</v>
      </c>
      <c r="C1" s="3" t="s">
        <v>19</v>
      </c>
      <c r="D1" s="3" t="s">
        <v>22</v>
      </c>
      <c r="E1" s="3" t="s">
        <v>24</v>
      </c>
      <c r="F1" s="3" t="s">
        <v>26</v>
      </c>
      <c r="G1" s="3" t="s">
        <v>29</v>
      </c>
      <c r="H1" s="3" t="s">
        <v>31</v>
      </c>
      <c r="I1" s="3" t="s">
        <v>34</v>
      </c>
      <c r="J1" s="3" t="s">
        <v>37</v>
      </c>
      <c r="K1" s="3" t="s">
        <v>39</v>
      </c>
      <c r="L1" s="3" t="s">
        <v>41</v>
      </c>
      <c r="M1" s="3" t="s">
        <v>43</v>
      </c>
      <c r="N1" s="3" t="s">
        <v>44</v>
      </c>
      <c r="O1" s="3" t="s">
        <v>45</v>
      </c>
      <c r="P1" s="3" t="s">
        <v>46</v>
      </c>
      <c r="Q1" s="3" t="s">
        <v>47</v>
      </c>
      <c r="R1" s="3" t="s">
        <v>48</v>
      </c>
      <c r="S1" s="3" t="s">
        <v>55</v>
      </c>
      <c r="T1" s="3" t="s">
        <v>56</v>
      </c>
      <c r="U1" s="3" t="s">
        <v>57</v>
      </c>
      <c r="V1" s="3" t="s">
        <v>58</v>
      </c>
      <c r="W1" s="3" t="s">
        <v>59</v>
      </c>
      <c r="X1" s="3" t="s">
        <v>60</v>
      </c>
      <c r="Y1" s="3" t="s">
        <v>61</v>
      </c>
      <c r="Z1" s="3" t="s">
        <v>62</v>
      </c>
      <c r="AA1" s="3" t="s">
        <v>63</v>
      </c>
      <c r="AB1" s="3" t="s">
        <v>64</v>
      </c>
      <c r="AC1" s="3" t="s">
        <v>65</v>
      </c>
    </row>
    <row r="2" customFormat="false" ht="13.8" hidden="false" customHeight="false" outlineLevel="0" collapsed="false">
      <c r="A2" s="4" t="s">
        <v>66</v>
      </c>
      <c r="B2" s="5" t="s">
        <v>67</v>
      </c>
      <c r="C2" s="6" t="n">
        <v>2.18010890491803</v>
      </c>
      <c r="D2" s="6" t="n">
        <v>0.660039217540984</v>
      </c>
      <c r="E2" s="6" t="n">
        <v>0.450010154590164</v>
      </c>
      <c r="F2" s="6" t="n">
        <v>2.47849934262295</v>
      </c>
      <c r="G2" s="6" t="n">
        <v>6.63346376721312</v>
      </c>
      <c r="H2" s="6" t="n">
        <v>-1.16809983278689</v>
      </c>
      <c r="I2" s="6" t="n">
        <v>0.0463331648947161</v>
      </c>
      <c r="J2" s="7" t="n">
        <v>35.95</v>
      </c>
      <c r="K2" s="6" t="n">
        <v>2.424</v>
      </c>
      <c r="L2" s="6" t="n">
        <v>1.58178089974623</v>
      </c>
      <c r="M2" s="6" t="n">
        <v>0.561223054820528</v>
      </c>
      <c r="N2" s="6" t="n">
        <v>0.204692964449632</v>
      </c>
      <c r="O2" s="6" t="n">
        <f aca="false">L2/N2</f>
        <v>7.72757824871628</v>
      </c>
      <c r="P2" s="6" t="n">
        <f aca="false">M2/N2</f>
        <v>2.74177989619485</v>
      </c>
      <c r="Q2" s="6" t="n">
        <f aca="false">L2/M2</f>
        <v>2.81845317322551</v>
      </c>
      <c r="R2" s="6" t="n">
        <f aca="false">10*K2*I2</f>
        <v>1.12311591704792</v>
      </c>
      <c r="S2" s="6" t="n">
        <f aca="false">(((L2/22.4)*60)*1000)/($K2*10*9)</f>
        <v>19.4211272658611</v>
      </c>
      <c r="T2" s="6" t="n">
        <f aca="false">(((M2/22.4)*60)*1000)/($K2*10*9)</f>
        <v>6.89070425237369</v>
      </c>
      <c r="U2" s="6" t="n">
        <f aca="false">(((N2/22.4)*60)*1000)/($K2*10*9)</f>
        <v>2.51322298406845</v>
      </c>
      <c r="V2" s="6" t="n">
        <v>-16.77</v>
      </c>
      <c r="W2" s="6" t="n">
        <v>-5.89</v>
      </c>
      <c r="X2" s="6" t="n">
        <v>-2.5</v>
      </c>
      <c r="Y2" s="6" t="n">
        <f aca="false">V2/X2</f>
        <v>6.708</v>
      </c>
      <c r="Z2" s="6" t="n">
        <f aca="false">W2/X2</f>
        <v>2.356</v>
      </c>
      <c r="AA2" s="6" t="n">
        <f aca="false">V2/W2</f>
        <v>2.8471986417657</v>
      </c>
      <c r="AB2" s="8" t="n">
        <v>0.063</v>
      </c>
      <c r="AC2" s="6" t="n">
        <v>0.0463331648947161</v>
      </c>
    </row>
    <row r="3" customFormat="false" ht="13.8" hidden="false" customHeight="false" outlineLevel="0" collapsed="false">
      <c r="A3" s="4"/>
      <c r="B3" s="0" t="s">
        <v>68</v>
      </c>
      <c r="C3" s="6" t="n">
        <v>2.18012232459016</v>
      </c>
      <c r="D3" s="6" t="n">
        <v>0.660029186065574</v>
      </c>
      <c r="E3" s="6" t="n">
        <v>0.450013477868852</v>
      </c>
      <c r="F3" s="6" t="n">
        <v>2.47502736721311</v>
      </c>
      <c r="G3" s="6" t="n">
        <v>6.67449421639344</v>
      </c>
      <c r="H3" s="6" t="n">
        <v>-1.19023914590164</v>
      </c>
      <c r="I3" s="6" t="n">
        <v>0.0460384365791236</v>
      </c>
      <c r="J3" s="7" t="n">
        <v>36.2</v>
      </c>
      <c r="K3" s="6" t="n">
        <v>2.435</v>
      </c>
      <c r="L3" s="6" t="n">
        <v>1.566231610892</v>
      </c>
      <c r="M3" s="6" t="n">
        <v>0.557328540097615</v>
      </c>
      <c r="N3" s="6" t="n">
        <v>0.201264814092348</v>
      </c>
      <c r="O3" s="6" t="n">
        <v>7.78194448918108</v>
      </c>
      <c r="P3" s="6" t="n">
        <v>2.76913052393694</v>
      </c>
      <c r="Q3" s="6" t="n">
        <v>2.81024835121072</v>
      </c>
      <c r="R3" s="6" t="n">
        <v>1.12103593070166</v>
      </c>
      <c r="S3" s="6" t="n">
        <v>19.1433412888922</v>
      </c>
      <c r="T3" s="6" t="n">
        <v>6.81197492052429</v>
      </c>
      <c r="U3" s="6" t="n">
        <v>2.45996888252112</v>
      </c>
      <c r="V3" s="6" t="n">
        <v>-18.523710604951</v>
      </c>
      <c r="W3" s="6" t="n">
        <v>-6.81197492052429</v>
      </c>
      <c r="X3" s="6" t="n">
        <v>-2.45996888252112</v>
      </c>
      <c r="Y3" s="6" t="n">
        <f aca="false">V3/X3</f>
        <v>7.53005891113826</v>
      </c>
      <c r="Z3" s="6" t="n">
        <f aca="false">W3/X3</f>
        <v>2.76913052393694</v>
      </c>
      <c r="AA3" s="6" t="n">
        <f aca="false">V3/W3</f>
        <v>2.71928637745562</v>
      </c>
      <c r="AB3" s="9" t="n">
        <v>0.0599548671238607</v>
      </c>
      <c r="AC3" s="6" t="n">
        <v>0.0460384365791236</v>
      </c>
    </row>
    <row r="4" customFormat="false" ht="13.8" hidden="false" customHeight="false" outlineLevel="0" collapsed="false">
      <c r="A4" s="4"/>
      <c r="B4" s="0" t="s">
        <v>69</v>
      </c>
      <c r="C4" s="6" t="n">
        <v>2.18012004098361</v>
      </c>
      <c r="D4" s="6" t="n">
        <v>0.66003826852459</v>
      </c>
      <c r="E4" s="6" t="n">
        <v>0.450014159016393</v>
      </c>
      <c r="F4" s="6" t="n">
        <v>2.47212023114754</v>
      </c>
      <c r="G4" s="6" t="n">
        <v>6.66390354590164</v>
      </c>
      <c r="H4" s="6" t="n">
        <v>-1.18498108688525</v>
      </c>
      <c r="I4" s="6" t="n">
        <v>0.0461093202580483</v>
      </c>
      <c r="J4" s="7" t="n">
        <v>36.55</v>
      </c>
      <c r="K4" s="6" t="n">
        <v>2.351</v>
      </c>
      <c r="L4" s="6" t="n">
        <v>1.57228019165769</v>
      </c>
      <c r="M4" s="6" t="n">
        <v>0.558929489840725</v>
      </c>
      <c r="N4" s="6" t="n">
        <v>0.201862719813061</v>
      </c>
      <c r="O4" s="6" t="n">
        <v>7.78885865163081</v>
      </c>
      <c r="P4" s="6" t="n">
        <v>2.76885940285721</v>
      </c>
      <c r="Q4" s="6" t="n">
        <v>2.81302064077122</v>
      </c>
      <c r="R4" s="6" t="n">
        <v>1.08403011926672</v>
      </c>
      <c r="S4" s="6" t="n">
        <v>19.9038933743707</v>
      </c>
      <c r="T4" s="6" t="n">
        <v>7.07563004902581</v>
      </c>
      <c r="U4" s="6" t="n">
        <v>2.55543132371561</v>
      </c>
      <c r="V4" s="6" t="n">
        <v>-19.2411627483471</v>
      </c>
      <c r="W4" s="6" t="n">
        <v>-7.07563004902581</v>
      </c>
      <c r="X4" s="6" t="n">
        <v>-2.55543132371561</v>
      </c>
      <c r="Y4" s="6" t="n">
        <f aca="false">V4/X4</f>
        <v>7.52951666897876</v>
      </c>
      <c r="Z4" s="6" t="n">
        <f aca="false">W4/X4</f>
        <v>2.76885940285721</v>
      </c>
      <c r="AA4" s="6" t="n">
        <f aca="false">V4/W4</f>
        <v>2.71935680851436</v>
      </c>
      <c r="AB4" s="9" t="n">
        <v>0.0622814973580034</v>
      </c>
      <c r="AC4" s="6" t="n">
        <v>0.0461093202580483</v>
      </c>
    </row>
    <row r="5" customFormat="false" ht="13.8" hidden="false" customHeight="false" outlineLevel="0" collapsed="false">
      <c r="A5" s="10" t="s">
        <v>70</v>
      </c>
      <c r="B5" s="0" t="s">
        <v>71</v>
      </c>
      <c r="C5" s="6" t="n">
        <v>2.08011364262295</v>
      </c>
      <c r="D5" s="6" t="n">
        <v>0.630034644754098</v>
      </c>
      <c r="E5" s="6" t="n">
        <v>0.420012195573771</v>
      </c>
      <c r="F5" s="6" t="n">
        <v>2.51990502622951</v>
      </c>
      <c r="G5" s="6" t="n">
        <v>6.68876887868852</v>
      </c>
      <c r="H5" s="6" t="n">
        <v>-1.18487735091947</v>
      </c>
      <c r="I5" s="6" t="n">
        <v>0.0338141428042361</v>
      </c>
      <c r="J5" s="7" t="n">
        <v>36.05</v>
      </c>
      <c r="K5" s="6" t="n">
        <v>2.495</v>
      </c>
      <c r="L5" s="6" t="n">
        <v>1.45764486372765</v>
      </c>
      <c r="M5" s="6" t="n">
        <v>0.529739238034191</v>
      </c>
      <c r="N5" s="6" t="n">
        <v>0.172509333975864</v>
      </c>
      <c r="O5" s="6" t="n">
        <v>8.44965794101084</v>
      </c>
      <c r="P5" s="6" t="n">
        <v>3.07078594430321</v>
      </c>
      <c r="Q5" s="6" t="n">
        <v>2.75162713854617</v>
      </c>
      <c r="R5" s="6" t="n">
        <v>0.843662862965692</v>
      </c>
      <c r="S5" s="6" t="n">
        <v>17.3876904252272</v>
      </c>
      <c r="T5" s="6" t="n">
        <v>6.31905761563831</v>
      </c>
      <c r="U5" s="6" t="n">
        <v>2.05779814361895</v>
      </c>
      <c r="V5" s="6" t="n">
        <v>-16.7368331767662</v>
      </c>
      <c r="W5" s="6" t="n">
        <v>-6.31905761563831</v>
      </c>
      <c r="X5" s="6" t="n">
        <v>-2.05779814361895</v>
      </c>
      <c r="Y5" s="6" t="n">
        <f aca="false">V5/X5</f>
        <v>8.13336975187077</v>
      </c>
      <c r="Z5" s="6" t="n">
        <f aca="false">W5/X5</f>
        <v>3.07078594430321</v>
      </c>
      <c r="AA5" s="6" t="n">
        <f aca="false">V5/W5</f>
        <v>2.64862803835593</v>
      </c>
      <c r="AB5" s="9" t="n">
        <v>0.0501530792299919</v>
      </c>
      <c r="AC5" s="6" t="n">
        <v>0.0338141428042361</v>
      </c>
    </row>
    <row r="6" customFormat="false" ht="13.8" hidden="false" customHeight="false" outlineLevel="0" collapsed="false">
      <c r="A6" s="10"/>
      <c r="B6" s="0" t="s">
        <v>72</v>
      </c>
      <c r="C6" s="6" t="n">
        <v>2.0801316704918</v>
      </c>
      <c r="D6" s="6" t="n">
        <v>0.630040727868852</v>
      </c>
      <c r="E6" s="6" t="n">
        <v>0.420016694754098</v>
      </c>
      <c r="F6" s="6" t="n">
        <v>2.51893347213115</v>
      </c>
      <c r="G6" s="6" t="n">
        <v>6.68809799672131</v>
      </c>
      <c r="H6" s="6" t="n">
        <v>-1.18371930983607</v>
      </c>
      <c r="I6" s="6" t="n">
        <v>0.0359832921161398</v>
      </c>
      <c r="J6" s="7" t="n">
        <v>38.25</v>
      </c>
      <c r="K6" s="6" t="n">
        <v>2.484</v>
      </c>
      <c r="L6" s="6" t="n">
        <v>1.45844538230777</v>
      </c>
      <c r="M6" s="6" t="n">
        <v>0.529865414869153</v>
      </c>
      <c r="N6" s="6" t="n">
        <v>0.172613555282088</v>
      </c>
      <c r="O6" s="6" t="n">
        <v>8.44919380708169</v>
      </c>
      <c r="P6" s="6" t="n">
        <v>3.06966283153856</v>
      </c>
      <c r="Q6" s="6" t="n">
        <v>2.75248268971835</v>
      </c>
      <c r="R6" s="6" t="n">
        <v>0.893824976164912</v>
      </c>
      <c r="S6" s="6" t="n">
        <v>17.4742804221754</v>
      </c>
      <c r="T6" s="6" t="n">
        <v>6.34855234056478</v>
      </c>
      <c r="U6" s="6" t="n">
        <v>2.06815949795463</v>
      </c>
      <c r="V6" s="6" t="n">
        <v>-16.8164603500455</v>
      </c>
      <c r="W6" s="6" t="n">
        <v>-6.34855234056478</v>
      </c>
      <c r="X6" s="6" t="n">
        <v>-2.06815949795463</v>
      </c>
      <c r="Y6" s="6" t="n">
        <f aca="false">V6/X6</f>
        <v>8.1311235263415</v>
      </c>
      <c r="Z6" s="6" t="n">
        <f aca="false">W6/X6</f>
        <v>3.06966283153856</v>
      </c>
      <c r="AA6" s="6" t="n">
        <f aca="false">V6/W6</f>
        <v>2.6488653551133</v>
      </c>
      <c r="AB6" s="9" t="n">
        <v>0.0504056082871022</v>
      </c>
      <c r="AC6" s="6" t="n">
        <v>0.0359832921161398</v>
      </c>
    </row>
    <row r="7" customFormat="false" ht="13.8" hidden="false" customHeight="false" outlineLevel="0" collapsed="false">
      <c r="A7" s="10"/>
      <c r="B7" s="0" t="s">
        <v>73</v>
      </c>
      <c r="C7" s="6" t="n">
        <v>2.08011196557377</v>
      </c>
      <c r="D7" s="6" t="n">
        <v>0.63003444442623</v>
      </c>
      <c r="E7" s="6" t="n">
        <v>0.420008463442623</v>
      </c>
      <c r="F7" s="6" t="n">
        <v>2.52069004262295</v>
      </c>
      <c r="G7" s="6" t="n">
        <v>6.69507923442623</v>
      </c>
      <c r="H7" s="6" t="n">
        <v>-1.18357223442623</v>
      </c>
      <c r="I7" s="6" t="n">
        <v>0.0359832921161398</v>
      </c>
      <c r="J7" s="7" t="n">
        <v>38.45</v>
      </c>
      <c r="K7" s="6" t="n">
        <v>2.515</v>
      </c>
      <c r="L7" s="6" t="n">
        <v>1.46018398181749</v>
      </c>
      <c r="M7" s="6" t="n">
        <v>0.530525439929762</v>
      </c>
      <c r="N7" s="6" t="n">
        <v>0.17318473940029</v>
      </c>
      <c r="O7" s="6" t="n">
        <v>8.43136633674459</v>
      </c>
      <c r="P7" s="6" t="n">
        <v>3.06334981804334</v>
      </c>
      <c r="Q7" s="6" t="n">
        <v>2.75233546201066</v>
      </c>
      <c r="R7" s="6" t="n">
        <v>0.904979796720916</v>
      </c>
      <c r="S7" s="6" t="n">
        <v>17.2794658456107</v>
      </c>
      <c r="T7" s="6" t="n">
        <v>6.27811038447602</v>
      </c>
      <c r="U7" s="6" t="n">
        <v>2.04942652892514</v>
      </c>
      <c r="V7" s="6" t="n">
        <v>-16.6382641501825</v>
      </c>
      <c r="W7" s="6" t="n">
        <v>-6.27811038447602</v>
      </c>
      <c r="X7" s="6" t="n">
        <v>-2.04942652892514</v>
      </c>
      <c r="Y7" s="6" t="n">
        <f aca="false">V7/X7</f>
        <v>8.11849749935106</v>
      </c>
      <c r="Z7" s="6" t="n">
        <f aca="false">W7/X7</f>
        <v>3.06334981804334</v>
      </c>
      <c r="AA7" s="6" t="n">
        <f aca="false">V7/W7</f>
        <v>2.65020255000998</v>
      </c>
      <c r="AB7" s="9" t="n">
        <v>0.049949044516325</v>
      </c>
      <c r="AC7" s="6" t="n">
        <v>0.0359832921161398</v>
      </c>
    </row>
    <row r="8" customFormat="false" ht="13.8" hidden="false" customHeight="false" outlineLevel="0" collapsed="false">
      <c r="A8" s="10" t="s">
        <v>74</v>
      </c>
      <c r="B8" s="0" t="s">
        <v>75</v>
      </c>
      <c r="C8" s="6" t="n">
        <v>1.99013819180328</v>
      </c>
      <c r="D8" s="6" t="n">
        <v>0.610038944918033</v>
      </c>
      <c r="E8" s="6" t="n">
        <v>0.390013140491803</v>
      </c>
      <c r="F8" s="6" t="n">
        <v>2.56008966065574</v>
      </c>
      <c r="G8" s="6" t="n">
        <v>6.72715797377049</v>
      </c>
      <c r="H8" s="6" t="n">
        <v>-1.18880079180328</v>
      </c>
      <c r="I8" s="6" t="n">
        <v>0.026490651372406</v>
      </c>
      <c r="J8" s="7" t="n">
        <v>38.75</v>
      </c>
      <c r="K8" s="6" t="n">
        <v>2.625</v>
      </c>
      <c r="L8" s="6" t="n">
        <v>1.36109900252119</v>
      </c>
      <c r="M8" s="6" t="n">
        <v>0.513801661961425</v>
      </c>
      <c r="N8" s="6" t="n">
        <v>0.140540569287875</v>
      </c>
      <c r="O8" s="6" t="n">
        <v>9.68474092155694</v>
      </c>
      <c r="P8" s="6" t="n">
        <v>3.65589569307197</v>
      </c>
      <c r="Q8" s="6" t="n">
        <v>2.64907473698164</v>
      </c>
      <c r="R8" s="6" t="n">
        <v>0.695379598525656</v>
      </c>
      <c r="S8" s="6" t="n">
        <v>15.4319614798321</v>
      </c>
      <c r="T8" s="6" t="n">
        <v>5.82541566849688</v>
      </c>
      <c r="U8" s="6" t="n">
        <v>1.59343049079223</v>
      </c>
      <c r="V8" s="6" t="n">
        <v>-14.8246227838141</v>
      </c>
      <c r="W8" s="6" t="n">
        <v>-5.82541566849688</v>
      </c>
      <c r="X8" s="6" t="n">
        <v>-1.59343049079223</v>
      </c>
      <c r="Y8" s="6" t="n">
        <f aca="false">V8/X8</f>
        <v>9.30358924940832</v>
      </c>
      <c r="Z8" s="6" t="n">
        <f aca="false">W8/X8</f>
        <v>3.65589569307197</v>
      </c>
      <c r="AA8" s="6" t="n">
        <f aca="false">V8/W8</f>
        <v>2.54481802285522</v>
      </c>
      <c r="AB8" s="9" t="n">
        <v>0.0388354153686072</v>
      </c>
      <c r="AC8" s="6" t="n">
        <v>0.026490651372406</v>
      </c>
    </row>
    <row r="9" customFormat="false" ht="13.8" hidden="false" customHeight="false" outlineLevel="0" collapsed="false">
      <c r="A9" s="10"/>
      <c r="B9" s="0" t="s">
        <v>76</v>
      </c>
      <c r="C9" s="6" t="n">
        <v>1.99012665409836</v>
      </c>
      <c r="D9" s="6" t="n">
        <v>0.610042154754098</v>
      </c>
      <c r="E9" s="6" t="n">
        <v>0.390012042786885</v>
      </c>
      <c r="F9" s="6" t="n">
        <v>2.55609261803279</v>
      </c>
      <c r="G9" s="6" t="n">
        <v>6.72258456393443</v>
      </c>
      <c r="H9" s="6" t="n">
        <v>-1.18014698852459</v>
      </c>
      <c r="I9" s="6" t="n">
        <v>0.0262905370412442</v>
      </c>
      <c r="J9" s="7" t="n">
        <v>37.6</v>
      </c>
      <c r="K9" s="6" t="n">
        <v>2.601</v>
      </c>
      <c r="L9" s="6" t="n">
        <v>1.36207257608783</v>
      </c>
      <c r="M9" s="6" t="n">
        <v>0.514431915584886</v>
      </c>
      <c r="N9" s="6" t="n">
        <v>0.140557030294497</v>
      </c>
      <c r="O9" s="6" t="n">
        <v>9.69053325354125</v>
      </c>
      <c r="P9" s="6" t="n">
        <v>3.65995151225834</v>
      </c>
      <c r="Q9" s="6" t="n">
        <v>2.64772175835789</v>
      </c>
      <c r="R9" s="6" t="n">
        <v>0.683816868442761</v>
      </c>
      <c r="S9" s="6" t="n">
        <v>15.5854956894765</v>
      </c>
      <c r="T9" s="6" t="n">
        <v>5.88637973015056</v>
      </c>
      <c r="U9" s="6" t="n">
        <v>1.60832177979277</v>
      </c>
      <c r="V9" s="6" t="n">
        <v>-14.9762113447339</v>
      </c>
      <c r="W9" s="6" t="n">
        <v>-5.88637973015056</v>
      </c>
      <c r="X9" s="6" t="n">
        <v>-1.60832177979277</v>
      </c>
      <c r="Y9" s="6" t="n">
        <f aca="false">V9/X9</f>
        <v>9.31170088778106</v>
      </c>
      <c r="Z9" s="6" t="n">
        <f aca="false">W9/X9</f>
        <v>3.65995151225834</v>
      </c>
      <c r="AA9" s="6" t="n">
        <f aca="false">V9/W9</f>
        <v>2.54421427622558</v>
      </c>
      <c r="AB9" s="9" t="n">
        <v>0.0391983489242606</v>
      </c>
      <c r="AC9" s="6" t="n">
        <v>0.0262905370412442</v>
      </c>
    </row>
    <row r="10" customFormat="false" ht="13.8" hidden="false" customHeight="false" outlineLevel="0" collapsed="false">
      <c r="A10" s="10"/>
      <c r="B10" s="0" t="s">
        <v>77</v>
      </c>
      <c r="C10" s="6" t="n">
        <v>1.99010753770492</v>
      </c>
      <c r="D10" s="6" t="n">
        <v>0.610037882295082</v>
      </c>
      <c r="E10" s="6" t="n">
        <v>0.390008399016393</v>
      </c>
      <c r="F10" s="6" t="n">
        <v>2.55377341639344</v>
      </c>
      <c r="G10" s="6" t="n">
        <v>6.72091628852459</v>
      </c>
      <c r="H10" s="6" t="n">
        <v>-1.1791126333051</v>
      </c>
      <c r="I10" s="6" t="n">
        <v>0.0262905370412442</v>
      </c>
      <c r="J10" s="7" t="n">
        <v>28.55</v>
      </c>
      <c r="K10" s="6" t="n">
        <v>2.566</v>
      </c>
      <c r="L10" s="6" t="n">
        <v>1.36802803292108</v>
      </c>
      <c r="M10" s="6" t="n">
        <v>0.515691623206322</v>
      </c>
      <c r="N10" s="6" t="n">
        <v>0.142200568298826</v>
      </c>
      <c r="O10" s="6" t="n">
        <v>9.6204118540951</v>
      </c>
      <c r="P10" s="6" t="n">
        <v>3.62650887669189</v>
      </c>
      <c r="Q10" s="6" t="n">
        <v>2.65280251095672</v>
      </c>
      <c r="R10" s="6" t="n">
        <v>0.674615180478326</v>
      </c>
      <c r="S10" s="6" t="n">
        <v>15.8671551159054</v>
      </c>
      <c r="T10" s="6" t="n">
        <v>5.98128019344452</v>
      </c>
      <c r="U10" s="6" t="n">
        <v>1.64932181247014</v>
      </c>
      <c r="V10" s="6" t="n">
        <v>-15.2476760488024</v>
      </c>
      <c r="W10" s="6" t="n">
        <v>-5.98128019344452</v>
      </c>
      <c r="X10" s="6" t="n">
        <v>-1.64932181247014</v>
      </c>
      <c r="Y10" s="6" t="n">
        <f aca="false">V10/X10</f>
        <v>9.24481561664816</v>
      </c>
      <c r="Z10" s="6" t="n">
        <f aca="false">W10/X10</f>
        <v>3.62650887669189</v>
      </c>
      <c r="AA10" s="6" t="n">
        <f aca="false">V10/W10</f>
        <v>2.54923286581924</v>
      </c>
      <c r="AB10" s="9" t="n">
        <v>0.0401976101461045</v>
      </c>
      <c r="AC10" s="6" t="n">
        <v>0.0262905370412442</v>
      </c>
    </row>
    <row r="11" customFormat="false" ht="13.8" hidden="false" customHeight="false" outlineLevel="0" collapsed="false">
      <c r="A11" s="10" t="s">
        <v>78</v>
      </c>
      <c r="B11" s="0" t="s">
        <v>79</v>
      </c>
      <c r="C11" s="6" t="n">
        <v>1.8900986704918</v>
      </c>
      <c r="D11" s="6" t="n">
        <v>0.610033388688525</v>
      </c>
      <c r="E11" s="6" t="n">
        <v>0.380011201967213</v>
      </c>
      <c r="F11" s="6" t="n">
        <v>2.55627275245902</v>
      </c>
      <c r="G11" s="6" t="n">
        <v>6.71354658360656</v>
      </c>
      <c r="H11" s="6" t="n">
        <v>-1.18699347868853</v>
      </c>
      <c r="I11" s="6" t="n">
        <v>0.0208282160388255</v>
      </c>
      <c r="J11" s="7" t="n">
        <v>39.8</v>
      </c>
      <c r="K11" s="6" t="n">
        <v>2.541</v>
      </c>
      <c r="L11" s="6" t="n">
        <v>1.32684324318362</v>
      </c>
      <c r="M11" s="6" t="n">
        <v>0.522048369871185</v>
      </c>
      <c r="N11" s="6" t="n">
        <v>0.122490490387818</v>
      </c>
      <c r="O11" s="6" t="n">
        <v>10.8322143129862</v>
      </c>
      <c r="P11" s="6" t="n">
        <v>4.26195019889565</v>
      </c>
      <c r="Q11" s="6" t="n">
        <v>2.54160978131397</v>
      </c>
      <c r="R11" s="6" t="n">
        <v>0.529244969546555</v>
      </c>
      <c r="S11" s="6" t="n">
        <v>15.540882423301</v>
      </c>
      <c r="T11" s="6" t="n">
        <v>6.11458239481065</v>
      </c>
      <c r="U11" s="6" t="n">
        <v>1.43469118817837</v>
      </c>
      <c r="V11" s="6" t="n">
        <v>-15.0867796326792</v>
      </c>
      <c r="W11" s="6" t="n">
        <v>-6.11458239481065</v>
      </c>
      <c r="X11" s="6" t="n">
        <v>-1.43469118817837</v>
      </c>
      <c r="Y11" s="6" t="n">
        <f aca="false">V11/X11</f>
        <v>10.5156982610557</v>
      </c>
      <c r="Z11" s="6" t="n">
        <f aca="false">W11/X11</f>
        <v>4.26195019889564</v>
      </c>
      <c r="AA11" s="6" t="n">
        <f aca="false">V11/W11</f>
        <v>2.46734423686614</v>
      </c>
      <c r="AB11" s="9" t="n">
        <v>0.0349665884646692</v>
      </c>
      <c r="AC11" s="6" t="n">
        <v>0.0208282160388255</v>
      </c>
    </row>
    <row r="12" customFormat="false" ht="13.8" hidden="false" customHeight="false" outlineLevel="0" collapsed="false">
      <c r="A12" s="10"/>
      <c r="B12" s="0" t="s">
        <v>80</v>
      </c>
      <c r="C12" s="6" t="n">
        <v>1.89012474262295</v>
      </c>
      <c r="D12" s="6" t="n">
        <v>0.610034934590164</v>
      </c>
      <c r="E12" s="6" t="n">
        <v>0.380012713442623</v>
      </c>
      <c r="F12" s="6" t="n">
        <v>2.5593715852459</v>
      </c>
      <c r="G12" s="6" t="n">
        <v>6.71747507540984</v>
      </c>
      <c r="H12" s="6" t="n">
        <v>-1.19436469016394</v>
      </c>
      <c r="I12" s="6" t="n">
        <v>0.0211696284081858</v>
      </c>
      <c r="J12" s="7" t="n">
        <v>38.05</v>
      </c>
      <c r="K12" s="6" t="n">
        <v>2.579</v>
      </c>
      <c r="L12" s="6" t="n">
        <v>1.2992267056267</v>
      </c>
      <c r="M12" s="6" t="n">
        <v>0.510824785181476</v>
      </c>
      <c r="N12" s="6" t="n">
        <v>0.119277219847563</v>
      </c>
      <c r="O12" s="6" t="n">
        <v>10.8924965495265</v>
      </c>
      <c r="P12" s="6" t="n">
        <v>4.28266844108466</v>
      </c>
      <c r="Q12" s="6" t="n">
        <v>2.54339010814664</v>
      </c>
      <c r="R12" s="6" t="n">
        <v>0.545964716647112</v>
      </c>
      <c r="S12" s="6" t="n">
        <v>14.9931994870047</v>
      </c>
      <c r="T12" s="6" t="n">
        <v>5.89496650119874</v>
      </c>
      <c r="U12" s="6" t="n">
        <v>1.37647043713376</v>
      </c>
      <c r="V12" s="6" t="n">
        <v>-14.5315838779271</v>
      </c>
      <c r="W12" s="6" t="n">
        <v>-5.89496650119874</v>
      </c>
      <c r="X12" s="6" t="n">
        <v>-1.37647043713376</v>
      </c>
      <c r="Y12" s="6" t="n">
        <f aca="false">V12/X12</f>
        <v>10.5571347454337</v>
      </c>
      <c r="Z12" s="6" t="n">
        <f aca="false">W12/X12</f>
        <v>4.28266844108466</v>
      </c>
      <c r="AA12" s="6" t="n">
        <f aca="false">V12/W12</f>
        <v>2.46508336815351</v>
      </c>
      <c r="AB12" s="9" t="n">
        <v>0.033547620355953</v>
      </c>
      <c r="AC12" s="6" t="n">
        <v>0.0211696284081858</v>
      </c>
    </row>
    <row r="13" customFormat="false" ht="13.8" hidden="false" customHeight="false" outlineLevel="0" collapsed="false">
      <c r="A13" s="10"/>
      <c r="B13" s="0" t="s">
        <v>81</v>
      </c>
      <c r="C13" s="6" t="n">
        <v>1.89010754918033</v>
      </c>
      <c r="D13" s="6" t="n">
        <v>0.610033445081967</v>
      </c>
      <c r="E13" s="6" t="n">
        <v>0.38000993147541</v>
      </c>
      <c r="F13" s="6" t="n">
        <v>2.56849355081967</v>
      </c>
      <c r="G13" s="6" t="n">
        <v>6.71908470163934</v>
      </c>
      <c r="H13" s="6" t="n">
        <v>-1.19045605081967</v>
      </c>
      <c r="I13" s="6" t="n">
        <v>0.020174615807333</v>
      </c>
      <c r="J13" s="7" t="n">
        <v>37.5</v>
      </c>
      <c r="K13" s="6" t="n">
        <v>2.524</v>
      </c>
      <c r="L13" s="6" t="n">
        <v>1.32526396468443</v>
      </c>
      <c r="M13" s="6" t="n">
        <v>0.518287726740738</v>
      </c>
      <c r="N13" s="6" t="n">
        <v>0.125763204804338</v>
      </c>
      <c r="O13" s="6" t="n">
        <v>10.5377718923931</v>
      </c>
      <c r="P13" s="6" t="n">
        <v>4.12113962543407</v>
      </c>
      <c r="Q13" s="6" t="n">
        <v>2.5570043362176</v>
      </c>
      <c r="R13" s="6" t="n">
        <v>0.509207302977086</v>
      </c>
      <c r="S13" s="6" t="n">
        <v>15.62693339989</v>
      </c>
      <c r="T13" s="6" t="n">
        <v>6.11142233063469</v>
      </c>
      <c r="U13" s="6" t="n">
        <v>1.48294474007078</v>
      </c>
      <c r="V13" s="6" t="n">
        <v>-15.1765708258815</v>
      </c>
      <c r="W13" s="6" t="n">
        <v>-6.11142233063469</v>
      </c>
      <c r="X13" s="6" t="n">
        <v>-1.48294474007078</v>
      </c>
      <c r="Y13" s="6" t="n">
        <f aca="false">V13/X13</f>
        <v>10.2340771141325</v>
      </c>
      <c r="Z13" s="6" t="n">
        <f aca="false">W13/X13</f>
        <v>4.12113962543407</v>
      </c>
      <c r="AA13" s="6" t="n">
        <f aca="false">V13/W13</f>
        <v>2.48331239518598</v>
      </c>
      <c r="AB13" s="9" t="n">
        <v>0.0361426339474064</v>
      </c>
      <c r="AC13" s="6" t="n">
        <v>0.020174615807333</v>
      </c>
    </row>
    <row r="14" customFormat="false" ht="13.8" hidden="false" customHeight="false" outlineLevel="0" collapsed="false">
      <c r="A14" s="10" t="s">
        <v>82</v>
      </c>
      <c r="B14" s="0" t="s">
        <v>83</v>
      </c>
      <c r="C14" s="6" t="n">
        <v>1.90011568196721</v>
      </c>
      <c r="D14" s="6" t="n">
        <v>0.690033283442623</v>
      </c>
      <c r="E14" s="6" t="n">
        <v>0.380010205737705</v>
      </c>
      <c r="F14" s="6" t="n">
        <v>2.56228610491803</v>
      </c>
      <c r="G14" s="6" t="n">
        <v>6.71408974262295</v>
      </c>
      <c r="H14" s="6" t="n">
        <v>-1.18525714098361</v>
      </c>
      <c r="I14" s="6" t="n">
        <v>0.0214988924567923</v>
      </c>
      <c r="J14" s="7" t="n">
        <v>38.5</v>
      </c>
      <c r="K14" s="6" t="n">
        <v>2.277</v>
      </c>
      <c r="L14" s="6" t="n">
        <v>1.47190442278104</v>
      </c>
      <c r="M14" s="6" t="n">
        <v>0.603335076686087</v>
      </c>
      <c r="N14" s="6" t="n">
        <v>0.12930603331976</v>
      </c>
      <c r="O14" s="6" t="n">
        <v>11.3831070754539</v>
      </c>
      <c r="P14" s="6" t="n">
        <v>4.6659468332317</v>
      </c>
      <c r="Q14" s="6" t="n">
        <v>2.43961354089622</v>
      </c>
      <c r="R14" s="6" t="n">
        <v>0.489529781241161</v>
      </c>
      <c r="S14" s="6" t="n">
        <v>19.2387699821852</v>
      </c>
      <c r="T14" s="6" t="n">
        <v>7.88599081767582</v>
      </c>
      <c r="U14" s="6" t="n">
        <v>1.69011587562687</v>
      </c>
      <c r="V14" s="6" t="n">
        <v>-19.1383508250944</v>
      </c>
      <c r="W14" s="6" t="n">
        <v>-7.88599081767582</v>
      </c>
      <c r="X14" s="6" t="n">
        <v>-1.69011587562687</v>
      </c>
      <c r="Y14" s="6" t="n">
        <f aca="false">V14/X14</f>
        <v>11.3236915297278</v>
      </c>
      <c r="Z14" s="6" t="n">
        <f aca="false">W14/X14</f>
        <v>4.6659468332317</v>
      </c>
      <c r="AA14" s="6" t="n">
        <f aca="false">V14/W14</f>
        <v>2.42687967404138</v>
      </c>
      <c r="AB14" s="9" t="n">
        <v>0.0411918514364647</v>
      </c>
      <c r="AC14" s="6" t="n">
        <v>0.0214988924567923</v>
      </c>
    </row>
    <row r="15" customFormat="false" ht="13.8" hidden="false" customHeight="false" outlineLevel="0" collapsed="false">
      <c r="A15" s="10"/>
      <c r="B15" s="0" t="s">
        <v>84</v>
      </c>
      <c r="C15" s="6" t="n">
        <v>1.90010997868852</v>
      </c>
      <c r="D15" s="6" t="n">
        <v>0.690040716721311</v>
      </c>
      <c r="E15" s="6" t="n">
        <v>0.380010935081967</v>
      </c>
      <c r="F15" s="6" t="n">
        <v>2.5581677295082</v>
      </c>
      <c r="G15" s="6" t="n">
        <v>6.71755645901639</v>
      </c>
      <c r="H15" s="6" t="n">
        <v>-1.20245437540984</v>
      </c>
      <c r="I15" s="6" t="n">
        <v>0.0214988924567923</v>
      </c>
      <c r="J15" s="7" t="n">
        <v>39.35</v>
      </c>
      <c r="K15" s="6" t="n">
        <v>2.459</v>
      </c>
      <c r="L15" s="6" t="n">
        <v>1.46918187574129</v>
      </c>
      <c r="M15" s="6" t="n">
        <v>0.60226559273962</v>
      </c>
      <c r="N15" s="6" t="n">
        <v>0.128415312830563</v>
      </c>
      <c r="O15" s="6" t="n">
        <v>11.4408620230501</v>
      </c>
      <c r="P15" s="6" t="n">
        <v>4.68998267780008</v>
      </c>
      <c r="Q15" s="6" t="n">
        <v>2.43942521945874</v>
      </c>
      <c r="R15" s="6" t="n">
        <v>0.528657765512523</v>
      </c>
      <c r="S15" s="6" t="n">
        <v>17.7818833118052</v>
      </c>
      <c r="T15" s="6" t="n">
        <v>7.28937422224021</v>
      </c>
      <c r="U15" s="6" t="n">
        <v>1.55424331453169</v>
      </c>
      <c r="V15" s="6" t="n">
        <v>-17.6744869573576</v>
      </c>
      <c r="W15" s="6" t="n">
        <v>-7.28937422224021</v>
      </c>
      <c r="X15" s="6" t="n">
        <v>-1.55424331453169</v>
      </c>
      <c r="Y15" s="6" t="n">
        <f aca="false">V15/X15</f>
        <v>11.3717632188645</v>
      </c>
      <c r="Z15" s="6" t="n">
        <f aca="false">W15/X15</f>
        <v>4.68998267780008</v>
      </c>
      <c r="AA15" s="6" t="n">
        <f aca="false">V15/W15</f>
        <v>2.42469194453372</v>
      </c>
      <c r="AB15" s="9" t="n">
        <v>0.037880337455893</v>
      </c>
      <c r="AC15" s="6" t="n">
        <v>0.0214988924567923</v>
      </c>
    </row>
    <row r="16" customFormat="false" ht="13.8" hidden="false" customHeight="false" outlineLevel="0" collapsed="false">
      <c r="A16" s="10"/>
      <c r="B16" s="0" t="s">
        <v>85</v>
      </c>
      <c r="C16" s="6" t="n">
        <v>1.90012423278689</v>
      </c>
      <c r="D16" s="6" t="n">
        <v>0.690038236393443</v>
      </c>
      <c r="E16" s="6" t="n">
        <v>0.380015574426229</v>
      </c>
      <c r="F16" s="6" t="n">
        <v>2.56284812131147</v>
      </c>
      <c r="G16" s="6" t="n">
        <v>6.71094329672131</v>
      </c>
      <c r="H16" s="6" t="n">
        <v>-1.18902449618496</v>
      </c>
      <c r="I16" s="6" t="n">
        <v>0.0214988924567923</v>
      </c>
      <c r="J16" s="7" t="n">
        <v>38.8</v>
      </c>
      <c r="K16" s="6" t="n">
        <v>2.261</v>
      </c>
      <c r="L16" s="6" t="n">
        <v>1.48082795167</v>
      </c>
      <c r="M16" s="6" t="n">
        <v>0.605767936802129</v>
      </c>
      <c r="N16" s="6" t="n">
        <v>0.132772300544263</v>
      </c>
      <c r="O16" s="6" t="n">
        <v>11.1531392135239</v>
      </c>
      <c r="P16" s="6" t="n">
        <v>4.56245718661915</v>
      </c>
      <c r="Q16" s="6" t="n">
        <v>2.44454660226381</v>
      </c>
      <c r="R16" s="6" t="n">
        <v>0.486089958448074</v>
      </c>
      <c r="S16" s="6" t="n">
        <v>19.492375261552</v>
      </c>
      <c r="T16" s="6" t="n">
        <v>7.97382027550664</v>
      </c>
      <c r="U16" s="6" t="n">
        <v>1.74770303574407</v>
      </c>
      <c r="V16" s="6" t="n">
        <v>-19.428711723229</v>
      </c>
      <c r="W16" s="6" t="n">
        <v>-7.97382027550664</v>
      </c>
      <c r="X16" s="6" t="n">
        <v>-1.74770303574407</v>
      </c>
      <c r="Y16" s="6" t="n">
        <f aca="false">V16/X16</f>
        <v>11.1167122365027</v>
      </c>
      <c r="Z16" s="6" t="n">
        <f aca="false">W16/X16</f>
        <v>4.56245718661915</v>
      </c>
      <c r="AA16" s="6" t="n">
        <f aca="false">V16/W16</f>
        <v>2.43656253237969</v>
      </c>
      <c r="AB16" s="9" t="n">
        <v>0.0425953775368961</v>
      </c>
      <c r="AC16" s="6" t="n">
        <v>0.0214988924567923</v>
      </c>
    </row>
    <row r="17" customFormat="false" ht="13.8" hidden="false" customHeight="false" outlineLevel="0" collapsed="false">
      <c r="A17" s="10" t="s">
        <v>86</v>
      </c>
      <c r="B17" s="0" t="s">
        <v>87</v>
      </c>
      <c r="C17" s="6" t="n">
        <v>1.9001268442623</v>
      </c>
      <c r="D17" s="6" t="n">
        <v>0.69004019295082</v>
      </c>
      <c r="E17" s="6" t="n">
        <v>0.380013238688525</v>
      </c>
      <c r="F17" s="6" t="n">
        <v>2.58318943934426</v>
      </c>
      <c r="G17" s="6" t="n">
        <v>6.70666815409836</v>
      </c>
      <c r="H17" s="6" t="n">
        <v>-1.19387971967213</v>
      </c>
      <c r="I17" s="6" t="n">
        <v>0.0186968845742944</v>
      </c>
      <c r="J17" s="7" t="n">
        <v>41</v>
      </c>
      <c r="K17" s="6" t="n">
        <v>2.459</v>
      </c>
      <c r="L17" s="6" t="n">
        <v>1.45357523111519</v>
      </c>
      <c r="M17" s="6" t="n">
        <v>0.605530990395999</v>
      </c>
      <c r="N17" s="6" t="n">
        <v>0.115546380947832</v>
      </c>
      <c r="O17" s="6" t="n">
        <v>12.5800152215193</v>
      </c>
      <c r="P17" s="6" t="n">
        <v>5.24058811213993</v>
      </c>
      <c r="Q17" s="6" t="n">
        <v>2.40049684354651</v>
      </c>
      <c r="R17" s="6" t="n">
        <v>0.4597563916819</v>
      </c>
      <c r="S17" s="6" t="n">
        <v>17.592992107651</v>
      </c>
      <c r="T17" s="6" t="n">
        <v>7.32889616370378</v>
      </c>
      <c r="U17" s="6" t="n">
        <v>1.39848734662551</v>
      </c>
      <c r="V17" s="6" t="n">
        <v>-17.4432964362185</v>
      </c>
      <c r="W17" s="6" t="n">
        <v>-7.32889616370378</v>
      </c>
      <c r="X17" s="6" t="n">
        <v>-1.39848734662551</v>
      </c>
      <c r="Y17" s="6" t="n">
        <f aca="false">V17/X17</f>
        <v>12.4729740875442</v>
      </c>
      <c r="Z17" s="6" t="n">
        <f aca="false">W17/X17</f>
        <v>5.24058811213993</v>
      </c>
      <c r="AA17" s="6" t="n">
        <f aca="false">V17/W17</f>
        <v>2.38007143867123</v>
      </c>
      <c r="AB17" s="9" t="n">
        <v>0.0340842209985203</v>
      </c>
      <c r="AC17" s="6" t="n">
        <v>0.0186968845742944</v>
      </c>
    </row>
    <row r="18" customFormat="false" ht="13.8" hidden="false" customHeight="false" outlineLevel="0" collapsed="false">
      <c r="A18" s="10"/>
      <c r="B18" s="0" t="s">
        <v>88</v>
      </c>
      <c r="C18" s="6" t="n">
        <v>1.90013666557377</v>
      </c>
      <c r="D18" s="6" t="n">
        <v>0.690046935901639</v>
      </c>
      <c r="E18" s="6" t="n">
        <v>0.380010504262295</v>
      </c>
      <c r="F18" s="6" t="n">
        <v>2.5910127704918</v>
      </c>
      <c r="G18" s="6" t="n">
        <v>6.71177775409836</v>
      </c>
      <c r="H18" s="6" t="n">
        <v>-1.16274990983607</v>
      </c>
      <c r="I18" s="6" t="n">
        <v>0.0183671133209938</v>
      </c>
      <c r="J18" s="7" t="n">
        <v>39.95</v>
      </c>
      <c r="K18" s="6" t="n">
        <v>2.455</v>
      </c>
      <c r="L18" s="6" t="n">
        <v>1.47064965521903</v>
      </c>
      <c r="M18" s="6" t="n">
        <v>0.606970979011025</v>
      </c>
      <c r="N18" s="6" t="n">
        <v>0.126334925114212</v>
      </c>
      <c r="O18" s="6" t="n">
        <v>11.6408796212884</v>
      </c>
      <c r="P18" s="6" t="n">
        <v>4.80445908732125</v>
      </c>
      <c r="Q18" s="6" t="n">
        <v>2.42293240710659</v>
      </c>
      <c r="R18" s="6" t="n">
        <v>0.450912632030398</v>
      </c>
      <c r="S18" s="6" t="n">
        <v>17.8286496850333</v>
      </c>
      <c r="T18" s="6" t="n">
        <v>7.35829428536302</v>
      </c>
      <c r="U18" s="6" t="n">
        <v>1.53155519729187</v>
      </c>
      <c r="V18" s="6" t="n">
        <v>-17.7671369401635</v>
      </c>
      <c r="W18" s="6" t="n">
        <v>-7.35829428536302</v>
      </c>
      <c r="X18" s="6" t="n">
        <v>-1.53155519729187</v>
      </c>
      <c r="Y18" s="6" t="n">
        <f aca="false">V18/X18</f>
        <v>11.6007160379069</v>
      </c>
      <c r="Z18" s="6" t="n">
        <f aca="false">W18/X18</f>
        <v>4.80445908732125</v>
      </c>
      <c r="AA18" s="6" t="n">
        <f aca="false">V18/W18</f>
        <v>2.41457275981819</v>
      </c>
      <c r="AB18" s="9" t="n">
        <v>0.0373273780001581</v>
      </c>
      <c r="AC18" s="6" t="n">
        <v>0.0183671133209938</v>
      </c>
    </row>
    <row r="19" customFormat="false" ht="13.8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customFormat="false" ht="15" hidden="false" customHeight="false" outlineLevel="0" collapsed="false">
      <c r="A20" s="11"/>
      <c r="B20" s="11"/>
    </row>
  </sheetData>
  <mergeCells count="6">
    <mergeCell ref="A2:A4"/>
    <mergeCell ref="A5:A7"/>
    <mergeCell ref="A8:A10"/>
    <mergeCell ref="A11:A13"/>
    <mergeCell ref="A14:A16"/>
    <mergeCell ref="A17:A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661ce3-2683-4bf9-9289-294c7bfab3a2" xsi:nil="true"/>
    <lcf76f155ced4ddcb4097134ff3c332f xmlns="66484ace-d928-4e65-ba92-ed7e9f2e823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AB0B5EC405FE48BFE4A2BF33C2612E" ma:contentTypeVersion="14" ma:contentTypeDescription="Create a new document." ma:contentTypeScope="" ma:versionID="accbfc248b953e96cdc18c40e9a283a7">
  <xsd:schema xmlns:xsd="http://www.w3.org/2001/XMLSchema" xmlns:xs="http://www.w3.org/2001/XMLSchema" xmlns:p="http://schemas.microsoft.com/office/2006/metadata/properties" xmlns:ns2="66484ace-d928-4e65-ba92-ed7e9f2e823d" xmlns:ns3="09661ce3-2683-4bf9-9289-294c7bfab3a2" targetNamespace="http://schemas.microsoft.com/office/2006/metadata/properties" ma:root="true" ma:fieldsID="005fe4654d6cc1acd4a6f2580ca83e9a" ns2:_="" ns3:_="">
    <xsd:import namespace="66484ace-d928-4e65-ba92-ed7e9f2e823d"/>
    <xsd:import namespace="09661ce3-2683-4bf9-9289-294c7bfab3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484ace-d928-4e65-ba92-ed7e9f2e82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30a464d-8088-473d-a813-aa74308d77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661ce3-2683-4bf9-9289-294c7bfab3a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7da3f9f6-8c89-452c-b529-03fd48d3c39f}" ma:internalName="TaxCatchAll" ma:showField="CatchAllData" ma:web="09661ce3-2683-4bf9-9289-294c7bfab3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A94D0F-0FD3-40F6-A869-4D6A70F8648B}">
  <ds:schemaRefs>
    <ds:schemaRef ds:uri="http://schemas.microsoft.com/office/2006/metadata/properties"/>
    <ds:schemaRef ds:uri="http://schemas.microsoft.com/office/infopath/2007/PartnerControls"/>
    <ds:schemaRef ds:uri="09661ce3-2683-4bf9-9289-294c7bfab3a2"/>
    <ds:schemaRef ds:uri="66484ace-d928-4e65-ba92-ed7e9f2e823d"/>
  </ds:schemaRefs>
</ds:datastoreItem>
</file>

<file path=customXml/itemProps2.xml><?xml version="1.0" encoding="utf-8"?>
<ds:datastoreItem xmlns:ds="http://schemas.openxmlformats.org/officeDocument/2006/customXml" ds:itemID="{2E3C1807-4CF0-4EED-B76F-6A829F39C8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042DA7-1C81-4E3D-AB53-1640AF4714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484ace-d928-4e65-ba92-ed7e9f2e823d"/>
    <ds:schemaRef ds:uri="09661ce3-2683-4bf9-9289-294c7bfab3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2024-06-12T17:31:50Z</dcterms:created>
  <dc:creator/>
  <dc:description/>
  <dc:language>en-US</dc:language>
  <cp:lastModifiedBy/>
  <dcterms:modified xsi:type="dcterms:W3CDTF">2025-04-25T15:33:16Z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0x010100C5AB0B5EC405FE48BFE4A2BF33C2612E</vt:lpwstr>
  </property>
  <property fmtid="{D5CDD505-2E9C-101B-9397-08002B2CF9AE}" pid="3" name="MediaServiceImageTags">
    <vt:lpwstr/>
  </property>
</Properties>
</file>