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nammara\Documents\PhD\Data\Models\Manual Curation\"/>
    </mc:Choice>
  </mc:AlternateContent>
  <xr:revisionPtr revIDLastSave="0" documentId="13_ncr:1_{FEEA91C0-9646-4C44-9AE3-07C2345C8A74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0" i="1" l="1"/>
  <c r="I130" i="1" s="1"/>
  <c r="J130" i="1" s="1"/>
  <c r="F130" i="1"/>
  <c r="B130" i="1"/>
  <c r="G129" i="1"/>
  <c r="I129" i="1" s="1"/>
  <c r="J129" i="1" s="1"/>
  <c r="F129" i="1"/>
  <c r="B129" i="1"/>
  <c r="G128" i="1"/>
  <c r="I128" i="1" s="1"/>
  <c r="J128" i="1" s="1"/>
  <c r="F128" i="1"/>
  <c r="B128" i="1"/>
  <c r="G127" i="1"/>
  <c r="I127" i="1" s="1"/>
  <c r="J127" i="1" s="1"/>
  <c r="F127" i="1"/>
  <c r="B127" i="1"/>
  <c r="G126" i="1"/>
  <c r="I126" i="1" s="1"/>
  <c r="J126" i="1" s="1"/>
  <c r="F126" i="1"/>
  <c r="B126" i="1"/>
  <c r="G125" i="1"/>
  <c r="I125" i="1" s="1"/>
  <c r="J125" i="1" s="1"/>
  <c r="F125" i="1"/>
  <c r="B125" i="1"/>
  <c r="G124" i="1"/>
  <c r="I124" i="1" s="1"/>
  <c r="J124" i="1" s="1"/>
  <c r="F124" i="1"/>
  <c r="B124" i="1"/>
  <c r="I123" i="1"/>
  <c r="J123" i="1" s="1"/>
  <c r="G123" i="1"/>
  <c r="F123" i="1"/>
  <c r="B123" i="1"/>
  <c r="G122" i="1"/>
  <c r="I122" i="1" s="1"/>
  <c r="J122" i="1" s="1"/>
  <c r="F122" i="1"/>
  <c r="B122" i="1"/>
  <c r="G121" i="1"/>
  <c r="I121" i="1" s="1"/>
  <c r="J121" i="1" s="1"/>
  <c r="F121" i="1"/>
  <c r="B121" i="1"/>
  <c r="G120" i="1"/>
  <c r="I120" i="1" s="1"/>
  <c r="J120" i="1" s="1"/>
  <c r="F120" i="1"/>
  <c r="B120" i="1"/>
  <c r="I119" i="1"/>
  <c r="J119" i="1" s="1"/>
  <c r="G119" i="1"/>
  <c r="F119" i="1"/>
  <c r="B119" i="1"/>
  <c r="G118" i="1"/>
  <c r="I118" i="1" s="1"/>
  <c r="J118" i="1" s="1"/>
  <c r="F118" i="1"/>
  <c r="B118" i="1"/>
  <c r="I117" i="1"/>
  <c r="J117" i="1" s="1"/>
  <c r="G117" i="1"/>
  <c r="F117" i="1"/>
  <c r="B117" i="1"/>
  <c r="F116" i="1"/>
  <c r="B116" i="1"/>
  <c r="F115" i="1"/>
  <c r="B115" i="1"/>
  <c r="F114" i="1"/>
  <c r="B114" i="1"/>
  <c r="F113" i="1"/>
  <c r="B113" i="1"/>
  <c r="F112" i="1"/>
  <c r="B112" i="1"/>
  <c r="F111" i="1"/>
  <c r="B111" i="1"/>
  <c r="F110" i="1"/>
  <c r="B110" i="1"/>
  <c r="F109" i="1"/>
  <c r="B109" i="1"/>
  <c r="G108" i="1"/>
  <c r="I108" i="1" s="1"/>
  <c r="J108" i="1" s="1"/>
  <c r="F108" i="1"/>
  <c r="B108" i="1"/>
  <c r="G107" i="1"/>
  <c r="I107" i="1" s="1"/>
  <c r="J107" i="1" s="1"/>
  <c r="F107" i="1"/>
  <c r="B107" i="1"/>
  <c r="G106" i="1"/>
  <c r="I106" i="1" s="1"/>
  <c r="J106" i="1" s="1"/>
  <c r="F106" i="1"/>
  <c r="B106" i="1"/>
  <c r="I105" i="1"/>
  <c r="J105" i="1" s="1"/>
  <c r="G105" i="1"/>
  <c r="F105" i="1"/>
  <c r="B105" i="1"/>
  <c r="G104" i="1"/>
  <c r="I104" i="1" s="1"/>
  <c r="J104" i="1" s="1"/>
  <c r="F104" i="1"/>
  <c r="B104" i="1"/>
  <c r="G103" i="1"/>
  <c r="I103" i="1" s="1"/>
  <c r="J103" i="1" s="1"/>
  <c r="F103" i="1"/>
  <c r="B103" i="1"/>
  <c r="I102" i="1"/>
  <c r="J102" i="1" s="1"/>
  <c r="G102" i="1"/>
  <c r="F102" i="1"/>
  <c r="B102" i="1"/>
  <c r="G101" i="1"/>
  <c r="I101" i="1" s="1"/>
  <c r="J101" i="1" s="1"/>
  <c r="F101" i="1"/>
  <c r="B101" i="1"/>
  <c r="G100" i="1"/>
  <c r="I100" i="1" s="1"/>
  <c r="J100" i="1" s="1"/>
  <c r="F100" i="1"/>
  <c r="B100" i="1"/>
  <c r="G99" i="1"/>
  <c r="I99" i="1" s="1"/>
  <c r="J99" i="1" s="1"/>
  <c r="F99" i="1"/>
  <c r="B99" i="1"/>
  <c r="I98" i="1"/>
  <c r="J98" i="1" s="1"/>
  <c r="G98" i="1"/>
  <c r="F98" i="1"/>
  <c r="B98" i="1"/>
  <c r="J97" i="1"/>
  <c r="I97" i="1"/>
  <c r="G97" i="1"/>
  <c r="F97" i="1"/>
  <c r="B97" i="1"/>
  <c r="G96" i="1"/>
  <c r="I96" i="1" s="1"/>
  <c r="J96" i="1" s="1"/>
  <c r="F96" i="1"/>
  <c r="B96" i="1"/>
  <c r="G95" i="1"/>
  <c r="I95" i="1" s="1"/>
  <c r="J95" i="1" s="1"/>
  <c r="F95" i="1"/>
  <c r="B95" i="1"/>
  <c r="G94" i="1"/>
  <c r="I94" i="1" s="1"/>
  <c r="J94" i="1" s="1"/>
  <c r="F94" i="1"/>
  <c r="B94" i="1"/>
  <c r="I93" i="1"/>
  <c r="J93" i="1" s="1"/>
  <c r="G93" i="1"/>
  <c r="F93" i="1"/>
  <c r="B93" i="1"/>
  <c r="G92" i="1"/>
  <c r="I92" i="1" s="1"/>
  <c r="J92" i="1" s="1"/>
  <c r="F92" i="1"/>
  <c r="B92" i="1"/>
  <c r="G91" i="1"/>
  <c r="I91" i="1" s="1"/>
  <c r="J91" i="1" s="1"/>
  <c r="F91" i="1"/>
  <c r="B91" i="1"/>
  <c r="G90" i="1"/>
  <c r="I90" i="1" s="1"/>
  <c r="J90" i="1" s="1"/>
  <c r="F90" i="1"/>
  <c r="B90" i="1"/>
  <c r="G89" i="1"/>
  <c r="I89" i="1" s="1"/>
  <c r="J89" i="1" s="1"/>
  <c r="F89" i="1"/>
  <c r="B89" i="1"/>
  <c r="G88" i="1"/>
  <c r="I88" i="1" s="1"/>
  <c r="J88" i="1" s="1"/>
  <c r="F88" i="1"/>
  <c r="B88" i="1"/>
  <c r="G87" i="1"/>
  <c r="I87" i="1" s="1"/>
  <c r="J87" i="1" s="1"/>
  <c r="F87" i="1"/>
  <c r="B87" i="1"/>
  <c r="I86" i="1"/>
  <c r="F86" i="1"/>
  <c r="B86" i="1"/>
  <c r="I85" i="1"/>
  <c r="F85" i="1"/>
  <c r="B85" i="1"/>
  <c r="J84" i="1"/>
  <c r="I84" i="1"/>
  <c r="F84" i="1"/>
  <c r="D84" i="1"/>
  <c r="B84" i="1"/>
  <c r="I83" i="1"/>
  <c r="F83" i="1"/>
  <c r="B83" i="1"/>
  <c r="I82" i="1"/>
  <c r="F82" i="1"/>
  <c r="B82" i="1"/>
  <c r="I81" i="1"/>
  <c r="J81" i="1" s="1"/>
  <c r="G81" i="1"/>
  <c r="F81" i="1"/>
  <c r="B81" i="1"/>
  <c r="G80" i="1"/>
  <c r="I80" i="1" s="1"/>
  <c r="J80" i="1" s="1"/>
  <c r="F80" i="1"/>
  <c r="B80" i="1"/>
  <c r="I79" i="1"/>
  <c r="F79" i="1"/>
  <c r="B79" i="1"/>
  <c r="I78" i="1"/>
  <c r="F78" i="1"/>
  <c r="B78" i="1"/>
  <c r="I77" i="1"/>
  <c r="F77" i="1"/>
  <c r="B77" i="1"/>
  <c r="G76" i="1"/>
  <c r="I76" i="1" s="1"/>
  <c r="F76" i="1"/>
  <c r="B76" i="1"/>
  <c r="I75" i="1"/>
  <c r="J75" i="1" s="1"/>
  <c r="G75" i="1"/>
  <c r="F75" i="1"/>
  <c r="B75" i="1"/>
  <c r="G74" i="1"/>
  <c r="I74" i="1" s="1"/>
  <c r="J74" i="1" s="1"/>
  <c r="F74" i="1"/>
  <c r="B74" i="1"/>
  <c r="I73" i="1"/>
  <c r="F73" i="1"/>
  <c r="B73" i="1"/>
  <c r="I72" i="1"/>
  <c r="F72" i="1"/>
  <c r="B72" i="1"/>
  <c r="I71" i="1"/>
  <c r="J71" i="1" s="1"/>
  <c r="F71" i="1"/>
  <c r="B71" i="1"/>
  <c r="I70" i="1"/>
  <c r="J70" i="1" s="1"/>
  <c r="F70" i="1"/>
  <c r="D70" i="1"/>
  <c r="B70" i="1"/>
  <c r="I69" i="1"/>
  <c r="G69" i="1"/>
  <c r="D69" i="1" s="1"/>
  <c r="F69" i="1"/>
  <c r="B69" i="1"/>
  <c r="I68" i="1"/>
  <c r="F68" i="1"/>
  <c r="B68" i="1"/>
  <c r="I67" i="1"/>
  <c r="F67" i="1"/>
  <c r="D67" i="1"/>
  <c r="B67" i="1"/>
  <c r="I66" i="1"/>
  <c r="F66" i="1"/>
  <c r="B66" i="1"/>
  <c r="I65" i="1"/>
  <c r="J65" i="1" s="1"/>
  <c r="G65" i="1"/>
  <c r="F65" i="1"/>
  <c r="B65" i="1"/>
  <c r="I64" i="1"/>
  <c r="G64" i="1"/>
  <c r="D64" i="1" s="1"/>
  <c r="F64" i="1"/>
  <c r="B64" i="1"/>
  <c r="I63" i="1"/>
  <c r="F63" i="1"/>
  <c r="B63" i="1"/>
  <c r="I62" i="1"/>
  <c r="F62" i="1"/>
  <c r="B62" i="1"/>
  <c r="I61" i="1"/>
  <c r="F61" i="1"/>
  <c r="B61" i="1"/>
  <c r="G60" i="1"/>
  <c r="I60" i="1" s="1"/>
  <c r="J60" i="1" s="1"/>
  <c r="F60" i="1"/>
  <c r="B60" i="1"/>
  <c r="G59" i="1"/>
  <c r="D59" i="1" s="1"/>
  <c r="F59" i="1"/>
  <c r="B59" i="1"/>
  <c r="J58" i="1"/>
  <c r="I58" i="1"/>
  <c r="F58" i="1"/>
  <c r="B58" i="1"/>
  <c r="I57" i="1"/>
  <c r="G57" i="1"/>
  <c r="F57" i="1"/>
  <c r="D57" i="1"/>
  <c r="B57" i="1"/>
  <c r="I56" i="1"/>
  <c r="F56" i="1"/>
  <c r="B56" i="1"/>
  <c r="I55" i="1"/>
  <c r="F55" i="1"/>
  <c r="B55" i="1"/>
  <c r="G54" i="1"/>
  <c r="I54" i="1" s="1"/>
  <c r="J54" i="1" s="1"/>
  <c r="F54" i="1"/>
  <c r="B54" i="1"/>
  <c r="G53" i="1"/>
  <c r="I53" i="1" s="1"/>
  <c r="J53" i="1" s="1"/>
  <c r="F53" i="1"/>
  <c r="B53" i="1"/>
  <c r="I52" i="1"/>
  <c r="F52" i="1"/>
  <c r="B52" i="1"/>
  <c r="G51" i="1"/>
  <c r="D51" i="1" s="1"/>
  <c r="F51" i="1"/>
  <c r="B51" i="1"/>
  <c r="G50" i="1"/>
  <c r="I50" i="1" s="1"/>
  <c r="J50" i="1" s="1"/>
  <c r="F50" i="1"/>
  <c r="B50" i="1"/>
  <c r="I49" i="1"/>
  <c r="F49" i="1"/>
  <c r="B49" i="1"/>
  <c r="I48" i="1"/>
  <c r="F48" i="1"/>
  <c r="B48" i="1"/>
  <c r="G47" i="1"/>
  <c r="I47" i="1" s="1"/>
  <c r="J47" i="1" s="1"/>
  <c r="F47" i="1"/>
  <c r="B47" i="1"/>
  <c r="I46" i="1"/>
  <c r="F46" i="1"/>
  <c r="B46" i="1"/>
  <c r="G45" i="1"/>
  <c r="I45" i="1" s="1"/>
  <c r="J45" i="1" s="1"/>
  <c r="F45" i="1"/>
  <c r="B45" i="1"/>
  <c r="I44" i="1"/>
  <c r="F44" i="1"/>
  <c r="B44" i="1"/>
  <c r="I43" i="1"/>
  <c r="F43" i="1"/>
  <c r="B43" i="1"/>
  <c r="I42" i="1"/>
  <c r="J42" i="1" s="1"/>
  <c r="F42" i="1"/>
  <c r="D42" i="1"/>
  <c r="B42" i="1"/>
  <c r="I41" i="1"/>
  <c r="G41" i="1"/>
  <c r="F41" i="1"/>
  <c r="D41" i="1"/>
  <c r="B41" i="1"/>
  <c r="G40" i="1"/>
  <c r="I40" i="1" s="1"/>
  <c r="F40" i="1"/>
  <c r="D40" i="1"/>
  <c r="B40" i="1"/>
  <c r="I39" i="1"/>
  <c r="J39" i="1" s="1"/>
  <c r="F39" i="1"/>
  <c r="D39" i="1"/>
  <c r="B39" i="1"/>
  <c r="G38" i="1"/>
  <c r="D38" i="1" s="1"/>
  <c r="F38" i="1"/>
  <c r="B38" i="1"/>
  <c r="J37" i="1"/>
  <c r="I37" i="1"/>
  <c r="F37" i="1"/>
  <c r="D37" i="1"/>
  <c r="B37" i="1"/>
  <c r="I36" i="1"/>
  <c r="J36" i="1" s="1"/>
  <c r="F36" i="1"/>
  <c r="D36" i="1"/>
  <c r="B36" i="1"/>
  <c r="I35" i="1"/>
  <c r="F35" i="1"/>
  <c r="B35" i="1"/>
  <c r="I34" i="1"/>
  <c r="J34" i="1" s="1"/>
  <c r="F34" i="1"/>
  <c r="D34" i="1"/>
  <c r="B34" i="1"/>
  <c r="G33" i="1"/>
  <c r="I33" i="1" s="1"/>
  <c r="J33" i="1" s="1"/>
  <c r="F33" i="1"/>
  <c r="B33" i="1"/>
  <c r="G32" i="1"/>
  <c r="I32" i="1" s="1"/>
  <c r="J32" i="1" s="1"/>
  <c r="F32" i="1"/>
  <c r="B32" i="1"/>
  <c r="I31" i="1"/>
  <c r="F31" i="1"/>
  <c r="B31" i="1"/>
  <c r="G30" i="1"/>
  <c r="I30" i="1" s="1"/>
  <c r="J30" i="1" s="1"/>
  <c r="F30" i="1"/>
  <c r="B30" i="1"/>
  <c r="G29" i="1"/>
  <c r="I29" i="1" s="1"/>
  <c r="J29" i="1" s="1"/>
  <c r="F29" i="1"/>
  <c r="B29" i="1"/>
  <c r="I28" i="1"/>
  <c r="F28" i="1"/>
  <c r="B28" i="1"/>
  <c r="I27" i="1"/>
  <c r="G27" i="1"/>
  <c r="F27" i="1"/>
  <c r="D27" i="1"/>
  <c r="B27" i="1"/>
  <c r="I26" i="1"/>
  <c r="F26" i="1"/>
  <c r="B26" i="1"/>
  <c r="J25" i="1"/>
  <c r="I25" i="1"/>
  <c r="F25" i="1"/>
  <c r="B25" i="1"/>
  <c r="I24" i="1"/>
  <c r="G24" i="1"/>
  <c r="F24" i="1"/>
  <c r="D24" i="1"/>
  <c r="B24" i="1"/>
  <c r="G23" i="1"/>
  <c r="I23" i="1" s="1"/>
  <c r="J23" i="1" s="1"/>
  <c r="F23" i="1"/>
  <c r="B23" i="1"/>
  <c r="I22" i="1"/>
  <c r="J22" i="1" s="1"/>
  <c r="F22" i="1"/>
  <c r="B22" i="1"/>
  <c r="G21" i="1"/>
  <c r="D21" i="1" s="1"/>
  <c r="F21" i="1"/>
  <c r="B21" i="1"/>
  <c r="I20" i="1"/>
  <c r="F20" i="1"/>
  <c r="B20" i="1"/>
  <c r="I19" i="1"/>
  <c r="F19" i="1"/>
  <c r="B19" i="1"/>
  <c r="I18" i="1"/>
  <c r="F18" i="1"/>
  <c r="B18" i="1"/>
  <c r="G17" i="1"/>
  <c r="I17" i="1" s="1"/>
  <c r="J17" i="1" s="1"/>
  <c r="F17" i="1"/>
  <c r="B17" i="1"/>
  <c r="G16" i="1"/>
  <c r="I16" i="1" s="1"/>
  <c r="J16" i="1" s="1"/>
  <c r="F16" i="1"/>
  <c r="B16" i="1"/>
  <c r="I15" i="1"/>
  <c r="F15" i="1"/>
  <c r="B15" i="1"/>
  <c r="I14" i="1"/>
  <c r="J14" i="1" s="1"/>
  <c r="F14" i="1"/>
  <c r="D14" i="1"/>
  <c r="B14" i="1"/>
  <c r="G13" i="1"/>
  <c r="I13" i="1" s="1"/>
  <c r="J13" i="1" s="1"/>
  <c r="F13" i="1"/>
  <c r="B13" i="1"/>
  <c r="I12" i="1"/>
  <c r="F12" i="1"/>
  <c r="B12" i="1"/>
  <c r="G11" i="1"/>
  <c r="D11" i="1" s="1"/>
  <c r="F11" i="1"/>
  <c r="B11" i="1"/>
  <c r="G10" i="1"/>
  <c r="D10" i="1" s="1"/>
  <c r="F10" i="1"/>
  <c r="B10" i="1"/>
  <c r="I9" i="1"/>
  <c r="F9" i="1"/>
  <c r="B9" i="1"/>
  <c r="I8" i="1"/>
  <c r="F8" i="1"/>
  <c r="B8" i="1"/>
  <c r="J7" i="1"/>
  <c r="I7" i="1"/>
  <c r="F7" i="1"/>
  <c r="B7" i="1"/>
  <c r="I6" i="1"/>
  <c r="F6" i="1"/>
  <c r="B6" i="1"/>
  <c r="G5" i="1"/>
  <c r="F5" i="1"/>
  <c r="B5" i="1"/>
  <c r="I4" i="1"/>
  <c r="F4" i="1"/>
  <c r="B4" i="1"/>
  <c r="I3" i="1"/>
  <c r="F3" i="1"/>
  <c r="B3" i="1"/>
  <c r="I2" i="1"/>
  <c r="F2" i="1"/>
  <c r="B2" i="1"/>
  <c r="I51" i="1" l="1"/>
  <c r="I10" i="1"/>
  <c r="I38" i="1"/>
  <c r="I59" i="1"/>
  <c r="I5" i="1"/>
  <c r="J5" i="1" s="1"/>
  <c r="I11" i="1"/>
  <c r="I21" i="1"/>
  <c r="D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tc={8911AA4D-2751-413D-9BD9-8FCBCEB541E5}</author>
    <author>tc={5952DD42-858D-46D2-B347-BD1DFCB3B043}</author>
    <author>tc={CDD85A85-96C0-4201-BCF0-28939FE361B5}</author>
    <author>tc={3EC89AA0-EDB0-4CE2-ADDE-FDDF11EC2FBE}</author>
  </authors>
  <commentList>
    <comment ref="B25" authorId="0" shapeId="0" xr:uid="{D8CA13EA-7C42-4468-A4A3-C0B9D328805D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Phosphorus (P) 6.8 mg/g</t>
        </r>
      </text>
    </comment>
    <comment ref="B41" authorId="1" shapeId="0" xr:uid="{EF3F5C73-ACC3-4C8F-BD33-621C2E85DD87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46% of total measured iron in cells (same ratio as "unmeasured")</t>
        </r>
      </text>
    </comment>
    <comment ref="B51" authorId="2" shapeId="0" xr:uid="{7910CE57-19F6-478F-A56B-7A3B8A97A008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54% of total measured iron in cells (same ratio as "unmeasured")</t>
        </r>
      </text>
    </comment>
    <comment ref="B68" authorId="3" shapeId="0" xr:uid="{5269A6D9-0B4F-46D4-A671-EF246C231C3E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Sulfur (S) 5.19 mg/g</t>
        </r>
      </text>
    </comment>
  </commentList>
</comments>
</file>

<file path=xl/sharedStrings.xml><?xml version="1.0" encoding="utf-8"?>
<sst xmlns="http://schemas.openxmlformats.org/spreadsheetml/2006/main" count="138" uniqueCount="136">
  <si>
    <t>molar mass g/mol</t>
  </si>
  <si>
    <t>measured mmol/g</t>
  </si>
  <si>
    <t>Unmeasured mmol/g</t>
  </si>
  <si>
    <t>unmeasured g/g</t>
  </si>
  <si>
    <t>measured g/g</t>
  </si>
  <si>
    <t>GAM</t>
  </si>
  <si>
    <t>normalized g/g</t>
  </si>
  <si>
    <t>10fthf_c</t>
  </si>
  <si>
    <t>pydx5p_c</t>
  </si>
  <si>
    <t>murein3px4p_p</t>
  </si>
  <si>
    <t>thr__L_c</t>
  </si>
  <si>
    <t>adocbl_c</t>
  </si>
  <si>
    <t>h_c</t>
  </si>
  <si>
    <t>gthrd_c</t>
  </si>
  <si>
    <t>thmpp_c</t>
  </si>
  <si>
    <t>ni2_c</t>
  </si>
  <si>
    <t>mn2_c</t>
  </si>
  <si>
    <t>sheme_c</t>
  </si>
  <si>
    <t>ser__L_c</t>
  </si>
  <si>
    <t>ctp_c</t>
  </si>
  <si>
    <t>accoa_c</t>
  </si>
  <si>
    <t>arg__L_c</t>
  </si>
  <si>
    <t>asp__L_c</t>
  </si>
  <si>
    <t>murein4p3p_p</t>
  </si>
  <si>
    <t>5mthf_c</t>
  </si>
  <si>
    <t>nad_c</t>
  </si>
  <si>
    <t>mg2_c</t>
  </si>
  <si>
    <t>adp_c</t>
  </si>
  <si>
    <t>met__L_c</t>
  </si>
  <si>
    <t>nh4_c</t>
  </si>
  <si>
    <t>pi_c</t>
  </si>
  <si>
    <t>chor_c</t>
  </si>
  <si>
    <t>zn2_c</t>
  </si>
  <si>
    <t>q8h2_c</t>
  </si>
  <si>
    <t>tyr__L_c</t>
  </si>
  <si>
    <t>cys__L_c</t>
  </si>
  <si>
    <t>amet_c</t>
  </si>
  <si>
    <t>trp__L_c</t>
  </si>
  <si>
    <t>lys__L_c</t>
  </si>
  <si>
    <t>atp_c</t>
  </si>
  <si>
    <t>thf_c</t>
  </si>
  <si>
    <t>dttp_c</t>
  </si>
  <si>
    <t>dctp_c</t>
  </si>
  <si>
    <t>cobalt2_c</t>
  </si>
  <si>
    <t>utp_c</t>
  </si>
  <si>
    <t>k_c</t>
  </si>
  <si>
    <t>fe2_c</t>
  </si>
  <si>
    <t>datp_c</t>
  </si>
  <si>
    <t>ppi_c</t>
  </si>
  <si>
    <t>nadp_c</t>
  </si>
  <si>
    <t>glu__L_c</t>
  </si>
  <si>
    <t>spmd_c</t>
  </si>
  <si>
    <t>ile__L_c</t>
  </si>
  <si>
    <t>hemeO_c</t>
  </si>
  <si>
    <t>murein4p4p_p</t>
  </si>
  <si>
    <t>gln__L_c</t>
  </si>
  <si>
    <t>fe3_c</t>
  </si>
  <si>
    <t>mococdp_c</t>
  </si>
  <si>
    <t>ala__L_c</t>
  </si>
  <si>
    <t>phe__L_c</t>
  </si>
  <si>
    <t>mlthf_c</t>
  </si>
  <si>
    <t>2dmmql8_c</t>
  </si>
  <si>
    <t>cu2_c</t>
  </si>
  <si>
    <t>h2o_c</t>
  </si>
  <si>
    <t>ca2_c</t>
  </si>
  <si>
    <t>gly_c</t>
  </si>
  <si>
    <t>malcoa_c</t>
  </si>
  <si>
    <t>murein4px4p_p</t>
  </si>
  <si>
    <t>mql8_c</t>
  </si>
  <si>
    <t>cl_c</t>
  </si>
  <si>
    <t>his__L_c</t>
  </si>
  <si>
    <t>2fe2s_c</t>
  </si>
  <si>
    <t>ribflv_c</t>
  </si>
  <si>
    <t>so4_c</t>
  </si>
  <si>
    <t>ptrc_c</t>
  </si>
  <si>
    <t>gtp_c</t>
  </si>
  <si>
    <t>btn_c</t>
  </si>
  <si>
    <t>pheme_c</t>
  </si>
  <si>
    <t>nadph_c</t>
  </si>
  <si>
    <t>val__L_c</t>
  </si>
  <si>
    <t>pro__L_c</t>
  </si>
  <si>
    <t>mobd_c</t>
  </si>
  <si>
    <t>4fe4s_c</t>
  </si>
  <si>
    <t>nadh_c</t>
  </si>
  <si>
    <t>coa_c</t>
  </si>
  <si>
    <t>asn__L_c</t>
  </si>
  <si>
    <t>leu__L_c</t>
  </si>
  <si>
    <t>enter_c</t>
  </si>
  <si>
    <t>murein4px4px4p_p</t>
  </si>
  <si>
    <t>dgtp_c</t>
  </si>
  <si>
    <t>fad_c</t>
  </si>
  <si>
    <t>succoa_c</t>
  </si>
  <si>
    <t>rmn_c</t>
  </si>
  <si>
    <t>arab__L_c</t>
  </si>
  <si>
    <t>gal__L_c</t>
  </si>
  <si>
    <t>glc__D_c</t>
  </si>
  <si>
    <t>fru_c</t>
  </si>
  <si>
    <t>xyl__D_c</t>
  </si>
  <si>
    <t>man_c</t>
  </si>
  <si>
    <t>galam_c</t>
  </si>
  <si>
    <t>gam_c</t>
  </si>
  <si>
    <t>retinol_c</t>
  </si>
  <si>
    <t>avite1_c</t>
  </si>
  <si>
    <t>vitd3_c</t>
  </si>
  <si>
    <t>vitd2_c</t>
  </si>
  <si>
    <t>thm_c</t>
  </si>
  <si>
    <t>rbflvrd_c</t>
  </si>
  <si>
    <t>pydxn_c</t>
  </si>
  <si>
    <t>chol_c</t>
  </si>
  <si>
    <t>fol_c</t>
  </si>
  <si>
    <t>nac_c</t>
  </si>
  <si>
    <t>pnto__R_c</t>
  </si>
  <si>
    <t>phllqne_c</t>
  </si>
  <si>
    <t>caro_c</t>
  </si>
  <si>
    <t>clpn161_p</t>
  </si>
  <si>
    <t>pe160_p</t>
  </si>
  <si>
    <t>pg160_p</t>
  </si>
  <si>
    <t>clpn160_p</t>
  </si>
  <si>
    <t>clpn181_p</t>
  </si>
  <si>
    <t>colipa_e</t>
  </si>
  <si>
    <t>pe181_p</t>
  </si>
  <si>
    <t>pg161_p</t>
  </si>
  <si>
    <t>ttdca_c</t>
  </si>
  <si>
    <t>hexadecacid_c</t>
  </si>
  <si>
    <t>hexedecacid_c</t>
  </si>
  <si>
    <t>hpdca_c</t>
  </si>
  <si>
    <t>octadecacid_c</t>
  </si>
  <si>
    <t>octedecacid_c</t>
  </si>
  <si>
    <t>lnlc_c</t>
  </si>
  <si>
    <t>lnlncg_c</t>
  </si>
  <si>
    <t>arach_c</t>
  </si>
  <si>
    <t>tmndnc_c</t>
  </si>
  <si>
    <t>doco13ac_c</t>
  </si>
  <si>
    <t>ttc_c</t>
  </si>
  <si>
    <t>Biomass_equation</t>
  </si>
  <si>
    <t>normalized_mmol/g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</si>
</sst>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6" x14ac:knownFonts="1">
    <font>
      <sz val="11"/>
      <color theme="1"/>
      <name val="Calibri"/>
      <family val="2"/>
      <scheme val="minor"/>
    </font>
    <font>
      <b/>
      <sz val="10"/>
      <color rgb="FF11111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111111"/>
      <name val="Arial"/>
      <family val="2"/>
    </font>
    <font>
      <i/>
      <sz val="10"/>
      <color theme="5"/>
      <name val="Arial"/>
      <family val="2"/>
    </font>
    <font>
      <i/>
      <sz val="10"/>
      <color rgb="FF000000"/>
      <name val="Arial"/>
      <family val="2"/>
    </font>
    <font>
      <i/>
      <sz val="10"/>
      <color rgb="FF000000"/>
      <name val="Arial"/>
      <family val="2"/>
      <charset val="1"/>
    </font>
    <font>
      <sz val="10"/>
      <color theme="5"/>
      <name val="Arial"/>
      <family val="2"/>
    </font>
    <font>
      <sz val="10"/>
      <color rgb="FFFF000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Times New Roman"/>
      <family val="1"/>
    </font>
    <font>
      <i/>
      <sz val="10"/>
      <color rgb="FF111111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8A202"/>
        <bgColor rgb="FFFFCC00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FF4000"/>
        <bgColor rgb="FFC9211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0" xfId="0" applyFont="1" applyFill="1"/>
    <xf numFmtId="164" fontId="2" fillId="2" borderId="1" xfId="0" applyNumberFormat="1" applyFont="1" applyFill="1" applyBorder="1"/>
    <xf numFmtId="0" fontId="3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0" fontId="5" fillId="0" borderId="0" xfId="0" applyFont="1"/>
    <xf numFmtId="0" fontId="3" fillId="3" borderId="0" xfId="0" applyFont="1" applyFill="1"/>
    <xf numFmtId="164" fontId="4" fillId="0" borderId="2" xfId="0" applyNumberFormat="1" applyFont="1" applyBorder="1"/>
    <xf numFmtId="0" fontId="6" fillId="0" borderId="0" xfId="0" applyFont="1"/>
    <xf numFmtId="0" fontId="6" fillId="0" borderId="0" xfId="0" applyFont="1" applyAlignment="1">
      <alignment wrapText="1"/>
    </xf>
    <xf numFmtId="164" fontId="7" fillId="0" borderId="0" xfId="0" applyNumberFormat="1" applyFont="1"/>
    <xf numFmtId="0" fontId="3" fillId="4" borderId="0" xfId="0" applyFont="1" applyFill="1"/>
    <xf numFmtId="0" fontId="4" fillId="0" borderId="0" xfId="0" applyFont="1" applyAlignment="1">
      <alignment horizontal="right" wrapText="1"/>
    </xf>
    <xf numFmtId="164" fontId="6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wrapText="1"/>
    </xf>
    <xf numFmtId="164" fontId="9" fillId="0" borderId="0" xfId="0" applyNumberFormat="1" applyFont="1"/>
    <xf numFmtId="0" fontId="10" fillId="0" borderId="0" xfId="0" applyFont="1" applyAlignment="1">
      <alignment wrapText="1"/>
    </xf>
    <xf numFmtId="0" fontId="11" fillId="0" borderId="0" xfId="0" applyFont="1"/>
    <xf numFmtId="164" fontId="12" fillId="0" borderId="0" xfId="0" applyNumberFormat="1" applyFont="1"/>
    <xf numFmtId="0" fontId="13" fillId="0" borderId="0" xfId="0" applyFont="1"/>
    <xf numFmtId="0" fontId="13" fillId="0" borderId="0" xfId="0" applyFont="1" applyAlignment="1">
      <alignment wrapText="1"/>
    </xf>
    <xf numFmtId="0" fontId="8" fillId="0" borderId="0" xfId="0" applyFont="1"/>
    <xf numFmtId="164" fontId="14" fillId="0" borderId="0" xfId="0" applyNumberFormat="1" applyFont="1"/>
    <xf numFmtId="0" fontId="3" fillId="2" borderId="0" xfId="0" applyFont="1" applyFill="1"/>
    <xf numFmtId="0" fontId="4" fillId="0" borderId="0" xfId="0" applyFont="1" applyAlignment="1">
      <alignment wrapText="1"/>
    </xf>
    <xf numFmtId="0" fontId="4" fillId="5" borderId="0" xfId="0" applyFont="1" applyFill="1"/>
    <xf numFmtId="164" fontId="4" fillId="5" borderId="0" xfId="0" applyNumberFormat="1" applyFont="1" applyFill="1"/>
    <xf numFmtId="0" fontId="4" fillId="5" borderId="0" xfId="0" applyFont="1" applyFill="1" applyAlignment="1">
      <alignment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nammara/Documents/PhD/Data/Genome/SF_growth_medium_and_biomass_composition_202209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"/>
      <sheetName val="biomass macromolecules"/>
      <sheetName val="Biomass"/>
      <sheetName val="bigg_models_metabolites"/>
      <sheetName val="Sheet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Column1</v>
          </cell>
          <cell r="B1" t="str">
            <v>Column2</v>
          </cell>
          <cell r="C1" t="str">
            <v>Column3</v>
          </cell>
        </row>
        <row r="2">
          <cell r="A2" t="str">
            <v>bigg_id</v>
          </cell>
          <cell r="B2" t="str">
            <v>universal_bigg_id</v>
          </cell>
          <cell r="C2" t="str">
            <v>name</v>
          </cell>
        </row>
        <row r="3">
          <cell r="A3" t="str">
            <v>12dgr120_c</v>
          </cell>
          <cell r="B3" t="str">
            <v>12dgr120</v>
          </cell>
          <cell r="C3" t="str">
            <v>1,2-Diacyl-sn-glycerol (didodecanoyl, n-C12:0)</v>
          </cell>
        </row>
        <row r="4">
          <cell r="A4" t="str">
            <v>12dgr140_c</v>
          </cell>
          <cell r="B4" t="str">
            <v>12dgr140</v>
          </cell>
          <cell r="C4" t="str">
            <v>1,2-Diacyl-sn-glycerol (ditetradecanoyl, n-C14:0)</v>
          </cell>
        </row>
        <row r="5">
          <cell r="A5" t="str">
            <v>12dgr180_c</v>
          </cell>
          <cell r="B5" t="str">
            <v>12dgr180</v>
          </cell>
          <cell r="C5" t="str">
            <v>1,2-Diacyl-sn-glycerol (dioctadecanoyl, n-C18:0)</v>
          </cell>
        </row>
        <row r="6">
          <cell r="A6" t="str">
            <v>14glucan_c</v>
          </cell>
          <cell r="B6" t="str">
            <v>14glucan</v>
          </cell>
          <cell r="C6" t="str">
            <v>1,4-alpha-D-glucan</v>
          </cell>
        </row>
        <row r="7">
          <cell r="A7" t="str">
            <v>15dap_c</v>
          </cell>
          <cell r="B7" t="str">
            <v>15dap</v>
          </cell>
          <cell r="C7" t="str">
            <v>1,5-Diaminopentane</v>
          </cell>
        </row>
        <row r="8">
          <cell r="A8" t="str">
            <v>23ddhb_c</v>
          </cell>
          <cell r="B8" t="str">
            <v>23ddhb</v>
          </cell>
          <cell r="C8" t="str">
            <v>2,3-Dihydro-2,3-dihydroxybenzoate</v>
          </cell>
        </row>
        <row r="9">
          <cell r="A9" t="str">
            <v>23dhba_c</v>
          </cell>
          <cell r="B9" t="str">
            <v>23dhba</v>
          </cell>
          <cell r="C9" t="str">
            <v>(2,3-Dihydroxybenzoyl)adenylate</v>
          </cell>
        </row>
        <row r="10">
          <cell r="A10" t="str">
            <v>23dhbzs_c</v>
          </cell>
          <cell r="B10" t="str">
            <v>23dhbzs</v>
          </cell>
          <cell r="C10" t="str">
            <v>2,3-dihydroxybenzoylserine</v>
          </cell>
        </row>
        <row r="11">
          <cell r="A11" t="str">
            <v>26dap_LL_c</v>
          </cell>
          <cell r="B11" t="str">
            <v>26dap_LL</v>
          </cell>
          <cell r="C11" t="str">
            <v>LL-2,6-Diaminoheptanedioate</v>
          </cell>
        </row>
        <row r="12">
          <cell r="A12" t="str">
            <v>2agpe141_c</v>
          </cell>
          <cell r="B12" t="str">
            <v>2agpe141</v>
          </cell>
          <cell r="C12" t="str">
            <v>2-Acyl-sn-glycero-3-phosphoethanolamine (n-C14:1)</v>
          </cell>
        </row>
        <row r="13">
          <cell r="A13" t="str">
            <v>2agpe160_c</v>
          </cell>
          <cell r="B13" t="str">
            <v>2agpe160</v>
          </cell>
          <cell r="C13" t="str">
            <v>2-Acyl-sn-glycero-3-phosphoethanolamine (n-C16:0)</v>
          </cell>
        </row>
        <row r="14">
          <cell r="A14" t="str">
            <v>2agpg120_c</v>
          </cell>
          <cell r="B14" t="str">
            <v>2agpg120</v>
          </cell>
          <cell r="C14" t="str">
            <v>2-Acyl-sn-glycero-3-phosphoglycerol (n-C12:0)</v>
          </cell>
        </row>
        <row r="15">
          <cell r="A15" t="str">
            <v>2agpg140_c</v>
          </cell>
          <cell r="B15" t="str">
            <v>2agpg140</v>
          </cell>
          <cell r="C15" t="str">
            <v>2-Acyl-sn-glycero-3-phosphoglycerol (n-C14:0)</v>
          </cell>
        </row>
        <row r="16">
          <cell r="A16" t="str">
            <v>2aobut_c</v>
          </cell>
          <cell r="B16" t="str">
            <v>2aobut</v>
          </cell>
          <cell r="C16" t="str">
            <v>L-2-Amino-3-oxobutanoate</v>
          </cell>
        </row>
        <row r="17">
          <cell r="A17" t="str">
            <v>2dh3dgal6p_c</v>
          </cell>
          <cell r="B17" t="str">
            <v>2dh3dgal6p</v>
          </cell>
          <cell r="C17" t="str">
            <v>2-Dehydro-3-deoxy-D-galactonate 6-phosphate</v>
          </cell>
        </row>
        <row r="18">
          <cell r="A18" t="str">
            <v>2dhp_c</v>
          </cell>
          <cell r="B18" t="str">
            <v>2dhp</v>
          </cell>
          <cell r="C18" t="str">
            <v>2-Dehydropantoate</v>
          </cell>
        </row>
        <row r="19">
          <cell r="A19" t="str">
            <v>2dmmql8_c</v>
          </cell>
          <cell r="B19" t="str">
            <v>2dmmql8</v>
          </cell>
          <cell r="C19" t="str">
            <v>2-Demethylmenaquinol 8</v>
          </cell>
        </row>
        <row r="20">
          <cell r="A20" t="str">
            <v>2h3oppan_c</v>
          </cell>
          <cell r="B20" t="str">
            <v>2h3oppan</v>
          </cell>
          <cell r="C20" t="str">
            <v>2-Hydroxy-3-oxopropanoate</v>
          </cell>
        </row>
        <row r="21">
          <cell r="A21" t="str">
            <v>2hdecg3p_c</v>
          </cell>
          <cell r="B21" t="str">
            <v>2hdecg3p</v>
          </cell>
          <cell r="C21" t="str">
            <v>2-hexadecanoyl-sn-glycerol 3-phosphate</v>
          </cell>
        </row>
        <row r="22">
          <cell r="A22" t="str">
            <v>2odecg3p_c</v>
          </cell>
          <cell r="B22" t="str">
            <v>2odecg3p</v>
          </cell>
          <cell r="C22" t="str">
            <v>2-octadecanoyl-sn-glycerol 3-phosphate</v>
          </cell>
        </row>
        <row r="23">
          <cell r="A23" t="str">
            <v>2ohph_c</v>
          </cell>
          <cell r="B23" t="str">
            <v>2ohph</v>
          </cell>
          <cell r="C23" t="str">
            <v>2-Octaprenyl-6-hydroxyphenol</v>
          </cell>
        </row>
        <row r="24">
          <cell r="A24" t="str">
            <v>2ombzl_c</v>
          </cell>
          <cell r="B24" t="str">
            <v>2ombzl</v>
          </cell>
          <cell r="C24" t="str">
            <v>2-Octaprenyl-6-methoxy-1,4-benzoquinol</v>
          </cell>
        </row>
        <row r="25">
          <cell r="A25" t="str">
            <v>2omph_c</v>
          </cell>
          <cell r="B25" t="str">
            <v>2omph</v>
          </cell>
          <cell r="C25" t="str">
            <v>2-Octaprenyl-6-methoxyphenol</v>
          </cell>
        </row>
        <row r="26">
          <cell r="A26" t="str">
            <v>2oph_c</v>
          </cell>
          <cell r="B26" t="str">
            <v>2oph</v>
          </cell>
          <cell r="C26" t="str">
            <v>2-Octaprenylphenol</v>
          </cell>
        </row>
        <row r="27">
          <cell r="A27" t="str">
            <v>2pglyc_c</v>
          </cell>
          <cell r="B27" t="str">
            <v>2pglyc</v>
          </cell>
          <cell r="C27" t="str">
            <v>2-Phosphoglycolate</v>
          </cell>
        </row>
        <row r="28">
          <cell r="A28" t="str">
            <v>35cgmp_c</v>
          </cell>
          <cell r="B28" t="str">
            <v>35cgmp</v>
          </cell>
          <cell r="C28" t="str">
            <v>3',5'-Cyclic GMP</v>
          </cell>
        </row>
        <row r="29">
          <cell r="A29" t="str">
            <v>3c2hmp_c</v>
          </cell>
          <cell r="B29" t="str">
            <v>3c2hmp</v>
          </cell>
          <cell r="C29" t="str">
            <v>3-Carboxy-2-hydroxy-4-methylpentanoate</v>
          </cell>
        </row>
        <row r="30">
          <cell r="A30" t="str">
            <v>3c3hmp_c</v>
          </cell>
          <cell r="B30" t="str">
            <v>3c3hmp</v>
          </cell>
          <cell r="C30" t="str">
            <v>3-Carboxy-3-hydroxy-4-methylpentanoate</v>
          </cell>
        </row>
        <row r="31">
          <cell r="A31" t="str">
            <v>3c4mop_c</v>
          </cell>
          <cell r="B31" t="str">
            <v>3c4mop</v>
          </cell>
          <cell r="C31" t="str">
            <v>3-Carboxy-4-methyl-2-oxopentanoate</v>
          </cell>
        </row>
        <row r="32">
          <cell r="A32" t="str">
            <v>3dhq_c</v>
          </cell>
          <cell r="B32" t="str">
            <v>3dhq</v>
          </cell>
          <cell r="C32" t="str">
            <v>3-Dehydroquinate</v>
          </cell>
        </row>
        <row r="33">
          <cell r="A33" t="str">
            <v>3haACP_c</v>
          </cell>
          <cell r="B33" t="str">
            <v>3haACP</v>
          </cell>
          <cell r="C33" t="str">
            <v>(3R)-3-Hydroxyacyl-[acyl-carrier protein]</v>
          </cell>
        </row>
        <row r="34">
          <cell r="A34" t="str">
            <v>3hadpcoa_c</v>
          </cell>
          <cell r="B34" t="str">
            <v>3hadpcoa</v>
          </cell>
          <cell r="C34" t="str">
            <v>(3S)-3-Hydroxyadipyl-CoA</v>
          </cell>
        </row>
        <row r="35">
          <cell r="A35" t="str">
            <v>3hcddec5eACP_c</v>
          </cell>
          <cell r="B35" t="str">
            <v>3hcddec5eACP</v>
          </cell>
          <cell r="C35" t="str">
            <v>(R)-3-hydroxy-cis-dodec-5-enoyl-[acyl-carrier protein]</v>
          </cell>
        </row>
        <row r="36">
          <cell r="A36" t="str">
            <v>3hcmrs7eACP_c</v>
          </cell>
          <cell r="B36" t="str">
            <v>3hcmrs7eACP</v>
          </cell>
          <cell r="C36" t="str">
            <v>(R)-3-hydroxy-cis-myristol-7-eoyl-[acyl-carrier protein]</v>
          </cell>
        </row>
        <row r="37">
          <cell r="A37" t="str">
            <v>3hdcoa_c</v>
          </cell>
          <cell r="B37" t="str">
            <v>3hdcoa</v>
          </cell>
          <cell r="C37" t="str">
            <v>(S)-3-Hydroxydecanoyl-CoA</v>
          </cell>
        </row>
        <row r="38">
          <cell r="A38" t="str">
            <v>3hdecACP_c</v>
          </cell>
          <cell r="B38" t="str">
            <v>3hdecACP</v>
          </cell>
          <cell r="C38" t="str">
            <v>(R)-3-Hydroxydecanoyl-[acyl-carrier protein]</v>
          </cell>
        </row>
        <row r="39">
          <cell r="A39" t="str">
            <v>3hhdcoa_c</v>
          </cell>
          <cell r="B39" t="str">
            <v>3hhdcoa</v>
          </cell>
          <cell r="C39" t="str">
            <v>(S)-3-Hydroxyhexadecanoyl-CoA</v>
          </cell>
        </row>
        <row r="40">
          <cell r="A40" t="str">
            <v>3hocoa_c</v>
          </cell>
          <cell r="B40" t="str">
            <v>3hocoa</v>
          </cell>
          <cell r="C40" t="str">
            <v>(S)-3-Hydroxyoctanoyl-CoA</v>
          </cell>
        </row>
        <row r="41">
          <cell r="A41" t="str">
            <v>3hoctaACP_c</v>
          </cell>
          <cell r="B41" t="str">
            <v>3hoctaACP</v>
          </cell>
          <cell r="C41" t="str">
            <v>(R)-3-Hydroxyoctadecanoyl-[acyl-carrier protein]</v>
          </cell>
        </row>
        <row r="42">
          <cell r="A42" t="str">
            <v>3hpppn_c</v>
          </cell>
          <cell r="B42" t="str">
            <v>3hpppn</v>
          </cell>
          <cell r="C42" t="str">
            <v>3-(3-hydroxy-phenyl)propionate</v>
          </cell>
        </row>
        <row r="43">
          <cell r="A43" t="str">
            <v>3mop_c</v>
          </cell>
          <cell r="B43" t="str">
            <v>3mop</v>
          </cell>
          <cell r="C43" t="str">
            <v>(S)-3-Methyl-2-oxopentanoate</v>
          </cell>
        </row>
        <row r="44">
          <cell r="A44" t="str">
            <v>3ocddec5eACP_c</v>
          </cell>
          <cell r="B44" t="str">
            <v>3ocddec5eACP</v>
          </cell>
          <cell r="C44" t="str">
            <v>3-oxo-cis-dodec-5-enoyl-[acyl-carrier protein]</v>
          </cell>
        </row>
        <row r="45">
          <cell r="A45" t="str">
            <v>3odcoa_c</v>
          </cell>
          <cell r="B45" t="str">
            <v>3odcoa</v>
          </cell>
          <cell r="C45" t="str">
            <v>3-Oxodecanoyl-CoA</v>
          </cell>
        </row>
        <row r="46">
          <cell r="A46" t="str">
            <v>3ohcoa_c</v>
          </cell>
          <cell r="B46" t="str">
            <v>3ohcoa</v>
          </cell>
          <cell r="C46" t="str">
            <v>3-Oxohexanoyl-CoA</v>
          </cell>
        </row>
        <row r="47">
          <cell r="A47" t="str">
            <v>3opalmACP_c</v>
          </cell>
          <cell r="B47" t="str">
            <v>3opalmACP</v>
          </cell>
          <cell r="C47" t="str">
            <v>3-Oxohexadecanoyl-[acyl-carrier protein]</v>
          </cell>
        </row>
        <row r="48">
          <cell r="A48" t="str">
            <v>3pg_c</v>
          </cell>
          <cell r="B48" t="str">
            <v>3pg</v>
          </cell>
          <cell r="C48" t="str">
            <v>3-Phospho-D-glycerate</v>
          </cell>
        </row>
        <row r="49">
          <cell r="A49" t="str">
            <v>4h2opntn_c</v>
          </cell>
          <cell r="B49" t="str">
            <v>4h2opntn</v>
          </cell>
          <cell r="C49" t="str">
            <v>4-Hydroxy-2-oxopentanoate</v>
          </cell>
        </row>
        <row r="50">
          <cell r="A50" t="str">
            <v>5aizc_c</v>
          </cell>
          <cell r="B50" t="str">
            <v>5aizc</v>
          </cell>
          <cell r="C50" t="str">
            <v>5-amino-1-(5-phospho-D-ribosyl)imidazole-4-carboxylate</v>
          </cell>
        </row>
        <row r="51">
          <cell r="A51" t="str">
            <v>5aop_c</v>
          </cell>
          <cell r="B51" t="str">
            <v>5aop</v>
          </cell>
          <cell r="C51" t="str">
            <v>5-Amino-4-oxopentanoate</v>
          </cell>
        </row>
        <row r="52">
          <cell r="A52" t="str">
            <v>5mta_c</v>
          </cell>
          <cell r="B52" t="str">
            <v>5mta</v>
          </cell>
          <cell r="C52" t="str">
            <v>5-Methylthioadenosine</v>
          </cell>
        </row>
        <row r="53">
          <cell r="A53" t="str">
            <v>5mtr_c</v>
          </cell>
          <cell r="B53" t="str">
            <v>5mtr</v>
          </cell>
          <cell r="C53" t="str">
            <v>5-Methylthio-D-ribose</v>
          </cell>
        </row>
        <row r="54">
          <cell r="A54" t="str">
            <v>6pgc_c</v>
          </cell>
          <cell r="B54" t="str">
            <v>6pgc</v>
          </cell>
          <cell r="C54" t="str">
            <v>6-Phospho-D-gluconate</v>
          </cell>
        </row>
        <row r="55">
          <cell r="A55" t="str">
            <v>acald_c</v>
          </cell>
          <cell r="B55" t="str">
            <v>acald</v>
          </cell>
          <cell r="C55" t="str">
            <v>Acetaldehyde</v>
          </cell>
        </row>
        <row r="56">
          <cell r="A56" t="str">
            <v>acetol_c</v>
          </cell>
          <cell r="B56" t="str">
            <v>acetol</v>
          </cell>
          <cell r="C56" t="str">
            <v>Acetol cytosol</v>
          </cell>
        </row>
        <row r="57">
          <cell r="A57" t="str">
            <v>acglu_c</v>
          </cell>
          <cell r="B57" t="str">
            <v>acglu</v>
          </cell>
          <cell r="C57" t="str">
            <v>N-Acetyl-L-glutamate</v>
          </cell>
        </row>
        <row r="58">
          <cell r="A58" t="str">
            <v>acorn_c</v>
          </cell>
          <cell r="B58" t="str">
            <v>acorn</v>
          </cell>
          <cell r="C58" t="str">
            <v>N2-Acetyl-L-ornithine</v>
          </cell>
        </row>
        <row r="59">
          <cell r="A59" t="str">
            <v>acser_c</v>
          </cell>
          <cell r="B59" t="str">
            <v>acser</v>
          </cell>
          <cell r="C59" t="str">
            <v>O-Acetyl-L-serine</v>
          </cell>
        </row>
        <row r="60">
          <cell r="A60" t="str">
            <v>actp_c</v>
          </cell>
          <cell r="B60" t="str">
            <v>actp</v>
          </cell>
          <cell r="C60" t="str">
            <v>Acetyl phosphate</v>
          </cell>
        </row>
        <row r="61">
          <cell r="A61" t="str">
            <v>adp_c</v>
          </cell>
          <cell r="B61" t="str">
            <v>adp</v>
          </cell>
          <cell r="C61" t="str">
            <v>ADP C10H12N5O10P2</v>
          </cell>
        </row>
        <row r="62">
          <cell r="A62" t="str">
            <v>adprib_c</v>
          </cell>
          <cell r="B62" t="str">
            <v>adprib</v>
          </cell>
          <cell r="C62" t="str">
            <v>ADPribose C15H21N5O14P2</v>
          </cell>
        </row>
        <row r="63">
          <cell r="A63" t="str">
            <v>ag_c</v>
          </cell>
          <cell r="B63" t="str">
            <v>ag</v>
          </cell>
          <cell r="C63" t="str">
            <v>Silver</v>
          </cell>
        </row>
        <row r="64">
          <cell r="A64" t="str">
            <v>ahdt_c</v>
          </cell>
          <cell r="B64" t="str">
            <v>ahdt</v>
          </cell>
          <cell r="C64" t="str">
            <v>2-Amino-4-hydroxy-6-(erythro-1,2,3-trihydroxypropyl)dihydropteridine triphosphate</v>
          </cell>
        </row>
        <row r="65">
          <cell r="A65" t="str">
            <v>akg_c</v>
          </cell>
          <cell r="B65" t="str">
            <v>akg</v>
          </cell>
          <cell r="C65" t="str">
            <v>2-Oxoglutarate</v>
          </cell>
        </row>
        <row r="66">
          <cell r="A66" t="str">
            <v>ala_B_c</v>
          </cell>
          <cell r="B66" t="str">
            <v>ala_B</v>
          </cell>
          <cell r="C66" t="str">
            <v>Beta-Alanine</v>
          </cell>
        </row>
        <row r="67">
          <cell r="A67" t="str">
            <v>ala__L_c</v>
          </cell>
          <cell r="B67" t="str">
            <v>ala__L</v>
          </cell>
          <cell r="C67" t="str">
            <v>L-Alanine</v>
          </cell>
        </row>
        <row r="68">
          <cell r="A68" t="str">
            <v>all6p_c</v>
          </cell>
          <cell r="B68" t="str">
            <v>all6p</v>
          </cell>
          <cell r="C68" t="str">
            <v>D-Allose 6-phosphate</v>
          </cell>
        </row>
        <row r="69">
          <cell r="A69" t="str">
            <v>amet_c</v>
          </cell>
          <cell r="B69" t="str">
            <v>amet</v>
          </cell>
          <cell r="C69" t="str">
            <v>S-Adenosyl-L-methionine</v>
          </cell>
        </row>
        <row r="70">
          <cell r="A70" t="str">
            <v>ametam_c</v>
          </cell>
          <cell r="B70" t="str">
            <v>ametam</v>
          </cell>
          <cell r="C70" t="str">
            <v>S-Adenosylmethioninamine</v>
          </cell>
        </row>
        <row r="71">
          <cell r="A71" t="str">
            <v>apg160_c</v>
          </cell>
          <cell r="B71" t="str">
            <v>apg160</v>
          </cell>
          <cell r="C71" t="str">
            <v>Acyl phosphatidylglycerol (n-C16:0)</v>
          </cell>
        </row>
        <row r="72">
          <cell r="A72" t="str">
            <v>apg161_c</v>
          </cell>
          <cell r="B72" t="str">
            <v>apg161</v>
          </cell>
          <cell r="C72" t="str">
            <v>Acyl phosphatidylglycerol (n-C16:1)</v>
          </cell>
        </row>
        <row r="73">
          <cell r="A73" t="str">
            <v>apg180_c</v>
          </cell>
          <cell r="B73" t="str">
            <v>apg180</v>
          </cell>
          <cell r="C73" t="str">
            <v>Acyl phosphatidylglycerol (n-C18:0)</v>
          </cell>
        </row>
        <row r="74">
          <cell r="A74" t="str">
            <v>apg181_c</v>
          </cell>
          <cell r="B74" t="str">
            <v>apg181</v>
          </cell>
          <cell r="C74" t="str">
            <v>Acyl phosphatidylglycerol (n-C18:1)</v>
          </cell>
        </row>
        <row r="75">
          <cell r="A75" t="str">
            <v>arab__L_c</v>
          </cell>
          <cell r="B75" t="str">
            <v>arab__L</v>
          </cell>
          <cell r="C75" t="str">
            <v>L-Arabinose</v>
          </cell>
        </row>
        <row r="76">
          <cell r="A76" t="str">
            <v>aragund_c</v>
          </cell>
          <cell r="B76" t="str">
            <v>aragund</v>
          </cell>
          <cell r="C76" t="str">
            <v>O-acetyl-rhamanosyl-N-acetylglucosamyl-undecaprenyl diphosphate</v>
          </cell>
        </row>
        <row r="77">
          <cell r="A77" t="str">
            <v>argtrna_c</v>
          </cell>
          <cell r="B77" t="str">
            <v>argtrna</v>
          </cell>
          <cell r="C77" t="str">
            <v>L-Arginyl-tRNA(Arg)</v>
          </cell>
        </row>
        <row r="78">
          <cell r="A78" t="str">
            <v>aso3_c</v>
          </cell>
          <cell r="B78" t="str">
            <v>aso3</v>
          </cell>
          <cell r="C78" t="str">
            <v>Arsenite</v>
          </cell>
        </row>
        <row r="79">
          <cell r="A79" t="str">
            <v>btal_c</v>
          </cell>
          <cell r="B79" t="str">
            <v>btal</v>
          </cell>
          <cell r="C79" t="str">
            <v>Butanal C4H8O</v>
          </cell>
        </row>
        <row r="80">
          <cell r="A80" t="str">
            <v>btcoa_c</v>
          </cell>
          <cell r="B80" t="str">
            <v>btcoa</v>
          </cell>
          <cell r="C80" t="str">
            <v>Butanoyl-CoA</v>
          </cell>
        </row>
        <row r="81">
          <cell r="A81" t="str">
            <v>btn_c</v>
          </cell>
          <cell r="B81" t="str">
            <v>btn</v>
          </cell>
          <cell r="C81" t="str">
            <v>Biotin</v>
          </cell>
        </row>
        <row r="82">
          <cell r="A82" t="str">
            <v>btnso_c</v>
          </cell>
          <cell r="B82" t="str">
            <v>btnso</v>
          </cell>
          <cell r="C82" t="str">
            <v>D-biotin d-sulfoxide</v>
          </cell>
        </row>
        <row r="83">
          <cell r="A83" t="str">
            <v>butso3_c</v>
          </cell>
          <cell r="B83" t="str">
            <v>butso3</v>
          </cell>
          <cell r="C83" t="str">
            <v>Butanesulfonate</v>
          </cell>
        </row>
        <row r="84">
          <cell r="A84" t="str">
            <v>cbasp_c</v>
          </cell>
          <cell r="B84" t="str">
            <v>cbasp</v>
          </cell>
          <cell r="C84" t="str">
            <v>N-Carbamoyl-L-aspartate</v>
          </cell>
        </row>
        <row r="85">
          <cell r="A85" t="str">
            <v>cddec5eACP_c</v>
          </cell>
          <cell r="B85" t="str">
            <v>cddec5eACP</v>
          </cell>
          <cell r="C85" t="str">
            <v>Cis-dodec-5-enoyl-[acyl-carrier protein] (n-C12:1)</v>
          </cell>
        </row>
        <row r="86">
          <cell r="A86" t="str">
            <v>cdpdodecg_c</v>
          </cell>
          <cell r="B86" t="str">
            <v>cdpdodecg</v>
          </cell>
          <cell r="C86" t="str">
            <v>CDP-1,2-dioctadecanoylglycerol</v>
          </cell>
        </row>
        <row r="87">
          <cell r="A87" t="str">
            <v>cdpdtdecg_c</v>
          </cell>
          <cell r="B87" t="str">
            <v>cdpdtdecg</v>
          </cell>
          <cell r="C87" t="str">
            <v>CDP-1,2-ditetradecanoylglycerol</v>
          </cell>
        </row>
        <row r="88">
          <cell r="A88" t="str">
            <v>cpe160_c</v>
          </cell>
          <cell r="B88" t="str">
            <v>cpe160</v>
          </cell>
          <cell r="C88" t="str">
            <v>Cyclopropane phosphatidylethanolamine (dihexadec-9,10-cyclo-anoyl, n-C16:0 cyclo)</v>
          </cell>
        </row>
        <row r="89">
          <cell r="A89" t="str">
            <v>cpe180_c</v>
          </cell>
          <cell r="B89" t="str">
            <v>cpe180</v>
          </cell>
          <cell r="C89" t="str">
            <v>Cyclopropane phosphatidylethanolamine (dioctadec-11,12-cyclo-anoyl, n-C18:0 cyclo)</v>
          </cell>
        </row>
        <row r="90">
          <cell r="A90" t="str">
            <v>crn_c</v>
          </cell>
          <cell r="B90" t="str">
            <v>crn</v>
          </cell>
          <cell r="C90" t="str">
            <v>L-Carnitine</v>
          </cell>
        </row>
        <row r="91">
          <cell r="A91" t="str">
            <v>ctbtcoa_c</v>
          </cell>
          <cell r="B91" t="str">
            <v>ctbtcoa</v>
          </cell>
          <cell r="C91" t="str">
            <v>Crotonobetainyl-CoA</v>
          </cell>
        </row>
        <row r="92">
          <cell r="A92" t="str">
            <v>cys__L_c</v>
          </cell>
          <cell r="B92" t="str">
            <v>cys__L</v>
          </cell>
          <cell r="C92" t="str">
            <v>L-Cysteine</v>
          </cell>
        </row>
        <row r="93">
          <cell r="A93" t="str">
            <v>cyst__L_c</v>
          </cell>
          <cell r="B93" t="str">
            <v>cyst__L</v>
          </cell>
          <cell r="C93" t="str">
            <v>L-Cystathionine</v>
          </cell>
        </row>
        <row r="94">
          <cell r="A94" t="str">
            <v>cytd_c</v>
          </cell>
          <cell r="B94" t="str">
            <v>cytd</v>
          </cell>
          <cell r="C94" t="str">
            <v>Cytidine</v>
          </cell>
        </row>
        <row r="95">
          <cell r="A95" t="str">
            <v>datp_c</v>
          </cell>
          <cell r="B95" t="str">
            <v>datp</v>
          </cell>
          <cell r="C95" t="str">
            <v>DATP C10H12N5O12P3</v>
          </cell>
        </row>
        <row r="96">
          <cell r="A96" t="str">
            <v>dcamp_c</v>
          </cell>
          <cell r="B96" t="str">
            <v>dcamp</v>
          </cell>
          <cell r="C96" t="str">
            <v>N6-(1,2-Dicarboxyethyl)-AMP</v>
          </cell>
        </row>
        <row r="97">
          <cell r="A97" t="str">
            <v>ddca_c</v>
          </cell>
          <cell r="B97" t="str">
            <v>ddca</v>
          </cell>
          <cell r="C97" t="str">
            <v>Dodecanoate (n-C12:0)</v>
          </cell>
        </row>
        <row r="98">
          <cell r="A98" t="str">
            <v>dgdp_c</v>
          </cell>
          <cell r="B98" t="str">
            <v>dgdp</v>
          </cell>
          <cell r="C98" t="str">
            <v>DGDP C10H12N5O10P2</v>
          </cell>
        </row>
        <row r="99">
          <cell r="A99" t="str">
            <v>dgslnt_c</v>
          </cell>
          <cell r="B99" t="str">
            <v>dgslnt</v>
          </cell>
          <cell r="C99" t="str">
            <v>Selenodiglutathione</v>
          </cell>
        </row>
        <row r="100">
          <cell r="A100" t="str">
            <v>dgtp_c</v>
          </cell>
          <cell r="B100" t="str">
            <v>dgtp</v>
          </cell>
          <cell r="C100" t="str">
            <v>DGTP C10H12N5O13P3</v>
          </cell>
        </row>
        <row r="101">
          <cell r="A101" t="str">
            <v>dha_c</v>
          </cell>
          <cell r="B101" t="str">
            <v>dha</v>
          </cell>
          <cell r="C101" t="str">
            <v>Dihydroxyacetone</v>
          </cell>
        </row>
        <row r="102">
          <cell r="A102" t="str">
            <v>dhmpt_c</v>
          </cell>
          <cell r="B102" t="str">
            <v>dhmpt</v>
          </cell>
          <cell r="C102" t="str">
            <v>Dihydromonapterin</v>
          </cell>
        </row>
        <row r="103">
          <cell r="A103" t="str">
            <v>dhmptp_c</v>
          </cell>
          <cell r="B103" t="str">
            <v>dhmptp</v>
          </cell>
          <cell r="C103" t="str">
            <v>Dihydromonapterin-triphosphate</v>
          </cell>
        </row>
        <row r="104">
          <cell r="A104" t="str">
            <v>dhnpt_c</v>
          </cell>
          <cell r="B104" t="str">
            <v>dhnpt</v>
          </cell>
          <cell r="C104" t="str">
            <v>Dihydroneopterin</v>
          </cell>
        </row>
        <row r="105">
          <cell r="A105" t="str">
            <v>dimp_c</v>
          </cell>
          <cell r="B105" t="str">
            <v>dimp</v>
          </cell>
          <cell r="C105" t="str">
            <v>DIMP C10H12N4O7P</v>
          </cell>
        </row>
        <row r="106">
          <cell r="A106" t="str">
            <v>din_c</v>
          </cell>
          <cell r="B106" t="str">
            <v>din</v>
          </cell>
          <cell r="C106" t="str">
            <v>Deoxyinosine</v>
          </cell>
        </row>
        <row r="107">
          <cell r="A107" t="str">
            <v>dmpp_c</v>
          </cell>
          <cell r="B107" t="str">
            <v>dmpp</v>
          </cell>
          <cell r="C107" t="str">
            <v>Dimethylallyl diphosphate</v>
          </cell>
        </row>
        <row r="108">
          <cell r="A108" t="str">
            <v>dtdpglu_c</v>
          </cell>
          <cell r="B108" t="str">
            <v>dtdpglu</v>
          </cell>
          <cell r="C108" t="str">
            <v>DTDPglucose</v>
          </cell>
        </row>
        <row r="109">
          <cell r="A109" t="str">
            <v>dttp_c</v>
          </cell>
          <cell r="B109" t="str">
            <v>dttp</v>
          </cell>
          <cell r="C109" t="str">
            <v>DTTP C10H13N2O14P3</v>
          </cell>
        </row>
        <row r="110">
          <cell r="A110" t="str">
            <v>dump_c</v>
          </cell>
          <cell r="B110" t="str">
            <v>dump</v>
          </cell>
          <cell r="C110" t="str">
            <v>DUMP C9H11N2O8P</v>
          </cell>
        </row>
        <row r="111">
          <cell r="A111" t="str">
            <v>dutp_c</v>
          </cell>
          <cell r="B111" t="str">
            <v>dutp</v>
          </cell>
          <cell r="C111" t="str">
            <v>DUTP C9H11N2O14P3</v>
          </cell>
        </row>
        <row r="112">
          <cell r="A112" t="str">
            <v>eig3p_c</v>
          </cell>
          <cell r="B112" t="str">
            <v>eig3p</v>
          </cell>
          <cell r="C112" t="str">
            <v>D-erythro-1-(Imidazol-4-yl)glycerol 3-phosphate</v>
          </cell>
        </row>
        <row r="113">
          <cell r="A113" t="str">
            <v>f1p_c</v>
          </cell>
          <cell r="B113" t="str">
            <v>f1p</v>
          </cell>
          <cell r="C113" t="str">
            <v>D-Fructose 1-phosphate</v>
          </cell>
        </row>
        <row r="114">
          <cell r="A114" t="str">
            <v>fad_c</v>
          </cell>
          <cell r="B114" t="str">
            <v>fad</v>
          </cell>
          <cell r="C114" t="str">
            <v>Flavin adenine dinucleotide oxidized</v>
          </cell>
        </row>
        <row r="115">
          <cell r="A115" t="str">
            <v>fe2_c</v>
          </cell>
          <cell r="B115" t="str">
            <v>fe2</v>
          </cell>
          <cell r="C115" t="str">
            <v>Fe2+ mitochondria</v>
          </cell>
        </row>
        <row r="116">
          <cell r="A116" t="str">
            <v>fecrm_c</v>
          </cell>
          <cell r="B116" t="str">
            <v>fecrm</v>
          </cell>
          <cell r="C116" t="str">
            <v>Ferrichrome</v>
          </cell>
        </row>
        <row r="117">
          <cell r="A117" t="str">
            <v>feoxam_c</v>
          </cell>
          <cell r="B117" t="str">
            <v>feoxam</v>
          </cell>
          <cell r="C117" t="str">
            <v>Generic ferrioxamine-Fe-III</v>
          </cell>
        </row>
        <row r="118">
          <cell r="A118" t="str">
            <v>feoxam_un_c</v>
          </cell>
          <cell r="B118" t="str">
            <v>feoxam_un</v>
          </cell>
          <cell r="C118" t="str">
            <v>Ferroxamine minus Fe(3)</v>
          </cell>
        </row>
        <row r="119">
          <cell r="A119" t="str">
            <v>forcoa_c</v>
          </cell>
          <cell r="B119" t="str">
            <v>forcoa</v>
          </cell>
          <cell r="C119" t="str">
            <v>Formyl-CoA(4-)</v>
          </cell>
        </row>
        <row r="120">
          <cell r="A120" t="str">
            <v>frdp_c</v>
          </cell>
          <cell r="B120" t="str">
            <v>frdp</v>
          </cell>
          <cell r="C120" t="str">
            <v>Farnesyl diphosphate</v>
          </cell>
        </row>
        <row r="121">
          <cell r="A121" t="str">
            <v>fruur_c</v>
          </cell>
          <cell r="B121" t="str">
            <v>fruur</v>
          </cell>
          <cell r="C121" t="str">
            <v>D-Fructuronate</v>
          </cell>
        </row>
        <row r="122">
          <cell r="A122" t="str">
            <v>fuc__L_c</v>
          </cell>
          <cell r="B122" t="str">
            <v>fuc__L</v>
          </cell>
          <cell r="C122" t="str">
            <v>L-Fucose</v>
          </cell>
        </row>
        <row r="123">
          <cell r="A123" t="str">
            <v>g3pc_c</v>
          </cell>
          <cell r="B123" t="str">
            <v>g3pc</v>
          </cell>
          <cell r="C123" t="str">
            <v>Sn-Glycero-3-phosphocholine</v>
          </cell>
        </row>
        <row r="124">
          <cell r="A124" t="str">
            <v>g3pe_c</v>
          </cell>
          <cell r="B124" t="str">
            <v>g3pe</v>
          </cell>
          <cell r="C124" t="str">
            <v>Sn-Glycero-3-phosphoethanolamine</v>
          </cell>
        </row>
        <row r="125">
          <cell r="A125" t="str">
            <v>g3pi_c</v>
          </cell>
          <cell r="B125" t="str">
            <v>g3pi</v>
          </cell>
          <cell r="C125" t="str">
            <v>Sn-Glycero-3-phospho-1-inositol</v>
          </cell>
        </row>
        <row r="126">
          <cell r="A126" t="str">
            <v>gdpofuc_c</v>
          </cell>
          <cell r="B126" t="str">
            <v>gdpofuc</v>
          </cell>
          <cell r="C126" t="str">
            <v>GDP-4-oxo-L-fucose</v>
          </cell>
        </row>
        <row r="127">
          <cell r="A127" t="str">
            <v>gdptp_c</v>
          </cell>
          <cell r="B127" t="str">
            <v>gdptp</v>
          </cell>
          <cell r="C127" t="str">
            <v>Guanosine 3'-diphosphate 5'-triphosphate</v>
          </cell>
        </row>
        <row r="128">
          <cell r="A128" t="str">
            <v>ggagicolipa_c</v>
          </cell>
          <cell r="B128" t="str">
            <v>ggagicolipa</v>
          </cell>
          <cell r="C128" t="str">
            <v>Glucosyl-galactosyl-glucosyl-inner core oligosaccharide lipid A</v>
          </cell>
        </row>
        <row r="129">
          <cell r="A129" t="str">
            <v>gggagicolipa_c</v>
          </cell>
          <cell r="B129" t="str">
            <v>gggagicolipa</v>
          </cell>
          <cell r="C129" t="str">
            <v>Glucosyl-glucosyl-galactosyl-glucosyl-inner core oligosaccharide lipid A</v>
          </cell>
        </row>
        <row r="130">
          <cell r="A130" t="str">
            <v>ghb_c</v>
          </cell>
          <cell r="B130" t="str">
            <v>ghb</v>
          </cell>
          <cell r="C130" t="str">
            <v>Gamma-hydroxybutyrate</v>
          </cell>
        </row>
        <row r="131">
          <cell r="A131" t="str">
            <v>gicolipa_c</v>
          </cell>
          <cell r="B131" t="str">
            <v>gicolipa</v>
          </cell>
          <cell r="C131" t="str">
            <v>Glucosyl-inner core oligosaccharide lipid A</v>
          </cell>
        </row>
        <row r="132">
          <cell r="A132" t="str">
            <v>glcn_c</v>
          </cell>
          <cell r="B132" t="str">
            <v>glcn</v>
          </cell>
          <cell r="C132" t="str">
            <v>D-Gluconate</v>
          </cell>
        </row>
        <row r="133">
          <cell r="A133" t="str">
            <v>glu__D_c</v>
          </cell>
          <cell r="B133" t="str">
            <v>glu__D</v>
          </cell>
          <cell r="C133" t="str">
            <v>D-Glutamate</v>
          </cell>
        </row>
        <row r="134">
          <cell r="A134" t="str">
            <v>glyc__R_c</v>
          </cell>
          <cell r="B134" t="str">
            <v>glyc__R</v>
          </cell>
          <cell r="C134" t="str">
            <v>(R)-Glycerate</v>
          </cell>
        </row>
        <row r="135">
          <cell r="A135" t="str">
            <v>glyc2p_c</v>
          </cell>
          <cell r="B135" t="str">
            <v>glyc2p</v>
          </cell>
          <cell r="C135" t="str">
            <v>Glycerol 2-phosphate</v>
          </cell>
        </row>
        <row r="136">
          <cell r="A136" t="str">
            <v>glyclt_c</v>
          </cell>
          <cell r="B136" t="str">
            <v>glyclt</v>
          </cell>
          <cell r="C136" t="str">
            <v>Glycolate C2H3O3</v>
          </cell>
        </row>
        <row r="137">
          <cell r="A137" t="str">
            <v>grdp_c</v>
          </cell>
          <cell r="B137" t="str">
            <v>grdp</v>
          </cell>
          <cell r="C137" t="str">
            <v>Geranyl diphosphate</v>
          </cell>
        </row>
        <row r="138">
          <cell r="A138" t="str">
            <v>grxrd_c</v>
          </cell>
          <cell r="B138" t="str">
            <v>grxrd</v>
          </cell>
          <cell r="C138" t="str">
            <v>Glutaredoxin (reduced)</v>
          </cell>
        </row>
        <row r="139">
          <cell r="A139" t="str">
            <v>gslnt_c</v>
          </cell>
          <cell r="B139" t="str">
            <v>gslnt</v>
          </cell>
          <cell r="C139" t="str">
            <v>Glutathiolselenolate</v>
          </cell>
        </row>
        <row r="140">
          <cell r="A140" t="str">
            <v>h_c</v>
          </cell>
          <cell r="B140" t="str">
            <v>h</v>
          </cell>
          <cell r="C140" t="str">
            <v>H+</v>
          </cell>
        </row>
        <row r="141">
          <cell r="A141" t="str">
            <v>h2_c</v>
          </cell>
          <cell r="B141" t="str">
            <v>h2</v>
          </cell>
          <cell r="C141" t="str">
            <v>Hydrogen</v>
          </cell>
        </row>
        <row r="142">
          <cell r="A142" t="str">
            <v>h2o_c</v>
          </cell>
          <cell r="B142" t="str">
            <v>h2o</v>
          </cell>
          <cell r="C142" t="str">
            <v>H2O H2O</v>
          </cell>
        </row>
        <row r="143">
          <cell r="A143" t="str">
            <v>hcys__L_c</v>
          </cell>
          <cell r="B143" t="str">
            <v>hcys__L</v>
          </cell>
          <cell r="C143" t="str">
            <v>L-Homocysteine</v>
          </cell>
        </row>
        <row r="144">
          <cell r="A144" t="str">
            <v>hdca_c</v>
          </cell>
          <cell r="B144" t="str">
            <v>hdca</v>
          </cell>
          <cell r="C144" t="str">
            <v>Hexadecanoate (n-C16:0)</v>
          </cell>
        </row>
        <row r="145">
          <cell r="A145" t="str">
            <v>hdd2coa_c</v>
          </cell>
          <cell r="B145" t="str">
            <v>hdd2coa</v>
          </cell>
          <cell r="C145" t="str">
            <v>Trans-Hexadec-2-enoyl-CoA</v>
          </cell>
        </row>
        <row r="146">
          <cell r="A146" t="str">
            <v>hg2_c</v>
          </cell>
          <cell r="B146" t="str">
            <v>hg2</v>
          </cell>
          <cell r="C146" t="str">
            <v>Mercury  charged 2  Hg</v>
          </cell>
        </row>
        <row r="147">
          <cell r="A147" t="str">
            <v>hhlipa_c</v>
          </cell>
          <cell r="B147" t="str">
            <v>hhlipa</v>
          </cell>
          <cell r="C147" t="str">
            <v>Heptosyl-heptosyl-kdo2-lipidA</v>
          </cell>
        </row>
        <row r="148">
          <cell r="A148" t="str">
            <v>his__L_c</v>
          </cell>
          <cell r="B148" t="str">
            <v>his__L</v>
          </cell>
          <cell r="C148" t="str">
            <v>L-Histidine</v>
          </cell>
        </row>
        <row r="149">
          <cell r="A149" t="str">
            <v>hkndd_c</v>
          </cell>
          <cell r="B149" t="str">
            <v>hkndd</v>
          </cell>
          <cell r="C149" t="str">
            <v>2-Hydroxy-6-oxonona-2,4-diene-1,9-dioate</v>
          </cell>
        </row>
        <row r="150">
          <cell r="A150" t="str">
            <v>hlipa_c</v>
          </cell>
          <cell r="B150" t="str">
            <v>hlipa</v>
          </cell>
          <cell r="C150" t="str">
            <v>Heptosyl-kdo2-lipidA</v>
          </cell>
        </row>
        <row r="151">
          <cell r="A151" t="str">
            <v>hom__L_c</v>
          </cell>
          <cell r="B151" t="str">
            <v>hom__L</v>
          </cell>
          <cell r="C151" t="str">
            <v>L-Homoserine</v>
          </cell>
        </row>
        <row r="152">
          <cell r="A152" t="str">
            <v>hxan_c</v>
          </cell>
          <cell r="B152" t="str">
            <v>hxan</v>
          </cell>
          <cell r="C152" t="str">
            <v>Hypoxanthine</v>
          </cell>
        </row>
        <row r="153">
          <cell r="A153" t="str">
            <v>icolipa_c</v>
          </cell>
          <cell r="B153" t="str">
            <v>icolipa</v>
          </cell>
          <cell r="C153" t="str">
            <v>Inner core oligosaccharide lipid A (E coli)</v>
          </cell>
        </row>
        <row r="154">
          <cell r="A154" t="str">
            <v>imp_c</v>
          </cell>
          <cell r="B154" t="str">
            <v>imp</v>
          </cell>
          <cell r="C154" t="str">
            <v>IMP C10H11N4O8P</v>
          </cell>
        </row>
        <row r="155">
          <cell r="A155" t="str">
            <v>indole_c</v>
          </cell>
          <cell r="B155" t="str">
            <v>indole</v>
          </cell>
          <cell r="C155" t="str">
            <v>Indole</v>
          </cell>
        </row>
        <row r="156">
          <cell r="A156" t="str">
            <v>kdo2lipid4L_c</v>
          </cell>
          <cell r="B156" t="str">
            <v>kdo2lipid4L</v>
          </cell>
          <cell r="C156" t="str">
            <v>KDO(2)-lipid IV(A) with laurate</v>
          </cell>
        </row>
        <row r="157">
          <cell r="A157" t="str">
            <v>kdo8p_c</v>
          </cell>
          <cell r="B157" t="str">
            <v>kdo8p</v>
          </cell>
          <cell r="C157" t="str">
            <v>3-Deoxy-D-manno-octulosonate 8-phosphate</v>
          </cell>
        </row>
        <row r="158">
          <cell r="A158" t="str">
            <v>lcts_c</v>
          </cell>
          <cell r="B158" t="str">
            <v>lcts</v>
          </cell>
          <cell r="C158" t="str">
            <v>Lactose C12H22O11</v>
          </cell>
        </row>
        <row r="159">
          <cell r="A159" t="str">
            <v>lipa_c</v>
          </cell>
          <cell r="B159" t="str">
            <v>lipa</v>
          </cell>
          <cell r="C159" t="str">
            <v>KDO(2)-lipid (A)</v>
          </cell>
        </row>
        <row r="160">
          <cell r="A160" t="str">
            <v>lipa_cold_c</v>
          </cell>
          <cell r="B160" t="str">
            <v>lipa_cold</v>
          </cell>
          <cell r="C160" t="str">
            <v>Cold adapted KDO(2)-lipid (A)</v>
          </cell>
        </row>
        <row r="161">
          <cell r="A161" t="str">
            <v>lipidAds_c</v>
          </cell>
          <cell r="B161" t="str">
            <v>lipidAds</v>
          </cell>
          <cell r="C161" t="str">
            <v>Lipid A Disaccharide</v>
          </cell>
        </row>
        <row r="162">
          <cell r="A162" t="str">
            <v>lipidX_c</v>
          </cell>
          <cell r="B162" t="str">
            <v>lipidX</v>
          </cell>
          <cell r="C162" t="str">
            <v>2,3-Bis(3-hydroxytetradecanoyl)-beta-D-glucosaminyl 1-phosphate</v>
          </cell>
        </row>
        <row r="163">
          <cell r="A163" t="str">
            <v>malcoame_c</v>
          </cell>
          <cell r="B163" t="str">
            <v>malcoame</v>
          </cell>
          <cell r="C163" t="str">
            <v>Malonyl-CoA methyl ester</v>
          </cell>
        </row>
        <row r="164">
          <cell r="A164" t="str">
            <v>malt_c</v>
          </cell>
          <cell r="B164" t="str">
            <v>malt</v>
          </cell>
          <cell r="C164" t="str">
            <v>Maltose C12H22O11</v>
          </cell>
        </row>
        <row r="165">
          <cell r="A165" t="str">
            <v>malt6p_c</v>
          </cell>
          <cell r="B165" t="str">
            <v>malt6p</v>
          </cell>
          <cell r="C165" t="str">
            <v>Maltose 6'-phosphate</v>
          </cell>
        </row>
        <row r="166">
          <cell r="A166" t="str">
            <v>malthx_c</v>
          </cell>
          <cell r="B166" t="str">
            <v>malthx</v>
          </cell>
          <cell r="C166" t="str">
            <v>Maltohexaose</v>
          </cell>
        </row>
        <row r="167">
          <cell r="A167" t="str">
            <v>maltpt_c</v>
          </cell>
          <cell r="B167" t="str">
            <v>maltpt</v>
          </cell>
          <cell r="C167" t="str">
            <v>Maltopentaose</v>
          </cell>
        </row>
        <row r="168">
          <cell r="A168" t="str">
            <v>mercppyr_c</v>
          </cell>
          <cell r="B168" t="str">
            <v>mercppyr</v>
          </cell>
          <cell r="C168" t="str">
            <v>Mercaptopyruvate</v>
          </cell>
        </row>
        <row r="169">
          <cell r="A169" t="str">
            <v>met__L_c</v>
          </cell>
          <cell r="B169" t="str">
            <v>met__L</v>
          </cell>
          <cell r="C169" t="str">
            <v>L-Methionine</v>
          </cell>
        </row>
        <row r="170">
          <cell r="A170" t="str">
            <v>metsox_S__L_c</v>
          </cell>
          <cell r="B170" t="str">
            <v>metsox_S__L</v>
          </cell>
          <cell r="C170" t="str">
            <v>L-Methionine Sulfoxide</v>
          </cell>
        </row>
        <row r="171">
          <cell r="A171" t="str">
            <v>micit_c</v>
          </cell>
          <cell r="B171" t="str">
            <v>micit</v>
          </cell>
          <cell r="C171" t="str">
            <v>Methylisocitrate</v>
          </cell>
        </row>
        <row r="172">
          <cell r="A172" t="str">
            <v>moadcosh_c</v>
          </cell>
          <cell r="B172" t="str">
            <v>moadcosh</v>
          </cell>
          <cell r="C172" t="str">
            <v>MoaD Protein with thiocarboxylate</v>
          </cell>
        </row>
        <row r="173">
          <cell r="A173" t="str">
            <v>mpt_c</v>
          </cell>
          <cell r="B173" t="str">
            <v>mpt</v>
          </cell>
          <cell r="C173" t="str">
            <v>Molybdopterin</v>
          </cell>
        </row>
        <row r="174">
          <cell r="A174" t="str">
            <v>msa_c</v>
          </cell>
          <cell r="B174" t="str">
            <v>msa</v>
          </cell>
          <cell r="C174" t="str">
            <v>Malonate semialdehyde</v>
          </cell>
        </row>
        <row r="175">
          <cell r="A175" t="str">
            <v>myrsACP_c</v>
          </cell>
          <cell r="B175" t="str">
            <v>myrsACP</v>
          </cell>
          <cell r="C175" t="str">
            <v>Myristoyl-ACP (n-C14:0ACP)</v>
          </cell>
        </row>
        <row r="176">
          <cell r="A176" t="str">
            <v>nad_c</v>
          </cell>
          <cell r="B176" t="str">
            <v>nad</v>
          </cell>
          <cell r="C176" t="str">
            <v>Nicotinamide adenine dinucleotide</v>
          </cell>
        </row>
        <row r="177">
          <cell r="A177" t="str">
            <v>ni2_c</v>
          </cell>
          <cell r="B177" t="str">
            <v>ni2</v>
          </cell>
          <cell r="C177" t="str">
            <v>Nickel</v>
          </cell>
        </row>
        <row r="178">
          <cell r="A178" t="str">
            <v>nicrnt_c</v>
          </cell>
          <cell r="B178" t="str">
            <v>nicrnt</v>
          </cell>
          <cell r="C178" t="str">
            <v>Nicotinate D-ribonucleotide</v>
          </cell>
        </row>
        <row r="179">
          <cell r="A179" t="str">
            <v>o16aund_c</v>
          </cell>
          <cell r="B179" t="str">
            <v>o16aund</v>
          </cell>
          <cell r="C179" t="str">
            <v>O16 antigen undecaprenyl diphosphate</v>
          </cell>
        </row>
        <row r="180">
          <cell r="A180" t="str">
            <v>oaa_c</v>
          </cell>
          <cell r="B180" t="str">
            <v>oaa</v>
          </cell>
          <cell r="C180" t="str">
            <v>Oxaloacetate</v>
          </cell>
        </row>
        <row r="181">
          <cell r="A181" t="str">
            <v>ocdcap_c</v>
          </cell>
          <cell r="B181" t="str">
            <v>ocdcap</v>
          </cell>
          <cell r="C181" t="str">
            <v>Octadecanoyl-phosphate (n-C18:0)</v>
          </cell>
        </row>
        <row r="182">
          <cell r="A182" t="str">
            <v>ocdcea_c</v>
          </cell>
          <cell r="B182" t="str">
            <v>ocdcea</v>
          </cell>
          <cell r="C182" t="str">
            <v>Octadecenoate (n-C18:1)</v>
          </cell>
        </row>
        <row r="183">
          <cell r="A183" t="str">
            <v>odecoa_c</v>
          </cell>
          <cell r="B183" t="str">
            <v>odecoa</v>
          </cell>
          <cell r="C183" t="str">
            <v>Octadecenoyl-CoA (n-C18:1CoA)</v>
          </cell>
        </row>
        <row r="184">
          <cell r="A184" t="str">
            <v>opmeACP_c</v>
          </cell>
          <cell r="B184" t="str">
            <v>opmeACP</v>
          </cell>
          <cell r="C184" t="str">
            <v>3-Oxo-pimeloyl-[acyl-carrier protein] methyl ester</v>
          </cell>
        </row>
        <row r="185">
          <cell r="A185" t="str">
            <v>pant__R_c</v>
          </cell>
          <cell r="B185" t="str">
            <v>pant__R</v>
          </cell>
          <cell r="C185" t="str">
            <v>(R)-Pantoate</v>
          </cell>
        </row>
        <row r="186">
          <cell r="A186" t="str">
            <v>pe120_c</v>
          </cell>
          <cell r="B186" t="str">
            <v>pe120</v>
          </cell>
          <cell r="C186" t="str">
            <v>Phosphatidylethanolamine (didodecanoyl, n-C12:0)</v>
          </cell>
        </row>
        <row r="187">
          <cell r="A187" t="str">
            <v>pe160_c</v>
          </cell>
          <cell r="B187" t="str">
            <v>pe160</v>
          </cell>
          <cell r="C187" t="str">
            <v>Phosphatidylethanolamine (dihexadecanoyl, n-C16:0)</v>
          </cell>
        </row>
        <row r="188">
          <cell r="A188" t="str">
            <v>pg120_c</v>
          </cell>
          <cell r="B188" t="str">
            <v>pg120</v>
          </cell>
          <cell r="C188" t="str">
            <v>Phosphatidylglycerol (didodecanoyl, n-C12:0)</v>
          </cell>
        </row>
        <row r="189">
          <cell r="A189" t="str">
            <v>pg141_c</v>
          </cell>
          <cell r="B189" t="str">
            <v>pg141</v>
          </cell>
          <cell r="C189" t="str">
            <v>Phosphatidylglycerol (ditetradec-7-enoyl, n-C14:1)</v>
          </cell>
        </row>
        <row r="190">
          <cell r="A190" t="str">
            <v>pg161_c</v>
          </cell>
          <cell r="B190" t="str">
            <v>pg161</v>
          </cell>
          <cell r="C190" t="str">
            <v>Phosphatidylglycerol (dihexadec-9-enoyl, n-C16:1)</v>
          </cell>
        </row>
        <row r="191">
          <cell r="A191" t="str">
            <v>pgp140_c</v>
          </cell>
          <cell r="B191" t="str">
            <v>pgp140</v>
          </cell>
          <cell r="C191" t="str">
            <v>Phosphatidylglycerophosphate (ditetradecanoyl, n-C14:0)</v>
          </cell>
        </row>
        <row r="192">
          <cell r="A192" t="str">
            <v>phe__L_c</v>
          </cell>
          <cell r="B192" t="str">
            <v>phe__L</v>
          </cell>
          <cell r="C192" t="str">
            <v>L-Phenylalanine</v>
          </cell>
        </row>
        <row r="193">
          <cell r="A193" t="str">
            <v>ppap_c</v>
          </cell>
          <cell r="B193" t="str">
            <v>ppap</v>
          </cell>
          <cell r="C193" t="str">
            <v>Propanoyl phosphate</v>
          </cell>
        </row>
        <row r="194">
          <cell r="A194" t="str">
            <v>ppbng_c</v>
          </cell>
          <cell r="B194" t="str">
            <v>ppbng</v>
          </cell>
          <cell r="C194" t="str">
            <v>Porphobilinogen</v>
          </cell>
        </row>
        <row r="195">
          <cell r="A195" t="str">
            <v>ppp9_c</v>
          </cell>
          <cell r="B195" t="str">
            <v>ppp9</v>
          </cell>
          <cell r="C195" t="str">
            <v>Protoporphyrin</v>
          </cell>
        </row>
        <row r="196">
          <cell r="A196" t="str">
            <v>pppg9_c</v>
          </cell>
          <cell r="B196" t="str">
            <v>pppg9</v>
          </cell>
          <cell r="C196" t="str">
            <v>Protoporphyrinogen IX</v>
          </cell>
        </row>
        <row r="197">
          <cell r="A197" t="str">
            <v>preq0_c</v>
          </cell>
          <cell r="B197" t="str">
            <v>preq0</v>
          </cell>
          <cell r="C197" t="str">
            <v>7-cyano-7-carbaguanine</v>
          </cell>
        </row>
        <row r="198">
          <cell r="A198" t="str">
            <v>preq1_c</v>
          </cell>
          <cell r="B198" t="str">
            <v>preq1</v>
          </cell>
          <cell r="C198" t="str">
            <v>7-aminomethyl-7-deazaguanine</v>
          </cell>
        </row>
        <row r="199">
          <cell r="A199" t="str">
            <v>prlp_c</v>
          </cell>
          <cell r="B199" t="str">
            <v>prlp</v>
          </cell>
          <cell r="C199" t="str">
            <v>5-[(5-phospho-1-deoxyribulos-1-ylamino)methylideneamino]-1-(5-phosphoribosyl)imidazole-4-carboxamide</v>
          </cell>
        </row>
        <row r="200">
          <cell r="A200" t="str">
            <v>progly_c</v>
          </cell>
          <cell r="B200" t="str">
            <v>progly</v>
          </cell>
          <cell r="C200" t="str">
            <v>L-Prolinylglycine</v>
          </cell>
        </row>
        <row r="201">
          <cell r="A201" t="str">
            <v>prpp_c</v>
          </cell>
          <cell r="B201" t="str">
            <v>prpp</v>
          </cell>
          <cell r="C201" t="str">
            <v>5-Phospho-alpha-D-ribose 1-diphosphate</v>
          </cell>
        </row>
        <row r="202">
          <cell r="A202" t="str">
            <v>psclys_c</v>
          </cell>
          <cell r="B202" t="str">
            <v>psclys</v>
          </cell>
          <cell r="C202" t="str">
            <v>Psicoselysine</v>
          </cell>
        </row>
        <row r="203">
          <cell r="A203" t="str">
            <v>pser__L_c</v>
          </cell>
          <cell r="B203" t="str">
            <v>pser__L</v>
          </cell>
          <cell r="C203" t="str">
            <v>O-Phospho-L-serine</v>
          </cell>
        </row>
        <row r="204">
          <cell r="A204" t="str">
            <v>pydx_c</v>
          </cell>
          <cell r="B204" t="str">
            <v>pydx</v>
          </cell>
          <cell r="C204" t="str">
            <v>Pyridoxal</v>
          </cell>
        </row>
        <row r="205">
          <cell r="A205" t="str">
            <v>pydx5p_c</v>
          </cell>
          <cell r="B205" t="str">
            <v>pydx5p</v>
          </cell>
          <cell r="C205" t="str">
            <v>Pyridoxal 5'-phosphate</v>
          </cell>
        </row>
        <row r="206">
          <cell r="A206" t="str">
            <v>q8h2_c</v>
          </cell>
          <cell r="B206" t="str">
            <v>q8h2</v>
          </cell>
          <cell r="C206" t="str">
            <v>Ubiquinol-8</v>
          </cell>
        </row>
        <row r="207">
          <cell r="A207" t="str">
            <v>quln_c</v>
          </cell>
          <cell r="B207" t="str">
            <v>quln</v>
          </cell>
          <cell r="C207" t="str">
            <v>Quinolinate</v>
          </cell>
        </row>
        <row r="208">
          <cell r="A208" t="str">
            <v>r15bp_c</v>
          </cell>
          <cell r="B208" t="str">
            <v>r15bp</v>
          </cell>
          <cell r="C208" t="str">
            <v>D-Ribose 1,5-bisphosphate</v>
          </cell>
        </row>
        <row r="209">
          <cell r="A209" t="str">
            <v>r1p_c</v>
          </cell>
          <cell r="B209" t="str">
            <v>r1p</v>
          </cell>
          <cell r="C209" t="str">
            <v>Alpha-D-Ribose 1-phosphate</v>
          </cell>
        </row>
        <row r="210">
          <cell r="A210" t="str">
            <v>r5p_c</v>
          </cell>
          <cell r="B210" t="str">
            <v>r5p</v>
          </cell>
          <cell r="C210" t="str">
            <v>Alpha-D-Ribose 5-phosphate</v>
          </cell>
        </row>
        <row r="211">
          <cell r="A211" t="str">
            <v>rdmbzi_c</v>
          </cell>
          <cell r="B211" t="str">
            <v>rdmbzi</v>
          </cell>
          <cell r="C211" t="str">
            <v>N1-(alpha-D-ribosyl)-5,6-dimethylbenzimidazole</v>
          </cell>
        </row>
        <row r="212">
          <cell r="A212" t="str">
            <v>rib__D_c</v>
          </cell>
          <cell r="B212" t="str">
            <v>rib__D</v>
          </cell>
          <cell r="C212" t="str">
            <v>D-Ribose</v>
          </cell>
        </row>
        <row r="213">
          <cell r="A213" t="str">
            <v>ribflv_c</v>
          </cell>
          <cell r="B213" t="str">
            <v>ribflv</v>
          </cell>
          <cell r="C213" t="str">
            <v>Riboflavin C17H20N4O6</v>
          </cell>
        </row>
        <row r="214">
          <cell r="A214" t="str">
            <v>rml_c</v>
          </cell>
          <cell r="B214" t="str">
            <v>rml</v>
          </cell>
          <cell r="C214" t="str">
            <v>L-Rhamnulose</v>
          </cell>
        </row>
        <row r="215">
          <cell r="A215" t="str">
            <v>rml1p_c</v>
          </cell>
          <cell r="B215" t="str">
            <v>rml1p</v>
          </cell>
          <cell r="C215" t="str">
            <v>L-Rhamnulose 1-phosphate</v>
          </cell>
        </row>
        <row r="216">
          <cell r="A216" t="str">
            <v>s7p_c</v>
          </cell>
          <cell r="B216" t="str">
            <v>s7p</v>
          </cell>
          <cell r="C216" t="str">
            <v>Sedoheptulose 7-phosphate</v>
          </cell>
        </row>
        <row r="217">
          <cell r="A217" t="str">
            <v>sbt6p_c</v>
          </cell>
          <cell r="B217" t="str">
            <v>sbt6p</v>
          </cell>
          <cell r="C217" t="str">
            <v>D-Sorbitol 6-phosphate</v>
          </cell>
        </row>
        <row r="218">
          <cell r="A218" t="str">
            <v>sel_c</v>
          </cell>
          <cell r="B218" t="str">
            <v>sel</v>
          </cell>
          <cell r="C218" t="str">
            <v>Selenate</v>
          </cell>
        </row>
        <row r="219">
          <cell r="A219" t="str">
            <v>selnp_c</v>
          </cell>
          <cell r="B219" t="str">
            <v>selnp</v>
          </cell>
          <cell r="C219" t="str">
            <v>Selenophosphate</v>
          </cell>
        </row>
        <row r="220">
          <cell r="A220" t="str">
            <v>ser__D_c</v>
          </cell>
          <cell r="B220" t="str">
            <v>ser__D</v>
          </cell>
          <cell r="C220" t="str">
            <v>D-Serine</v>
          </cell>
        </row>
        <row r="221">
          <cell r="A221" t="str">
            <v>suc6p_c</v>
          </cell>
          <cell r="B221" t="str">
            <v>suc6p</v>
          </cell>
          <cell r="C221" t="str">
            <v>Sucrose 6-phosphate</v>
          </cell>
        </row>
        <row r="222">
          <cell r="A222" t="str">
            <v>succ_c</v>
          </cell>
          <cell r="B222" t="str">
            <v>succ</v>
          </cell>
          <cell r="C222" t="str">
            <v>Succinate</v>
          </cell>
        </row>
        <row r="223">
          <cell r="A223" t="str">
            <v>sucorn_c</v>
          </cell>
          <cell r="B223" t="str">
            <v>sucorn</v>
          </cell>
          <cell r="C223" t="str">
            <v>N2-Succinyl-L-ornithine</v>
          </cell>
        </row>
        <row r="224">
          <cell r="A224" t="str">
            <v>sufbcd_c</v>
          </cell>
          <cell r="B224" t="str">
            <v>sufbcd</v>
          </cell>
          <cell r="C224" t="str">
            <v>SufBCD scaffold complex</v>
          </cell>
        </row>
        <row r="225">
          <cell r="A225" t="str">
            <v>sufsesh_c</v>
          </cell>
          <cell r="B225" t="str">
            <v>sufsesh</v>
          </cell>
          <cell r="C225" t="str">
            <v>SufSE with bound sulfur</v>
          </cell>
        </row>
        <row r="226">
          <cell r="A226" t="str">
            <v>tagdp__D_c</v>
          </cell>
          <cell r="B226" t="str">
            <v>tagdp__D</v>
          </cell>
          <cell r="C226" t="str">
            <v>D-Tagatose 1,6-biphosphate</v>
          </cell>
        </row>
        <row r="227">
          <cell r="A227" t="str">
            <v>tartr__D_c</v>
          </cell>
          <cell r="B227" t="str">
            <v>tartr__D</v>
          </cell>
          <cell r="C227" t="str">
            <v>D-tartrate</v>
          </cell>
        </row>
        <row r="228">
          <cell r="A228" t="str">
            <v>tdeACP_c</v>
          </cell>
          <cell r="B228" t="str">
            <v>tdeACP</v>
          </cell>
          <cell r="C228" t="str">
            <v>Cis-tetradec-7-enoyl-[acyl-carrier protein] (n-C14:1)</v>
          </cell>
        </row>
        <row r="229">
          <cell r="A229" t="str">
            <v>thr__L_c</v>
          </cell>
          <cell r="B229" t="str">
            <v>thr__L</v>
          </cell>
          <cell r="C229" t="str">
            <v>L-Threonine</v>
          </cell>
        </row>
        <row r="230">
          <cell r="A230" t="str">
            <v>thrtrna_c</v>
          </cell>
          <cell r="B230" t="str">
            <v>thrtrna</v>
          </cell>
          <cell r="C230" t="str">
            <v>L-Threonyl-tRNA(Thr)</v>
          </cell>
        </row>
        <row r="231">
          <cell r="A231" t="str">
            <v>thymd_c</v>
          </cell>
          <cell r="B231" t="str">
            <v>thymd</v>
          </cell>
          <cell r="C231" t="str">
            <v>Thymidine C10H14N2O5</v>
          </cell>
        </row>
        <row r="232">
          <cell r="A232" t="str">
            <v>tma_c</v>
          </cell>
          <cell r="B232" t="str">
            <v>tma</v>
          </cell>
          <cell r="C232" t="str">
            <v>Trimethylamine</v>
          </cell>
        </row>
        <row r="233">
          <cell r="A233" t="str">
            <v>tmao_c</v>
          </cell>
          <cell r="B233" t="str">
            <v>tmao</v>
          </cell>
          <cell r="C233" t="str">
            <v>Trimethylamine N-oxide</v>
          </cell>
        </row>
        <row r="234">
          <cell r="A234" t="str">
            <v>toct2eACP_c</v>
          </cell>
          <cell r="B234" t="str">
            <v>toct2eACP</v>
          </cell>
          <cell r="C234" t="str">
            <v>Trans-Oct-2-enoyl-[acyl-carrier protein]</v>
          </cell>
        </row>
        <row r="235">
          <cell r="A235" t="str">
            <v>trnaarg_c</v>
          </cell>
          <cell r="B235" t="str">
            <v>trnaarg</v>
          </cell>
          <cell r="C235" t="str">
            <v>TRNA(Arg)</v>
          </cell>
        </row>
        <row r="236">
          <cell r="A236" t="str">
            <v>trnaglu_c</v>
          </cell>
          <cell r="B236" t="str">
            <v>trnaglu</v>
          </cell>
          <cell r="C236" t="str">
            <v>TRNA (Glu)</v>
          </cell>
        </row>
        <row r="237">
          <cell r="A237" t="str">
            <v>trnahis_c</v>
          </cell>
          <cell r="B237" t="str">
            <v>trnahis</v>
          </cell>
          <cell r="C237" t="str">
            <v>TRNA(His)</v>
          </cell>
        </row>
        <row r="238">
          <cell r="A238" t="str">
            <v>trnaser_c</v>
          </cell>
          <cell r="B238" t="str">
            <v>trnaser</v>
          </cell>
          <cell r="C238" t="str">
            <v>TRNA(Ser)</v>
          </cell>
        </row>
        <row r="239">
          <cell r="A239" t="str">
            <v>trnatrp_c</v>
          </cell>
          <cell r="B239" t="str">
            <v>trnatrp</v>
          </cell>
          <cell r="C239" t="str">
            <v>TRNA(Trp)</v>
          </cell>
        </row>
        <row r="240">
          <cell r="A240" t="str">
            <v>ttdcea_c</v>
          </cell>
          <cell r="B240" t="str">
            <v>ttdcea</v>
          </cell>
          <cell r="C240" t="str">
            <v>Tetradecenoate (n-C14:1)</v>
          </cell>
        </row>
        <row r="241">
          <cell r="A241" t="str">
            <v>u3aga_c</v>
          </cell>
          <cell r="B241" t="str">
            <v>u3aga</v>
          </cell>
          <cell r="C241" t="str">
            <v>UDP-3-O-(3-hydroxytetradecanoyl)-N-acetylglucosamine</v>
          </cell>
        </row>
        <row r="242">
          <cell r="A242" t="str">
            <v>u3hga_c</v>
          </cell>
          <cell r="B242" t="str">
            <v>u3hga</v>
          </cell>
          <cell r="C242" t="str">
            <v>UDP-3-O-(3-hydroxytetradecanoyl)-D-glucosamine</v>
          </cell>
        </row>
        <row r="243">
          <cell r="A243" t="str">
            <v>uacmamu_c</v>
          </cell>
          <cell r="B243" t="str">
            <v>uacmamu</v>
          </cell>
          <cell r="C243" t="str">
            <v>UDP-N-acetyl-D-mannosaminouronate</v>
          </cell>
        </row>
        <row r="244">
          <cell r="A244" t="str">
            <v>uama_c</v>
          </cell>
          <cell r="B244" t="str">
            <v>uama</v>
          </cell>
          <cell r="C244" t="str">
            <v>UDP-N-acetylmuramoyl-L-alanine</v>
          </cell>
        </row>
        <row r="245">
          <cell r="A245" t="str">
            <v>uamag_c</v>
          </cell>
          <cell r="B245" t="str">
            <v>uamag</v>
          </cell>
          <cell r="C245" t="str">
            <v>UDP-N-acetylmuramoyl-L-alanyl-D-glutamate</v>
          </cell>
        </row>
        <row r="246">
          <cell r="A246" t="str">
            <v>uamr_c</v>
          </cell>
          <cell r="B246" t="str">
            <v>uamr</v>
          </cell>
          <cell r="C246" t="str">
            <v>UDP-N-acetylmuramate</v>
          </cell>
        </row>
        <row r="247">
          <cell r="A247" t="str">
            <v>udcpdp_c</v>
          </cell>
          <cell r="B247" t="str">
            <v>udcpdp</v>
          </cell>
          <cell r="C247" t="str">
            <v>Undecaprenyl diphosphate</v>
          </cell>
        </row>
        <row r="248">
          <cell r="A248" t="str">
            <v>udpLa4fn_c</v>
          </cell>
          <cell r="B248" t="str">
            <v>udpLa4fn</v>
          </cell>
          <cell r="C248" t="str">
            <v>Uridine 5''-diphospho-{beta}-4-deoxy-4-formamido-L-arabinose</v>
          </cell>
        </row>
        <row r="249">
          <cell r="A249" t="str">
            <v>ugmda_c</v>
          </cell>
          <cell r="B249" t="str">
            <v>ugmda</v>
          </cell>
          <cell r="C249" t="str">
            <v>UDP-N-acetylmuramoyl-L-alanyl-D-glutamyl-meso-2,6-diaminopimeloyl-D-alanyl-D-alanine</v>
          </cell>
        </row>
        <row r="250">
          <cell r="A250" t="str">
            <v>ump_c</v>
          </cell>
          <cell r="B250" t="str">
            <v>ump</v>
          </cell>
          <cell r="C250" t="str">
            <v>UMP C9H11N2O9P</v>
          </cell>
        </row>
        <row r="251">
          <cell r="A251" t="str">
            <v>ura_c</v>
          </cell>
          <cell r="B251" t="str">
            <v>ura</v>
          </cell>
          <cell r="C251" t="str">
            <v>Uracil</v>
          </cell>
        </row>
        <row r="252">
          <cell r="A252" t="str">
            <v>uracp_c</v>
          </cell>
          <cell r="B252" t="str">
            <v>uracp</v>
          </cell>
          <cell r="C252" t="str">
            <v>Ureidoacrylate peracid</v>
          </cell>
        </row>
        <row r="253">
          <cell r="A253" t="str">
            <v>urea_c</v>
          </cell>
          <cell r="B253" t="str">
            <v>urea</v>
          </cell>
          <cell r="C253" t="str">
            <v>Urea CH4N2O</v>
          </cell>
        </row>
        <row r="254">
          <cell r="A254" t="str">
            <v>wco_c</v>
          </cell>
          <cell r="B254" t="str">
            <v>wco</v>
          </cell>
          <cell r="C254" t="str">
            <v>Tungsten binding cofactor</v>
          </cell>
        </row>
        <row r="255">
          <cell r="A255" t="str">
            <v>xan_c</v>
          </cell>
          <cell r="B255" t="str">
            <v>xan</v>
          </cell>
          <cell r="C255" t="str">
            <v>Xanthine</v>
          </cell>
        </row>
        <row r="256">
          <cell r="A256" t="str">
            <v>xtp_c</v>
          </cell>
          <cell r="B256" t="str">
            <v>xtp</v>
          </cell>
          <cell r="C256" t="str">
            <v>XTP</v>
          </cell>
        </row>
        <row r="257">
          <cell r="A257" t="str">
            <v>xylu__L_c</v>
          </cell>
          <cell r="B257" t="str">
            <v>xylu__L</v>
          </cell>
          <cell r="C257" t="str">
            <v>L-Xylulose</v>
          </cell>
        </row>
        <row r="258">
          <cell r="A258" t="str">
            <v>zn2_c</v>
          </cell>
          <cell r="B258" t="str">
            <v>zn2</v>
          </cell>
          <cell r="C258" t="str">
            <v>Zinc</v>
          </cell>
        </row>
        <row r="259">
          <cell r="A259" t="str">
            <v>12ppd__S_e</v>
          </cell>
          <cell r="B259" t="str">
            <v>12ppd__S</v>
          </cell>
          <cell r="C259" t="str">
            <v>(S)-Propane-1,2-diol</v>
          </cell>
        </row>
        <row r="260">
          <cell r="A260" t="str">
            <v>26dap__M_e</v>
          </cell>
          <cell r="B260" t="str">
            <v>26dap__M</v>
          </cell>
          <cell r="C260" t="str">
            <v>Meso-2,6-Diaminoheptanedioate</v>
          </cell>
        </row>
        <row r="261">
          <cell r="A261" t="str">
            <v>3hpp_e</v>
          </cell>
          <cell r="B261" t="str">
            <v>3hpp</v>
          </cell>
          <cell r="C261" t="str">
            <v>3-Hydroxypropanoate</v>
          </cell>
        </row>
        <row r="262">
          <cell r="A262" t="str">
            <v>LalaDglu_e</v>
          </cell>
          <cell r="B262" t="str">
            <v>LalaDglu</v>
          </cell>
          <cell r="C262" t="str">
            <v>L-alanine-D-glutamate</v>
          </cell>
        </row>
        <row r="263">
          <cell r="A263" t="str">
            <v>LalaDgluMdapDala_e</v>
          </cell>
          <cell r="B263" t="str">
            <v>LalaDgluMdapDala</v>
          </cell>
          <cell r="C263" t="str">
            <v>L-alanine-D-glutamate-meso-2,6-diaminoheptanedioate-D-alanine</v>
          </cell>
        </row>
        <row r="264">
          <cell r="A264" t="str">
            <v>acgam_e</v>
          </cell>
          <cell r="B264" t="str">
            <v>acgam</v>
          </cell>
          <cell r="C264" t="str">
            <v>N-Acetyl-D-glucosamine</v>
          </cell>
        </row>
        <row r="265">
          <cell r="A265" t="str">
            <v>acgam1p_e</v>
          </cell>
          <cell r="B265" t="str">
            <v>acgam1p</v>
          </cell>
          <cell r="C265" t="str">
            <v>N-Acetyl-D-glucosamine 1-phosphate</v>
          </cell>
        </row>
        <row r="266">
          <cell r="A266" t="str">
            <v>acnam_e</v>
          </cell>
          <cell r="B266" t="str">
            <v>acnam</v>
          </cell>
          <cell r="C266" t="str">
            <v>N-Acetylneuraminate</v>
          </cell>
        </row>
        <row r="267">
          <cell r="A267" t="str">
            <v>acolipa_e</v>
          </cell>
          <cell r="B267" t="str">
            <v>acolipa</v>
          </cell>
          <cell r="C267" t="str">
            <v>4-Amino-4-deoxy-L-arabinose modified core oligosaccharide lipid A</v>
          </cell>
        </row>
        <row r="268">
          <cell r="A268" t="str">
            <v>agm_e</v>
          </cell>
          <cell r="B268" t="str">
            <v>agm</v>
          </cell>
          <cell r="C268" t="str">
            <v>Agmatine</v>
          </cell>
        </row>
        <row r="269">
          <cell r="A269" t="str">
            <v>all__D_e</v>
          </cell>
          <cell r="B269" t="str">
            <v>all__D</v>
          </cell>
          <cell r="C269" t="str">
            <v>D-Allose</v>
          </cell>
        </row>
        <row r="270">
          <cell r="A270" t="str">
            <v>amp_e</v>
          </cell>
          <cell r="B270" t="str">
            <v>amp</v>
          </cell>
          <cell r="C270" t="str">
            <v>AMP C10H12N5O7P</v>
          </cell>
        </row>
        <row r="271">
          <cell r="A271" t="str">
            <v>arbtn_e</v>
          </cell>
          <cell r="B271" t="str">
            <v>arbtn</v>
          </cell>
          <cell r="C271" t="str">
            <v>Aerobactin minus Fe3</v>
          </cell>
        </row>
        <row r="272">
          <cell r="A272" t="str">
            <v>asp__L_e</v>
          </cell>
          <cell r="B272" t="str">
            <v>asp__L</v>
          </cell>
          <cell r="C272" t="str">
            <v>L-Aspartate</v>
          </cell>
        </row>
        <row r="273">
          <cell r="A273" t="str">
            <v>but_e</v>
          </cell>
          <cell r="B273" t="str">
            <v>but</v>
          </cell>
          <cell r="C273" t="str">
            <v>Butyrate (n-C4:0)</v>
          </cell>
        </row>
        <row r="274">
          <cell r="A274" t="str">
            <v>cbi_e</v>
          </cell>
          <cell r="B274" t="str">
            <v>cbi</v>
          </cell>
          <cell r="C274" t="str">
            <v>Cobinamide</v>
          </cell>
        </row>
        <row r="275">
          <cell r="A275" t="str">
            <v>cd2_e</v>
          </cell>
          <cell r="B275" t="str">
            <v>cd2</v>
          </cell>
          <cell r="C275" t="str">
            <v>Cadmium</v>
          </cell>
        </row>
        <row r="276">
          <cell r="A276" t="str">
            <v>cl_e</v>
          </cell>
          <cell r="B276" t="str">
            <v>cl</v>
          </cell>
          <cell r="C276" t="str">
            <v>Chloride</v>
          </cell>
        </row>
        <row r="277">
          <cell r="A277" t="str">
            <v>cm_e</v>
          </cell>
          <cell r="B277" t="str">
            <v>cm</v>
          </cell>
          <cell r="C277" t="str">
            <v>Chloramphenicol</v>
          </cell>
        </row>
        <row r="278">
          <cell r="A278" t="str">
            <v>cmp_e</v>
          </cell>
          <cell r="B278" t="str">
            <v>cmp</v>
          </cell>
          <cell r="C278" t="str">
            <v>CMP C9H12N3O8P</v>
          </cell>
        </row>
        <row r="279">
          <cell r="A279" t="str">
            <v>crn__D_e</v>
          </cell>
          <cell r="B279" t="str">
            <v>crn__D</v>
          </cell>
          <cell r="C279" t="str">
            <v>D-Carnitine</v>
          </cell>
        </row>
        <row r="280">
          <cell r="A280" t="str">
            <v>csn_e</v>
          </cell>
          <cell r="B280" t="str">
            <v>csn</v>
          </cell>
          <cell r="C280" t="str">
            <v>Cytosine</v>
          </cell>
        </row>
        <row r="281">
          <cell r="A281" t="str">
            <v>cu2_e</v>
          </cell>
          <cell r="B281" t="str">
            <v>cu2</v>
          </cell>
          <cell r="C281" t="str">
            <v>Copper</v>
          </cell>
        </row>
        <row r="282">
          <cell r="A282" t="str">
            <v>cys__D_e</v>
          </cell>
          <cell r="B282" t="str">
            <v>cys__D</v>
          </cell>
          <cell r="C282" t="str">
            <v>D-Cysteine</v>
          </cell>
        </row>
        <row r="283">
          <cell r="A283" t="str">
            <v>dcyt_e</v>
          </cell>
          <cell r="B283" t="str">
            <v>dcyt</v>
          </cell>
          <cell r="C283" t="str">
            <v>Deoxycytidine</v>
          </cell>
        </row>
        <row r="284">
          <cell r="A284" t="str">
            <v>dgmp_e</v>
          </cell>
          <cell r="B284" t="str">
            <v>dgmp</v>
          </cell>
          <cell r="C284" t="str">
            <v>DGMP C10H12N5O7P</v>
          </cell>
        </row>
        <row r="285">
          <cell r="A285" t="str">
            <v>dtmp_e</v>
          </cell>
          <cell r="B285" t="str">
            <v>dtmp</v>
          </cell>
          <cell r="C285" t="str">
            <v>DTMP C10H13N2O8P</v>
          </cell>
        </row>
        <row r="286">
          <cell r="A286" t="str">
            <v>duri_e</v>
          </cell>
          <cell r="B286" t="str">
            <v>duri</v>
          </cell>
          <cell r="C286" t="str">
            <v>Deoxyuridine</v>
          </cell>
        </row>
        <row r="287">
          <cell r="A287" t="str">
            <v>eca4colipa_e</v>
          </cell>
          <cell r="B287" t="str">
            <v>eca4colipa</v>
          </cell>
          <cell r="C287" t="str">
            <v>(enterobacterial common antigen)x4 core oligosaccharide lipid A</v>
          </cell>
        </row>
        <row r="288">
          <cell r="A288" t="str">
            <v>enter_e</v>
          </cell>
          <cell r="B288" t="str">
            <v>enter</v>
          </cell>
          <cell r="C288" t="str">
            <v>Enterochelin</v>
          </cell>
        </row>
        <row r="289">
          <cell r="A289" t="str">
            <v>etoh_e</v>
          </cell>
          <cell r="B289" t="str">
            <v>etoh</v>
          </cell>
          <cell r="C289" t="str">
            <v>Ethanol</v>
          </cell>
        </row>
        <row r="290">
          <cell r="A290" t="str">
            <v>fald_e</v>
          </cell>
          <cell r="B290" t="str">
            <v>fald</v>
          </cell>
          <cell r="C290" t="str">
            <v>Formaldehyde</v>
          </cell>
        </row>
        <row r="291">
          <cell r="A291" t="str">
            <v>fe3_e</v>
          </cell>
          <cell r="B291" t="str">
            <v>fe3</v>
          </cell>
          <cell r="C291" t="str">
            <v>Iron (Fe3+)</v>
          </cell>
        </row>
        <row r="292">
          <cell r="A292" t="str">
            <v>fe3hox_e</v>
          </cell>
          <cell r="B292" t="str">
            <v>fe3hox</v>
          </cell>
          <cell r="C292" t="str">
            <v>Fe(III)hydroxamate</v>
          </cell>
        </row>
        <row r="293">
          <cell r="A293" t="str">
            <v>fru_e</v>
          </cell>
          <cell r="B293" t="str">
            <v>fru</v>
          </cell>
          <cell r="C293" t="str">
            <v>D-Fructose</v>
          </cell>
        </row>
        <row r="294">
          <cell r="A294" t="str">
            <v>frulys_e</v>
          </cell>
          <cell r="B294" t="str">
            <v>frulys</v>
          </cell>
          <cell r="C294" t="str">
            <v>Fructoselysine</v>
          </cell>
        </row>
        <row r="295">
          <cell r="A295" t="str">
            <v>g1p_e</v>
          </cell>
          <cell r="B295" t="str">
            <v>g1p</v>
          </cell>
          <cell r="C295" t="str">
            <v>D-Glucose 1-phosphate</v>
          </cell>
        </row>
        <row r="296">
          <cell r="A296" t="str">
            <v>g3ps_e</v>
          </cell>
          <cell r="B296" t="str">
            <v>g3ps</v>
          </cell>
          <cell r="C296" t="str">
            <v>Glycerophosphoserine</v>
          </cell>
        </row>
        <row r="297">
          <cell r="A297" t="str">
            <v>galt_e</v>
          </cell>
          <cell r="B297" t="str">
            <v>galt</v>
          </cell>
          <cell r="C297" t="str">
            <v>Galactitol</v>
          </cell>
        </row>
        <row r="298">
          <cell r="A298" t="str">
            <v>galur_e</v>
          </cell>
          <cell r="B298" t="str">
            <v>galur</v>
          </cell>
          <cell r="C298" t="str">
            <v>D-Galacturonate</v>
          </cell>
        </row>
        <row r="299">
          <cell r="A299" t="str">
            <v>gam_e</v>
          </cell>
          <cell r="B299" t="str">
            <v>gam</v>
          </cell>
          <cell r="C299" t="str">
            <v>D-Glucosamine</v>
          </cell>
        </row>
        <row r="300">
          <cell r="A300" t="str">
            <v>gbbtn_e</v>
          </cell>
          <cell r="B300" t="str">
            <v>gbbtn</v>
          </cell>
          <cell r="C300" t="str">
            <v>Gamma-butyrobetaine</v>
          </cell>
        </row>
        <row r="301">
          <cell r="A301" t="str">
            <v>gdp_e</v>
          </cell>
          <cell r="B301" t="str">
            <v>gdp</v>
          </cell>
          <cell r="C301" t="str">
            <v>GDP C10H12N5O11P2</v>
          </cell>
        </row>
        <row r="302">
          <cell r="A302" t="str">
            <v>glc__D_e</v>
          </cell>
          <cell r="B302" t="str">
            <v>glc__D</v>
          </cell>
          <cell r="C302" t="str">
            <v>D-Glucose</v>
          </cell>
        </row>
        <row r="303">
          <cell r="A303" t="str">
            <v>glcr_e</v>
          </cell>
          <cell r="B303" t="str">
            <v>glcr</v>
          </cell>
          <cell r="C303" t="str">
            <v>D-Glucarate</v>
          </cell>
        </row>
        <row r="304">
          <cell r="A304" t="str">
            <v>glcur_e</v>
          </cell>
          <cell r="B304" t="str">
            <v>glcur</v>
          </cell>
          <cell r="C304" t="str">
            <v>D-Glucuronate</v>
          </cell>
        </row>
        <row r="305">
          <cell r="A305" t="str">
            <v>gln__L_e</v>
          </cell>
          <cell r="B305" t="str">
            <v>gln__L</v>
          </cell>
          <cell r="C305" t="str">
            <v>L-Glutamine</v>
          </cell>
        </row>
        <row r="306">
          <cell r="A306" t="str">
            <v>glu__L_e</v>
          </cell>
          <cell r="B306" t="str">
            <v>glu__L</v>
          </cell>
          <cell r="C306" t="str">
            <v>L-Glutamate</v>
          </cell>
        </row>
        <row r="307">
          <cell r="A307" t="str">
            <v>glyald_e</v>
          </cell>
          <cell r="B307" t="str">
            <v>glyald</v>
          </cell>
          <cell r="C307" t="str">
            <v>D-Glyceraldehyde</v>
          </cell>
        </row>
        <row r="308">
          <cell r="A308" t="str">
            <v>glyc_e</v>
          </cell>
          <cell r="B308" t="str">
            <v>glyc</v>
          </cell>
          <cell r="C308" t="str">
            <v>Glycerol</v>
          </cell>
        </row>
        <row r="309">
          <cell r="A309" t="str">
            <v>gsn_e</v>
          </cell>
          <cell r="B309" t="str">
            <v>gsn</v>
          </cell>
          <cell r="C309" t="str">
            <v>Guanosine</v>
          </cell>
        </row>
        <row r="310">
          <cell r="A310" t="str">
            <v>gthox_e</v>
          </cell>
          <cell r="B310" t="str">
            <v>gthox</v>
          </cell>
          <cell r="C310" t="str">
            <v>Oxidized glutathione</v>
          </cell>
        </row>
        <row r="311">
          <cell r="A311" t="str">
            <v>gua_e</v>
          </cell>
          <cell r="B311" t="str">
            <v>gua</v>
          </cell>
          <cell r="C311" t="str">
            <v>Guanine</v>
          </cell>
        </row>
        <row r="312">
          <cell r="A312" t="str">
            <v>hdcea_e</v>
          </cell>
          <cell r="B312" t="str">
            <v>hdcea</v>
          </cell>
          <cell r="C312" t="str">
            <v>Hexadecenoate (n-C16:1)</v>
          </cell>
        </row>
        <row r="313">
          <cell r="A313" t="str">
            <v>idon__L_e</v>
          </cell>
          <cell r="B313" t="str">
            <v>idon__L</v>
          </cell>
          <cell r="C313" t="str">
            <v>L-Idonate</v>
          </cell>
        </row>
        <row r="314">
          <cell r="A314" t="str">
            <v>ile__L_e</v>
          </cell>
          <cell r="B314" t="str">
            <v>ile__L</v>
          </cell>
          <cell r="C314" t="str">
            <v>L-Isoleucine</v>
          </cell>
        </row>
        <row r="315">
          <cell r="A315" t="str">
            <v>isetac_e</v>
          </cell>
          <cell r="B315" t="str">
            <v>isetac</v>
          </cell>
          <cell r="C315" t="str">
            <v>Isethionic acid</v>
          </cell>
        </row>
        <row r="316">
          <cell r="A316" t="str">
            <v>k_e</v>
          </cell>
          <cell r="B316" t="str">
            <v>k</v>
          </cell>
          <cell r="C316" t="str">
            <v>Potassium</v>
          </cell>
        </row>
        <row r="317">
          <cell r="A317" t="str">
            <v>maltttr_e</v>
          </cell>
          <cell r="B317" t="str">
            <v>maltttr</v>
          </cell>
          <cell r="C317" t="str">
            <v>Maltotetraose</v>
          </cell>
        </row>
        <row r="318">
          <cell r="A318" t="str">
            <v>met__D_e</v>
          </cell>
          <cell r="B318" t="str">
            <v>met__D</v>
          </cell>
          <cell r="C318" t="str">
            <v>D-Methionine</v>
          </cell>
        </row>
        <row r="319">
          <cell r="A319" t="str">
            <v>mg2_e</v>
          </cell>
          <cell r="B319" t="str">
            <v>mg2</v>
          </cell>
          <cell r="C319" t="str">
            <v>Magnesium</v>
          </cell>
        </row>
        <row r="320">
          <cell r="A320" t="str">
            <v>mincyc_e</v>
          </cell>
          <cell r="B320" t="str">
            <v>mincyc</v>
          </cell>
          <cell r="C320" t="str">
            <v>Minocycline</v>
          </cell>
        </row>
        <row r="321">
          <cell r="A321" t="str">
            <v>minohp_e</v>
          </cell>
          <cell r="B321" t="str">
            <v>minohp</v>
          </cell>
          <cell r="C321" t="str">
            <v>Myo-Inositol hexakisphosphate</v>
          </cell>
        </row>
        <row r="322">
          <cell r="A322" t="str">
            <v>mnl_e</v>
          </cell>
          <cell r="B322" t="str">
            <v>mnl</v>
          </cell>
          <cell r="C322" t="str">
            <v>D-Mannitol</v>
          </cell>
        </row>
        <row r="323">
          <cell r="A323" t="str">
            <v>mso3_e</v>
          </cell>
          <cell r="B323" t="str">
            <v>mso3</v>
          </cell>
          <cell r="C323" t="str">
            <v>Methanesulfonate</v>
          </cell>
        </row>
        <row r="324">
          <cell r="A324" t="str">
            <v>n2o_e</v>
          </cell>
          <cell r="B324" t="str">
            <v>n2o</v>
          </cell>
          <cell r="C324" t="str">
            <v>Nitrous oxide</v>
          </cell>
        </row>
        <row r="325">
          <cell r="A325" t="str">
            <v>no2_e</v>
          </cell>
          <cell r="B325" t="str">
            <v>no2</v>
          </cell>
          <cell r="C325" t="str">
            <v>Nitrite</v>
          </cell>
        </row>
        <row r="326">
          <cell r="A326" t="str">
            <v>novbcn_e</v>
          </cell>
          <cell r="B326" t="str">
            <v>novbcn</v>
          </cell>
          <cell r="C326" t="str">
            <v>Novobiocin</v>
          </cell>
        </row>
        <row r="327">
          <cell r="A327" t="str">
            <v>o16a4colipa_e</v>
          </cell>
          <cell r="B327" t="str">
            <v>o16a4colipa</v>
          </cell>
          <cell r="C327" t="str">
            <v>(O16 antigen)x4 core oligosaccharide lipid A</v>
          </cell>
        </row>
        <row r="328">
          <cell r="A328" t="str">
            <v>o2s_e</v>
          </cell>
          <cell r="B328" t="str">
            <v>o2s</v>
          </cell>
          <cell r="C328" t="str">
            <v>Superoxide anion</v>
          </cell>
        </row>
        <row r="329">
          <cell r="A329" t="str">
            <v>pppn_e</v>
          </cell>
          <cell r="B329" t="str">
            <v>pppn</v>
          </cell>
          <cell r="C329" t="str">
            <v>Phenylpropanoate</v>
          </cell>
        </row>
        <row r="330">
          <cell r="A330" t="str">
            <v>pro__L_e</v>
          </cell>
          <cell r="B330" t="str">
            <v>pro__L</v>
          </cell>
          <cell r="C330" t="str">
            <v>L-Proline</v>
          </cell>
        </row>
        <row r="331">
          <cell r="A331" t="str">
            <v>ptrc_e</v>
          </cell>
          <cell r="B331" t="str">
            <v>ptrc</v>
          </cell>
          <cell r="C331" t="str">
            <v>Putrescine</v>
          </cell>
        </row>
        <row r="332">
          <cell r="A332" t="str">
            <v>pyr_e</v>
          </cell>
          <cell r="B332" t="str">
            <v>pyr</v>
          </cell>
          <cell r="C332" t="str">
            <v>Pyruvate</v>
          </cell>
        </row>
        <row r="333">
          <cell r="A333" t="str">
            <v>quin_e</v>
          </cell>
          <cell r="B333" t="str">
            <v>quin</v>
          </cell>
          <cell r="C333" t="str">
            <v>Quinate</v>
          </cell>
        </row>
        <row r="334">
          <cell r="A334" t="str">
            <v>rfamp_e</v>
          </cell>
          <cell r="B334" t="str">
            <v>rfamp</v>
          </cell>
          <cell r="C334" t="str">
            <v>Rifampin</v>
          </cell>
        </row>
        <row r="335">
          <cell r="A335" t="str">
            <v>rmn_e</v>
          </cell>
          <cell r="B335" t="str">
            <v>rmn</v>
          </cell>
          <cell r="C335" t="str">
            <v>L-Rhamnose</v>
          </cell>
        </row>
        <row r="336">
          <cell r="A336" t="str">
            <v>sbt__D_e</v>
          </cell>
          <cell r="B336" t="str">
            <v>sbt__D</v>
          </cell>
          <cell r="C336" t="str">
            <v>D-Sorbitol</v>
          </cell>
        </row>
        <row r="337">
          <cell r="A337" t="str">
            <v>ser__L_e</v>
          </cell>
          <cell r="B337" t="str">
            <v>ser__L</v>
          </cell>
          <cell r="C337" t="str">
            <v>L-Serine</v>
          </cell>
        </row>
        <row r="338">
          <cell r="A338" t="str">
            <v>so4_e</v>
          </cell>
          <cell r="B338" t="str">
            <v>so4</v>
          </cell>
          <cell r="C338" t="str">
            <v>Sulfate</v>
          </cell>
        </row>
        <row r="339">
          <cell r="A339" t="str">
            <v>spmd_e</v>
          </cell>
          <cell r="B339" t="str">
            <v>spmd</v>
          </cell>
          <cell r="C339" t="str">
            <v>Spermidine</v>
          </cell>
        </row>
        <row r="340">
          <cell r="A340" t="str">
            <v>taur_e</v>
          </cell>
          <cell r="B340" t="str">
            <v>taur</v>
          </cell>
          <cell r="C340" t="str">
            <v>Taurine C2H7NO3S</v>
          </cell>
        </row>
        <row r="341">
          <cell r="A341" t="str">
            <v>thrp_e</v>
          </cell>
          <cell r="B341" t="str">
            <v>thrp</v>
          </cell>
          <cell r="C341" t="str">
            <v>L-Threonine O-3-phosphate</v>
          </cell>
        </row>
        <row r="342">
          <cell r="A342" t="str">
            <v>tre_e</v>
          </cell>
          <cell r="B342" t="str">
            <v>tre</v>
          </cell>
          <cell r="C342" t="str">
            <v>Trehalose</v>
          </cell>
        </row>
        <row r="343">
          <cell r="A343" t="str">
            <v>tyrp_e</v>
          </cell>
          <cell r="B343" t="str">
            <v>tyrp</v>
          </cell>
          <cell r="C343" t="str">
            <v>Phosphotyrosine</v>
          </cell>
        </row>
        <row r="344">
          <cell r="A344" t="str">
            <v>udpacgal_e</v>
          </cell>
          <cell r="B344" t="str">
            <v>udpacgal</v>
          </cell>
          <cell r="C344" t="str">
            <v>UDP-N-acetyl-D-galactosamine</v>
          </cell>
        </row>
        <row r="345">
          <cell r="A345" t="str">
            <v>udpg_e</v>
          </cell>
          <cell r="B345" t="str">
            <v>udpg</v>
          </cell>
          <cell r="C345" t="str">
            <v>UDPglucose</v>
          </cell>
        </row>
        <row r="346">
          <cell r="A346" t="str">
            <v>uri_e</v>
          </cell>
          <cell r="B346" t="str">
            <v>uri</v>
          </cell>
          <cell r="C346" t="str">
            <v>Uridine</v>
          </cell>
        </row>
        <row r="347">
          <cell r="A347" t="str">
            <v>xmp_e</v>
          </cell>
          <cell r="B347" t="str">
            <v>xmp</v>
          </cell>
          <cell r="C347" t="str">
            <v>Xanthosine 5'-phosphate</v>
          </cell>
        </row>
        <row r="348">
          <cell r="A348" t="str">
            <v>12dgr120_p</v>
          </cell>
          <cell r="B348" t="str">
            <v>12dgr120</v>
          </cell>
          <cell r="C348" t="str">
            <v>1,2-Diacyl-sn-glycerol (didodecanoyl, n-C12:0)</v>
          </cell>
        </row>
        <row r="349">
          <cell r="A349" t="str">
            <v>12dgr140_p</v>
          </cell>
          <cell r="B349" t="str">
            <v>12dgr140</v>
          </cell>
          <cell r="C349" t="str">
            <v>1,2-Diacyl-sn-glycerol (ditetradecanoyl, n-C14:0)</v>
          </cell>
        </row>
        <row r="350">
          <cell r="A350" t="str">
            <v>12dgr180_p</v>
          </cell>
          <cell r="B350" t="str">
            <v>12dgr180</v>
          </cell>
          <cell r="C350" t="str">
            <v>1,2-Diacyl-sn-glycerol (dioctadecanoyl, n-C18:0)</v>
          </cell>
        </row>
        <row r="351">
          <cell r="A351" t="str">
            <v>14glucan_p</v>
          </cell>
          <cell r="B351" t="str">
            <v>14glucan</v>
          </cell>
          <cell r="C351" t="str">
            <v>1,4-alpha-D-glucan</v>
          </cell>
        </row>
        <row r="352">
          <cell r="A352" t="str">
            <v>15dap_p</v>
          </cell>
          <cell r="B352" t="str">
            <v>15dap</v>
          </cell>
          <cell r="C352" t="str">
            <v>1,5-Diaminopentane</v>
          </cell>
        </row>
        <row r="353">
          <cell r="A353" t="str">
            <v>1agpe140_p</v>
          </cell>
          <cell r="B353" t="str">
            <v>1agpe140</v>
          </cell>
          <cell r="C353" t="str">
            <v>1-Acyl-sn-glycero-3-phosphoethanolamine (n-C14:0)</v>
          </cell>
        </row>
        <row r="354">
          <cell r="A354" t="str">
            <v>1agpe160_p</v>
          </cell>
          <cell r="B354" t="str">
            <v>1agpe160</v>
          </cell>
          <cell r="C354" t="str">
            <v>1-Acyl-sn-glycero-3-phosphoethanolamine (n-C16:0)</v>
          </cell>
        </row>
        <row r="355">
          <cell r="A355" t="str">
            <v>1agpe181_p</v>
          </cell>
          <cell r="B355" t="str">
            <v>1agpe181</v>
          </cell>
          <cell r="C355" t="str">
            <v>1-Acyl-sn-glycero-3-phosphoethanolamine (n-C18:1)</v>
          </cell>
        </row>
        <row r="356">
          <cell r="A356" t="str">
            <v>2agpe141_p</v>
          </cell>
          <cell r="B356" t="str">
            <v>2agpe141</v>
          </cell>
          <cell r="C356" t="str">
            <v>2-Acyl-sn-glycero-3-phosphoethanolamine (n-C14:1)</v>
          </cell>
        </row>
        <row r="357">
          <cell r="A357" t="str">
            <v>2agpe160_p</v>
          </cell>
          <cell r="B357" t="str">
            <v>2agpe160</v>
          </cell>
          <cell r="C357" t="str">
            <v>2-Acyl-sn-glycero-3-phosphoethanolamine (n-C16:0)</v>
          </cell>
        </row>
        <row r="358">
          <cell r="A358" t="str">
            <v>2agpg120_p</v>
          </cell>
          <cell r="B358" t="str">
            <v>2agpg120</v>
          </cell>
          <cell r="C358" t="str">
            <v>2-Acyl-sn-glycero-3-phosphoglycerol (n-C12:0)</v>
          </cell>
        </row>
        <row r="359">
          <cell r="A359" t="str">
            <v>2agpg140_p</v>
          </cell>
          <cell r="B359" t="str">
            <v>2agpg140</v>
          </cell>
          <cell r="C359" t="str">
            <v>2-Acyl-sn-glycero-3-phosphoglycerol (n-C14:0)</v>
          </cell>
        </row>
        <row r="360">
          <cell r="A360" t="str">
            <v>2hdecg3p_p</v>
          </cell>
          <cell r="B360" t="str">
            <v>2hdecg3p</v>
          </cell>
          <cell r="C360" t="str">
            <v>2-hexadecanoyl-sn-glycerol 3-phosphate</v>
          </cell>
        </row>
        <row r="361">
          <cell r="A361" t="str">
            <v>2odecg3p_p</v>
          </cell>
          <cell r="B361" t="str">
            <v>2odecg3p</v>
          </cell>
          <cell r="C361" t="str">
            <v>2-octadecanoyl-sn-glycerol 3-phosphate</v>
          </cell>
        </row>
        <row r="362">
          <cell r="A362" t="str">
            <v>3amp_p</v>
          </cell>
          <cell r="B362" t="str">
            <v>3amp</v>
          </cell>
          <cell r="C362" t="str">
            <v>3  AMP C10H12N5O7P</v>
          </cell>
        </row>
        <row r="363">
          <cell r="A363" t="str">
            <v>3hpppn_p</v>
          </cell>
          <cell r="B363" t="str">
            <v>3hpppn</v>
          </cell>
          <cell r="C363" t="str">
            <v>3-(3-hydroxy-phenyl)propionate</v>
          </cell>
        </row>
        <row r="364">
          <cell r="A364" t="str">
            <v>4hoxpacd_p</v>
          </cell>
          <cell r="B364" t="str">
            <v>4hoxpacd</v>
          </cell>
          <cell r="C364" t="str">
            <v>4-Hydroxyphenylacetaldehyde</v>
          </cell>
        </row>
        <row r="365">
          <cell r="A365" t="str">
            <v>5mtr_p</v>
          </cell>
          <cell r="B365" t="str">
            <v>5mtr</v>
          </cell>
          <cell r="C365" t="str">
            <v>5-Methylthio-D-ribose</v>
          </cell>
        </row>
        <row r="366">
          <cell r="A366" t="str">
            <v>acald_p</v>
          </cell>
          <cell r="B366" t="str">
            <v>acald</v>
          </cell>
          <cell r="C366" t="str">
            <v>Acetaldehyde</v>
          </cell>
        </row>
        <row r="367">
          <cell r="A367" t="str">
            <v>acgal_p</v>
          </cell>
          <cell r="B367" t="str">
            <v>acgal</v>
          </cell>
          <cell r="C367" t="str">
            <v>N-Acetyl-D-galactosamine</v>
          </cell>
        </row>
        <row r="368">
          <cell r="A368" t="str">
            <v>acmum_p</v>
          </cell>
          <cell r="B368" t="str">
            <v>acmum</v>
          </cell>
          <cell r="C368" t="str">
            <v>N-Acetylmuramate</v>
          </cell>
        </row>
        <row r="369">
          <cell r="A369" t="str">
            <v>acser_p</v>
          </cell>
          <cell r="B369" t="str">
            <v>acser</v>
          </cell>
          <cell r="C369" t="str">
            <v>O-Acetyl-L-serine</v>
          </cell>
        </row>
        <row r="370">
          <cell r="A370" t="str">
            <v>akg_p</v>
          </cell>
          <cell r="B370" t="str">
            <v>akg</v>
          </cell>
          <cell r="C370" t="str">
            <v>2-Oxoglutarate</v>
          </cell>
        </row>
        <row r="371">
          <cell r="A371" t="str">
            <v>ala_B_p</v>
          </cell>
          <cell r="B371" t="str">
            <v>ala_B</v>
          </cell>
          <cell r="C371" t="str">
            <v>Beta-Alanine</v>
          </cell>
        </row>
        <row r="372">
          <cell r="A372" t="str">
            <v>ala__L_p</v>
          </cell>
          <cell r="B372" t="str">
            <v>ala__L</v>
          </cell>
          <cell r="C372" t="str">
            <v>L-Alanine</v>
          </cell>
        </row>
        <row r="373">
          <cell r="A373" t="str">
            <v>alpp_p</v>
          </cell>
          <cell r="B373" t="str">
            <v>alpp</v>
          </cell>
          <cell r="C373" t="str">
            <v>Applipoprotein</v>
          </cell>
        </row>
        <row r="374">
          <cell r="A374" t="str">
            <v>arab__L_p</v>
          </cell>
          <cell r="B374" t="str">
            <v>arab__L</v>
          </cell>
          <cell r="C374" t="str">
            <v>L-Arabinose</v>
          </cell>
        </row>
        <row r="375">
          <cell r="A375" t="str">
            <v>aso3_p</v>
          </cell>
          <cell r="B375" t="str">
            <v>aso3</v>
          </cell>
          <cell r="C375" t="str">
            <v>Arsenite</v>
          </cell>
        </row>
        <row r="376">
          <cell r="A376" t="str">
            <v>btn_p</v>
          </cell>
          <cell r="B376" t="str">
            <v>btn</v>
          </cell>
          <cell r="C376" t="str">
            <v>Biotin</v>
          </cell>
        </row>
        <row r="377">
          <cell r="A377" t="str">
            <v>butso3_p</v>
          </cell>
          <cell r="B377" t="str">
            <v>butso3</v>
          </cell>
          <cell r="C377" t="str">
            <v>Butanesulfonate</v>
          </cell>
        </row>
        <row r="378">
          <cell r="A378" t="str">
            <v>clpn140_p</v>
          </cell>
          <cell r="B378" t="str">
            <v>clpn140</v>
          </cell>
          <cell r="C378" t="str">
            <v>Cardiolipin (tetratetradecanoyl, n-C14:0)</v>
          </cell>
        </row>
        <row r="379">
          <cell r="A379" t="str">
            <v>crn_p</v>
          </cell>
          <cell r="B379" t="str">
            <v>crn</v>
          </cell>
          <cell r="C379" t="str">
            <v>L-Carnitine</v>
          </cell>
        </row>
        <row r="380">
          <cell r="A380" t="str">
            <v>cys__L_p</v>
          </cell>
          <cell r="B380" t="str">
            <v>cys__L</v>
          </cell>
          <cell r="C380" t="str">
            <v>L-Cysteine</v>
          </cell>
        </row>
        <row r="381">
          <cell r="A381" t="str">
            <v>cytd_p</v>
          </cell>
          <cell r="B381" t="str">
            <v>cytd</v>
          </cell>
          <cell r="C381" t="str">
            <v>Cytidine</v>
          </cell>
        </row>
        <row r="382">
          <cell r="A382" t="str">
            <v>ddca_p</v>
          </cell>
          <cell r="B382" t="str">
            <v>ddca</v>
          </cell>
          <cell r="C382" t="str">
            <v>Dodecanoate (n-C12:0)</v>
          </cell>
        </row>
        <row r="383">
          <cell r="A383" t="str">
            <v>dha_p</v>
          </cell>
          <cell r="B383" t="str">
            <v>dha</v>
          </cell>
          <cell r="C383" t="str">
            <v>Dihydroxyacetone</v>
          </cell>
        </row>
        <row r="384">
          <cell r="A384" t="str">
            <v>dimp_p</v>
          </cell>
          <cell r="B384" t="str">
            <v>dimp</v>
          </cell>
          <cell r="C384" t="str">
            <v>DIMP C10H12N4O7P</v>
          </cell>
        </row>
        <row r="385">
          <cell r="A385" t="str">
            <v>din_p</v>
          </cell>
          <cell r="B385" t="str">
            <v>din</v>
          </cell>
          <cell r="C385" t="str">
            <v>Deoxyinosine</v>
          </cell>
        </row>
        <row r="386">
          <cell r="A386" t="str">
            <v>doxrbcn_p</v>
          </cell>
          <cell r="B386" t="str">
            <v>doxrbcn</v>
          </cell>
          <cell r="C386" t="str">
            <v>Doxorubicin</v>
          </cell>
        </row>
        <row r="387">
          <cell r="A387" t="str">
            <v>dump_p</v>
          </cell>
          <cell r="B387" t="str">
            <v>dump</v>
          </cell>
          <cell r="C387" t="str">
            <v>DUMP C9H11N2O8P</v>
          </cell>
        </row>
        <row r="388">
          <cell r="A388" t="str">
            <v>eca2und_p</v>
          </cell>
          <cell r="B388" t="str">
            <v>eca2und</v>
          </cell>
          <cell r="C388" t="str">
            <v>(enterobacterial common antigen)x2 undecaprenyl-diphosphate</v>
          </cell>
        </row>
        <row r="389">
          <cell r="A389" t="str">
            <v>enlipa_p</v>
          </cell>
          <cell r="B389" t="str">
            <v>enlipa</v>
          </cell>
          <cell r="C389" t="str">
            <v>Phosphoethanolamine KDO(2)-lipid (A)</v>
          </cell>
        </row>
        <row r="390">
          <cell r="A390" t="str">
            <v>fe2_p</v>
          </cell>
          <cell r="B390" t="str">
            <v>fe2</v>
          </cell>
          <cell r="C390" t="str">
            <v>Fe2+ mitochondria</v>
          </cell>
        </row>
        <row r="391">
          <cell r="A391" t="str">
            <v>fe3dcit_p</v>
          </cell>
          <cell r="B391" t="str">
            <v>fe3dcit</v>
          </cell>
          <cell r="C391" t="str">
            <v>Fe(III)dicitrate</v>
          </cell>
        </row>
        <row r="392">
          <cell r="A392" t="str">
            <v>fecrm_p</v>
          </cell>
          <cell r="B392" t="str">
            <v>fecrm</v>
          </cell>
          <cell r="C392" t="str">
            <v>Ferrichrome</v>
          </cell>
        </row>
        <row r="393">
          <cell r="A393" t="str">
            <v>feoxam_p</v>
          </cell>
          <cell r="B393" t="str">
            <v>feoxam</v>
          </cell>
          <cell r="C393" t="str">
            <v>Generic ferrioxamine-Fe-III</v>
          </cell>
        </row>
        <row r="394">
          <cell r="A394" t="str">
            <v>feoxam_un_p</v>
          </cell>
          <cell r="B394" t="str">
            <v>feoxam_un</v>
          </cell>
          <cell r="C394" t="str">
            <v>Ferroxamine minus Fe(3)</v>
          </cell>
        </row>
        <row r="395">
          <cell r="A395" t="str">
            <v>fruur_p</v>
          </cell>
          <cell r="B395" t="str">
            <v>fruur</v>
          </cell>
          <cell r="C395" t="str">
            <v>D-Fructuronate</v>
          </cell>
        </row>
        <row r="396">
          <cell r="A396" t="str">
            <v>fuc__L_p</v>
          </cell>
          <cell r="B396" t="str">
            <v>fuc__L</v>
          </cell>
          <cell r="C396" t="str">
            <v>L-Fucose</v>
          </cell>
        </row>
        <row r="397">
          <cell r="A397" t="str">
            <v>g3pc_p</v>
          </cell>
          <cell r="B397" t="str">
            <v>g3pc</v>
          </cell>
          <cell r="C397" t="str">
            <v>Sn-Glycero-3-phosphocholine</v>
          </cell>
        </row>
        <row r="398">
          <cell r="A398" t="str">
            <v>g3pe_p</v>
          </cell>
          <cell r="B398" t="str">
            <v>g3pe</v>
          </cell>
          <cell r="C398" t="str">
            <v>Sn-Glycero-3-phosphoethanolamine</v>
          </cell>
        </row>
        <row r="399">
          <cell r="A399" t="str">
            <v>g3pi_p</v>
          </cell>
          <cell r="B399" t="str">
            <v>g3pi</v>
          </cell>
          <cell r="C399" t="str">
            <v>Sn-Glycero-3-phospho-1-inositol</v>
          </cell>
        </row>
        <row r="400">
          <cell r="A400" t="str">
            <v>glcn_p</v>
          </cell>
          <cell r="B400" t="str">
            <v>glcn</v>
          </cell>
          <cell r="C400" t="str">
            <v>D-Gluconate</v>
          </cell>
        </row>
        <row r="401">
          <cell r="A401" t="str">
            <v>glcur1p_p</v>
          </cell>
          <cell r="B401" t="str">
            <v>glcur1p</v>
          </cell>
          <cell r="C401" t="str">
            <v>D-Glucuronate 1-phosphate</v>
          </cell>
        </row>
        <row r="402">
          <cell r="A402" t="str">
            <v>glyc__R_p</v>
          </cell>
          <cell r="B402" t="str">
            <v>glyc__R</v>
          </cell>
          <cell r="C402" t="str">
            <v>(R)-Glycerate</v>
          </cell>
        </row>
        <row r="403">
          <cell r="A403" t="str">
            <v>glyc2p_p</v>
          </cell>
          <cell r="B403" t="str">
            <v>glyc2p</v>
          </cell>
          <cell r="C403" t="str">
            <v>Glycerol 2-phosphate</v>
          </cell>
        </row>
        <row r="404">
          <cell r="A404" t="str">
            <v>glyclt_p</v>
          </cell>
          <cell r="B404" t="str">
            <v>glyclt</v>
          </cell>
          <cell r="C404" t="str">
            <v>Glycolate C2H3O3</v>
          </cell>
        </row>
        <row r="405">
          <cell r="A405" t="str">
            <v>h_p</v>
          </cell>
          <cell r="B405" t="str">
            <v>h</v>
          </cell>
          <cell r="C405" t="str">
            <v>H+</v>
          </cell>
        </row>
        <row r="406">
          <cell r="A406" t="str">
            <v>h2_p</v>
          </cell>
          <cell r="B406" t="str">
            <v>h2</v>
          </cell>
          <cell r="C406" t="str">
            <v>Hydrogen</v>
          </cell>
        </row>
        <row r="407">
          <cell r="A407" t="str">
            <v>h2o_p</v>
          </cell>
          <cell r="B407" t="str">
            <v>h2o</v>
          </cell>
          <cell r="C407" t="str">
            <v>H2O H2O</v>
          </cell>
        </row>
        <row r="408">
          <cell r="A408" t="str">
            <v>hdca_p</v>
          </cell>
          <cell r="B408" t="str">
            <v>hdca</v>
          </cell>
          <cell r="C408" t="str">
            <v>Hexadecanoate (n-C16:0)</v>
          </cell>
        </row>
        <row r="409">
          <cell r="A409" t="str">
            <v>hg2_p</v>
          </cell>
          <cell r="B409" t="str">
            <v>hg2</v>
          </cell>
          <cell r="C409" t="str">
            <v>Mercury  charged 2  Hg</v>
          </cell>
        </row>
        <row r="410">
          <cell r="A410" t="str">
            <v>his__L_p</v>
          </cell>
          <cell r="B410" t="str">
            <v>his__L</v>
          </cell>
          <cell r="C410" t="str">
            <v>L-Histidine</v>
          </cell>
        </row>
        <row r="411">
          <cell r="A411" t="str">
            <v>hom__L_p</v>
          </cell>
          <cell r="B411" t="str">
            <v>hom__L</v>
          </cell>
          <cell r="C411" t="str">
            <v>L-Homoserine</v>
          </cell>
        </row>
        <row r="412">
          <cell r="A412" t="str">
            <v>hxan_p</v>
          </cell>
          <cell r="B412" t="str">
            <v>hxan</v>
          </cell>
          <cell r="C412" t="str">
            <v>Hypoxanthine</v>
          </cell>
        </row>
        <row r="413">
          <cell r="A413" t="str">
            <v>imp_p</v>
          </cell>
          <cell r="B413" t="str">
            <v>imp</v>
          </cell>
          <cell r="C413" t="str">
            <v>IMP C10H11N4O8P</v>
          </cell>
        </row>
        <row r="414">
          <cell r="A414" t="str">
            <v>indole_p</v>
          </cell>
          <cell r="B414" t="str">
            <v>indole</v>
          </cell>
          <cell r="C414" t="str">
            <v>Indole</v>
          </cell>
        </row>
        <row r="415">
          <cell r="A415" t="str">
            <v>lcts_p</v>
          </cell>
          <cell r="B415" t="str">
            <v>lcts</v>
          </cell>
          <cell r="C415" t="str">
            <v>Lactose C12H22O11</v>
          </cell>
        </row>
        <row r="416">
          <cell r="A416" t="str">
            <v>lipa_p</v>
          </cell>
          <cell r="B416" t="str">
            <v>lipa</v>
          </cell>
          <cell r="C416" t="str">
            <v>KDO(2)-lipid (A)</v>
          </cell>
        </row>
        <row r="417">
          <cell r="A417" t="str">
            <v>lipa_cold_p</v>
          </cell>
          <cell r="B417" t="str">
            <v>lipa_cold</v>
          </cell>
          <cell r="C417" t="str">
            <v>Cold adapted KDO(2)-lipid (A)</v>
          </cell>
        </row>
        <row r="418">
          <cell r="A418" t="str">
            <v>malt_p</v>
          </cell>
          <cell r="B418" t="str">
            <v>malt</v>
          </cell>
          <cell r="C418" t="str">
            <v>Maltose C12H22O11</v>
          </cell>
        </row>
        <row r="419">
          <cell r="A419" t="str">
            <v>malthx_p</v>
          </cell>
          <cell r="B419" t="str">
            <v>malthx</v>
          </cell>
          <cell r="C419" t="str">
            <v>Maltohexaose</v>
          </cell>
        </row>
        <row r="420">
          <cell r="A420" t="str">
            <v>maltpt_p</v>
          </cell>
          <cell r="B420" t="str">
            <v>maltpt</v>
          </cell>
          <cell r="C420" t="str">
            <v>Maltopentaose</v>
          </cell>
        </row>
        <row r="421">
          <cell r="A421" t="str">
            <v>met__L_p</v>
          </cell>
          <cell r="B421" t="str">
            <v>met__L</v>
          </cell>
          <cell r="C421" t="str">
            <v>L-Methionine</v>
          </cell>
        </row>
        <row r="422">
          <cell r="A422" t="str">
            <v>metsox_S__L_p</v>
          </cell>
          <cell r="B422" t="str">
            <v>metsox_S__L</v>
          </cell>
          <cell r="C422" t="str">
            <v>L-Methionine Sulfoxide</v>
          </cell>
        </row>
        <row r="423">
          <cell r="A423" t="str">
            <v>murein3p3p_p</v>
          </cell>
          <cell r="B423" t="str">
            <v>murein3p3p</v>
          </cell>
          <cell r="C423" t="str">
            <v>Two linked disacharide tripeptide murein units (uncrosslinked, middle of chain)</v>
          </cell>
        </row>
        <row r="424">
          <cell r="A424" t="str">
            <v>murein4px4p4p_p</v>
          </cell>
          <cell r="B424" t="str">
            <v>murein4px4p4p</v>
          </cell>
          <cell r="C424" t="str">
            <v>Three disacharide linked murein units (tetrapeptide crosslinked tetrapeptide (A2pm-&gt;D-ala), one uncrosslinked tetrapaptide) (middle of chain)</v>
          </cell>
        </row>
        <row r="425">
          <cell r="A425" t="str">
            <v>murein5p5p5p_p</v>
          </cell>
          <cell r="B425" t="str">
            <v>murein5p5p5p</v>
          </cell>
          <cell r="C425" t="str">
            <v>Three linked disacharide pentapeptide murein units (uncrosslinked, middle of chain)</v>
          </cell>
        </row>
        <row r="426">
          <cell r="A426" t="str">
            <v>murein5px4px4p_p</v>
          </cell>
          <cell r="B426" t="str">
            <v>murein5px4px4p</v>
          </cell>
          <cell r="C426" t="str">
            <v>Three disacharide linked murein units (pentapeptide crosslinked tetrapeptide (A2pm-&gt;D-ala) tetrapeptide corsslinked tetrapeptide (A2pm-&gt;D-ala)) (middle of chain)</v>
          </cell>
        </row>
        <row r="427">
          <cell r="A427" t="str">
            <v>ni2_p</v>
          </cell>
          <cell r="B427" t="str">
            <v>ni2</v>
          </cell>
          <cell r="C427" t="str">
            <v>Nickel</v>
          </cell>
        </row>
        <row r="428">
          <cell r="A428" t="str">
            <v>o16a2und_p</v>
          </cell>
          <cell r="B428" t="str">
            <v>o16a2und</v>
          </cell>
          <cell r="C428" t="str">
            <v>(O16 antigen)x2 undecaprenyl diphosphate</v>
          </cell>
        </row>
        <row r="429">
          <cell r="A429" t="str">
            <v>o16aund_p</v>
          </cell>
          <cell r="B429" t="str">
            <v>o16aund</v>
          </cell>
          <cell r="C429" t="str">
            <v>O16 antigen undecaprenyl diphosphate</v>
          </cell>
        </row>
        <row r="430">
          <cell r="A430" t="str">
            <v>ocdcea_p</v>
          </cell>
          <cell r="B430" t="str">
            <v>ocdcea</v>
          </cell>
          <cell r="C430" t="str">
            <v>Octadecenoate (n-C18:1)</v>
          </cell>
        </row>
        <row r="431">
          <cell r="A431" t="str">
            <v>pe120_p</v>
          </cell>
          <cell r="B431" t="str">
            <v>pe120</v>
          </cell>
          <cell r="C431" t="str">
            <v>Phosphatidylethanolamine (didodecanoyl, n-C12:0)</v>
          </cell>
        </row>
        <row r="432">
          <cell r="A432" t="str">
            <v>pe160_p</v>
          </cell>
          <cell r="B432" t="str">
            <v>pe160</v>
          </cell>
          <cell r="C432" t="str">
            <v>Phosphatidylethanolamine (dihexadecanoyl, n-C16:0)</v>
          </cell>
        </row>
        <row r="433">
          <cell r="A433" t="str">
            <v>peamn_p</v>
          </cell>
          <cell r="B433" t="str">
            <v>peamn</v>
          </cell>
          <cell r="C433" t="str">
            <v>Phenethylamine</v>
          </cell>
        </row>
        <row r="434">
          <cell r="A434" t="str">
            <v>pg120_p</v>
          </cell>
          <cell r="B434" t="str">
            <v>pg120</v>
          </cell>
          <cell r="C434" t="str">
            <v>Phosphatidylglycerol (didodecanoyl, n-C12:0)</v>
          </cell>
        </row>
        <row r="435">
          <cell r="A435" t="str">
            <v>pg141_p</v>
          </cell>
          <cell r="B435" t="str">
            <v>pg141</v>
          </cell>
          <cell r="C435" t="str">
            <v>Phosphatidylglycerol (ditetradec-7-enoyl, n-C14:1)</v>
          </cell>
        </row>
        <row r="436">
          <cell r="A436" t="str">
            <v>pg161_p</v>
          </cell>
          <cell r="B436" t="str">
            <v>pg161</v>
          </cell>
          <cell r="C436" t="str">
            <v>Phosphatidylglycerol (dihexadec-9-enoyl, n-C16:1)</v>
          </cell>
        </row>
        <row r="437">
          <cell r="A437" t="str">
            <v>pgp140_p</v>
          </cell>
          <cell r="B437" t="str">
            <v>pgp140</v>
          </cell>
          <cell r="C437" t="str">
            <v>Phosphatidylglycerophosphate (ditetradecanoyl, n-C14:0)</v>
          </cell>
        </row>
        <row r="438">
          <cell r="A438" t="str">
            <v>phe__L_p</v>
          </cell>
          <cell r="B438" t="str">
            <v>phe__L</v>
          </cell>
          <cell r="C438" t="str">
            <v>L-Phenylalanine</v>
          </cell>
        </row>
        <row r="439">
          <cell r="A439" t="str">
            <v>progly_p</v>
          </cell>
          <cell r="B439" t="str">
            <v>progly</v>
          </cell>
          <cell r="C439" t="str">
            <v>L-Prolinylglycine</v>
          </cell>
        </row>
        <row r="440">
          <cell r="A440" t="str">
            <v>psclys_p</v>
          </cell>
          <cell r="B440" t="str">
            <v>psclys</v>
          </cell>
          <cell r="C440" t="str">
            <v>Psicoselysine</v>
          </cell>
        </row>
        <row r="441">
          <cell r="A441" t="str">
            <v>pser__L_p</v>
          </cell>
          <cell r="B441" t="str">
            <v>pser__L</v>
          </cell>
          <cell r="C441" t="str">
            <v>O-Phospho-L-serine</v>
          </cell>
        </row>
        <row r="442">
          <cell r="A442" t="str">
            <v>pydx_p</v>
          </cell>
          <cell r="B442" t="str">
            <v>pydx</v>
          </cell>
          <cell r="C442" t="str">
            <v>Pyridoxal</v>
          </cell>
        </row>
        <row r="443">
          <cell r="A443" t="str">
            <v>r5p_p</v>
          </cell>
          <cell r="B443" t="str">
            <v>r5p</v>
          </cell>
          <cell r="C443" t="str">
            <v>Alpha-D-Ribose 5-phosphate</v>
          </cell>
        </row>
        <row r="444">
          <cell r="A444" t="str">
            <v>rib__D_p</v>
          </cell>
          <cell r="B444" t="str">
            <v>rib__D</v>
          </cell>
          <cell r="C444" t="str">
            <v>D-Ribose</v>
          </cell>
        </row>
        <row r="445">
          <cell r="A445" t="str">
            <v>sel_p</v>
          </cell>
          <cell r="B445" t="str">
            <v>sel</v>
          </cell>
          <cell r="C445" t="str">
            <v>Selenate</v>
          </cell>
        </row>
        <row r="446">
          <cell r="A446" t="str">
            <v>ser__D_p</v>
          </cell>
          <cell r="B446" t="str">
            <v>ser__D</v>
          </cell>
          <cell r="C446" t="str">
            <v>D-Serine</v>
          </cell>
        </row>
        <row r="447">
          <cell r="A447" t="str">
            <v>succ_p</v>
          </cell>
          <cell r="B447" t="str">
            <v>succ</v>
          </cell>
          <cell r="C447" t="str">
            <v>Succinate</v>
          </cell>
        </row>
        <row r="448">
          <cell r="A448" t="str">
            <v>sucr_p</v>
          </cell>
          <cell r="B448" t="str">
            <v>sucr</v>
          </cell>
          <cell r="C448" t="str">
            <v>Sucrose C12H22O11</v>
          </cell>
        </row>
        <row r="449">
          <cell r="A449" t="str">
            <v>tartr__D_p</v>
          </cell>
          <cell r="B449" t="str">
            <v>tartr__D</v>
          </cell>
          <cell r="C449" t="str">
            <v>D-tartrate</v>
          </cell>
        </row>
        <row r="450">
          <cell r="A450" t="str">
            <v>thr__L_p</v>
          </cell>
          <cell r="B450" t="str">
            <v>thr__L</v>
          </cell>
          <cell r="C450" t="str">
            <v>L-Threonine</v>
          </cell>
        </row>
        <row r="451">
          <cell r="A451" t="str">
            <v>thymd_p</v>
          </cell>
          <cell r="B451" t="str">
            <v>thymd</v>
          </cell>
          <cell r="C451" t="str">
            <v>Thymidine C10H14N2O5</v>
          </cell>
        </row>
        <row r="452">
          <cell r="A452" t="str">
            <v>tma_p</v>
          </cell>
          <cell r="B452" t="str">
            <v>tma</v>
          </cell>
          <cell r="C452" t="str">
            <v>Trimethylamine</v>
          </cell>
        </row>
        <row r="453">
          <cell r="A453" t="str">
            <v>tmao_p</v>
          </cell>
          <cell r="B453" t="str">
            <v>tmao</v>
          </cell>
          <cell r="C453" t="str">
            <v>Trimethylamine N-oxide</v>
          </cell>
        </row>
        <row r="454">
          <cell r="A454" t="str">
            <v>ttdcea_p</v>
          </cell>
          <cell r="B454" t="str">
            <v>ttdcea</v>
          </cell>
          <cell r="C454" t="str">
            <v>Tetradecenoate (n-C14:1)</v>
          </cell>
        </row>
        <row r="455">
          <cell r="A455" t="str">
            <v>udcpdp_p</v>
          </cell>
          <cell r="B455" t="str">
            <v>udcpdp</v>
          </cell>
          <cell r="C455" t="str">
            <v>Undecaprenyl diphosphate</v>
          </cell>
        </row>
        <row r="456">
          <cell r="A456" t="str">
            <v>ump_p</v>
          </cell>
          <cell r="B456" t="str">
            <v>ump</v>
          </cell>
          <cell r="C456" t="str">
            <v>UMP C9H11N2O9P</v>
          </cell>
        </row>
        <row r="457">
          <cell r="A457" t="str">
            <v>ura_p</v>
          </cell>
          <cell r="B457" t="str">
            <v>ura</v>
          </cell>
          <cell r="C457" t="str">
            <v>Uracil</v>
          </cell>
        </row>
        <row r="458">
          <cell r="A458" t="str">
            <v>urea_p</v>
          </cell>
          <cell r="B458" t="str">
            <v>urea</v>
          </cell>
          <cell r="C458" t="str">
            <v>Urea CH4N2O</v>
          </cell>
        </row>
        <row r="459">
          <cell r="A459" t="str">
            <v>xan_p</v>
          </cell>
          <cell r="B459" t="str">
            <v>xan</v>
          </cell>
          <cell r="C459" t="str">
            <v>Xanthine</v>
          </cell>
        </row>
        <row r="460">
          <cell r="A460" t="str">
            <v>xylu__L_p</v>
          </cell>
          <cell r="B460" t="str">
            <v>xylu__L</v>
          </cell>
          <cell r="C460" t="str">
            <v>L-Xylulose</v>
          </cell>
        </row>
        <row r="461">
          <cell r="A461" t="str">
            <v>zn2_p</v>
          </cell>
          <cell r="B461" t="str">
            <v>zn2</v>
          </cell>
          <cell r="C461" t="str">
            <v>Zinc</v>
          </cell>
        </row>
        <row r="462">
          <cell r="A462" t="str">
            <v>2kmb_c</v>
          </cell>
          <cell r="B462" t="str">
            <v>2kmb</v>
          </cell>
          <cell r="C462" t="str">
            <v>2-keto-4-methylthiobutyrate</v>
          </cell>
        </row>
        <row r="463">
          <cell r="A463" t="str">
            <v>fldrd_c</v>
          </cell>
          <cell r="B463" t="str">
            <v>fldrd</v>
          </cell>
          <cell r="C463" t="str">
            <v>Flavodoxin (reduced) - obsolete</v>
          </cell>
        </row>
        <row r="464">
          <cell r="A464" t="str">
            <v>mmcoa__R_c</v>
          </cell>
          <cell r="B464" t="str">
            <v>mmcoa__R</v>
          </cell>
          <cell r="C464" t="str">
            <v>(R)-Methylmalonyl-CoA</v>
          </cell>
        </row>
        <row r="465">
          <cell r="A465" t="str">
            <v>ssaltpp_c</v>
          </cell>
          <cell r="B465" t="str">
            <v>ssaltpp</v>
          </cell>
          <cell r="C465" t="str">
            <v>Succinate semialdehyde-thiamin diphosphate anion</v>
          </cell>
        </row>
        <row r="466">
          <cell r="A466" t="str">
            <v>13BDglcn_c</v>
          </cell>
          <cell r="B466" t="str">
            <v>13BDglcn</v>
          </cell>
          <cell r="C466" t="str">
            <v>1 3 beta D Glucan C6H10O5</v>
          </cell>
        </row>
        <row r="467">
          <cell r="A467" t="str">
            <v>1ag3p_SC_c</v>
          </cell>
          <cell r="B467" t="str">
            <v>1ag3p_SC</v>
          </cell>
          <cell r="C467" t="str">
            <v>1 Acyl sn glycerol 3 phosphate C1920H3622O700P100</v>
          </cell>
        </row>
        <row r="468">
          <cell r="A468" t="str">
            <v>1mncam_c</v>
          </cell>
          <cell r="B468" t="str">
            <v>1mncam</v>
          </cell>
          <cell r="C468" t="str">
            <v>1 Methylnicotinamide C7H9N2O</v>
          </cell>
        </row>
        <row r="469">
          <cell r="A469" t="str">
            <v>1p3h5c_m</v>
          </cell>
          <cell r="B469" t="str">
            <v>1p3h5c</v>
          </cell>
          <cell r="C469" t="str">
            <v>L 1 Pyrroline 3 hydroxy 5 carboxylate C5H6NO3</v>
          </cell>
        </row>
        <row r="470">
          <cell r="A470" t="str">
            <v>23dhmb_m</v>
          </cell>
          <cell r="B470" t="str">
            <v>23dhmb</v>
          </cell>
          <cell r="C470" t="str">
            <v>(R)-2,3-Dihydroxy-3-methylbutanoate</v>
          </cell>
        </row>
        <row r="471">
          <cell r="A471" t="str">
            <v>23dpg_c</v>
          </cell>
          <cell r="B471" t="str">
            <v>23dpg</v>
          </cell>
          <cell r="C471" t="str">
            <v>2 3 Disphospho D glycerate C3H3O10P2</v>
          </cell>
        </row>
        <row r="472">
          <cell r="A472" t="str">
            <v>25dhpp_c</v>
          </cell>
          <cell r="B472" t="str">
            <v>25dhpp</v>
          </cell>
          <cell r="C472" t="str">
            <v>2 5 Diamino 6 hydroxy 4  5  phosphoribosylamino  pyrimidine C9H14N5O8P</v>
          </cell>
        </row>
        <row r="473">
          <cell r="A473" t="str">
            <v>2dglc_c</v>
          </cell>
          <cell r="B473" t="str">
            <v>2dglc</v>
          </cell>
          <cell r="C473" t="str">
            <v>2 Deoxy D glucose C6H12O5</v>
          </cell>
        </row>
        <row r="474">
          <cell r="A474" t="str">
            <v>2hpmmbq_m</v>
          </cell>
          <cell r="B474" t="str">
            <v>2hpmmbq</v>
          </cell>
          <cell r="C474" t="str">
            <v>2 hexaprenyl 3 methyl 6 methoxy 1 4 benzoquinone C38H56O3</v>
          </cell>
        </row>
        <row r="475">
          <cell r="A475" t="str">
            <v>2mbac_e</v>
          </cell>
          <cell r="B475" t="str">
            <v>2mbac</v>
          </cell>
          <cell r="C475" t="str">
            <v>2 methylbutyl acetate C7H14O2</v>
          </cell>
        </row>
        <row r="476">
          <cell r="A476" t="str">
            <v>2mbald_c</v>
          </cell>
          <cell r="B476" t="str">
            <v>2mbald</v>
          </cell>
          <cell r="C476" t="str">
            <v>2 methylbutyraldehyde C5H10O</v>
          </cell>
        </row>
        <row r="477">
          <cell r="A477" t="str">
            <v>2mbtoh_e</v>
          </cell>
          <cell r="B477" t="str">
            <v>2mbtoh</v>
          </cell>
          <cell r="C477" t="str">
            <v>2 methyl 1 butanol C5H12O</v>
          </cell>
        </row>
        <row r="478">
          <cell r="A478" t="str">
            <v>2mcit_m</v>
          </cell>
          <cell r="B478" t="str">
            <v>2mcit</v>
          </cell>
          <cell r="C478" t="str">
            <v>2-Methylcitrate</v>
          </cell>
        </row>
        <row r="479">
          <cell r="A479" t="str">
            <v>2mppal_e</v>
          </cell>
          <cell r="B479" t="str">
            <v>2mppal</v>
          </cell>
          <cell r="C479" t="str">
            <v>2 methylpropanal C4H8O</v>
          </cell>
        </row>
        <row r="480">
          <cell r="A480" t="str">
            <v>2oxoadp_m</v>
          </cell>
          <cell r="B480" t="str">
            <v>2oxoadp</v>
          </cell>
          <cell r="C480" t="str">
            <v>2 Oxoadipate C6H6O5</v>
          </cell>
        </row>
        <row r="481">
          <cell r="A481" t="str">
            <v>2phetoh_e</v>
          </cell>
          <cell r="B481" t="str">
            <v>2phetoh</v>
          </cell>
          <cell r="C481" t="str">
            <v>2 phenylethanol C8H10O</v>
          </cell>
        </row>
        <row r="482">
          <cell r="A482" t="str">
            <v>34hpp_m</v>
          </cell>
          <cell r="B482" t="str">
            <v>34hpp</v>
          </cell>
          <cell r="C482" t="str">
            <v>3-(4-Hydroxyphenyl)pyruvate</v>
          </cell>
        </row>
        <row r="483">
          <cell r="A483" t="str">
            <v>35ccmp_c</v>
          </cell>
          <cell r="B483" t="str">
            <v>35ccmp</v>
          </cell>
          <cell r="C483" t="str">
            <v>3  5  Cyclic CMP C9H11N3O7P</v>
          </cell>
        </row>
        <row r="484">
          <cell r="A484" t="str">
            <v>3dh5hpb_m</v>
          </cell>
          <cell r="B484" t="str">
            <v>3dh5hpb</v>
          </cell>
          <cell r="C484" t="str">
            <v>3 Hexaprenyl 4 5 dihydroxybenzoate C37H53O4</v>
          </cell>
        </row>
        <row r="485">
          <cell r="A485" t="str">
            <v>3hdcoa_x</v>
          </cell>
          <cell r="B485" t="str">
            <v>3hdcoa</v>
          </cell>
          <cell r="C485" t="str">
            <v>(S)-3-Hydroxydecanoyl-CoA</v>
          </cell>
        </row>
        <row r="486">
          <cell r="A486" t="str">
            <v>3hhdcoa_x</v>
          </cell>
          <cell r="B486" t="str">
            <v>3hhdcoa</v>
          </cell>
          <cell r="C486" t="str">
            <v>(S)-3-Hydroxyhexadecanoyl-CoA</v>
          </cell>
        </row>
        <row r="487">
          <cell r="A487" t="str">
            <v>3hxccoa_x</v>
          </cell>
          <cell r="B487" t="str">
            <v>3hxccoa</v>
          </cell>
          <cell r="C487" t="str">
            <v xml:space="preserve"> S  3 Hydroxyhexacosyl CoA C47H82N7O18P3S</v>
          </cell>
        </row>
        <row r="488">
          <cell r="A488" t="str">
            <v>3ipmmest_c</v>
          </cell>
          <cell r="B488" t="str">
            <v>3ipmmest</v>
          </cell>
          <cell r="C488" t="str">
            <v>3 isopropylmalate methyl ester C8H13O5</v>
          </cell>
        </row>
        <row r="489">
          <cell r="A489" t="str">
            <v>3mbald_m</v>
          </cell>
          <cell r="B489" t="str">
            <v>3mbald</v>
          </cell>
          <cell r="C489" t="str">
            <v>3 Methylbutanal C5H10O</v>
          </cell>
        </row>
        <row r="490">
          <cell r="A490" t="str">
            <v>3odcoa_x</v>
          </cell>
          <cell r="B490" t="str">
            <v>3odcoa</v>
          </cell>
          <cell r="C490" t="str">
            <v>3-Oxodecanoyl-CoA</v>
          </cell>
        </row>
        <row r="491">
          <cell r="A491" t="str">
            <v>44mctr_c</v>
          </cell>
          <cell r="B491" t="str">
            <v>44mctr</v>
          </cell>
          <cell r="C491" t="str">
            <v>4 4 dimethylcholesta 8 14 24 trienol C29H46O</v>
          </cell>
        </row>
        <row r="492">
          <cell r="A492" t="str">
            <v>4aabutn_c</v>
          </cell>
          <cell r="B492" t="str">
            <v>4aabutn</v>
          </cell>
          <cell r="C492" t="str">
            <v>4 Acetamidobutanoate C6H10NO3</v>
          </cell>
        </row>
        <row r="493">
          <cell r="A493" t="str">
            <v>4abut_m</v>
          </cell>
          <cell r="B493" t="str">
            <v>4abut</v>
          </cell>
          <cell r="C493" t="str">
            <v>4-Aminobutanoate</v>
          </cell>
        </row>
        <row r="494">
          <cell r="A494" t="str">
            <v>4abz_m</v>
          </cell>
          <cell r="B494" t="str">
            <v>4abz</v>
          </cell>
          <cell r="C494" t="str">
            <v>4-Aminobenzoate</v>
          </cell>
        </row>
        <row r="495">
          <cell r="A495" t="str">
            <v>4gudbutn_c</v>
          </cell>
          <cell r="B495" t="str">
            <v>4gudbutn</v>
          </cell>
          <cell r="C495" t="str">
            <v>4 Guanidinobutanoate C5H11N3O2</v>
          </cell>
        </row>
        <row r="496">
          <cell r="A496" t="str">
            <v>4h2oglt_m</v>
          </cell>
          <cell r="B496" t="str">
            <v>4h2oglt</v>
          </cell>
          <cell r="C496" t="str">
            <v>4 Hydroxy 2 oxoglutarate C5H4O6</v>
          </cell>
        </row>
        <row r="497">
          <cell r="A497" t="str">
            <v>4hbzcoa_m</v>
          </cell>
          <cell r="B497" t="str">
            <v>4hbzcoa</v>
          </cell>
          <cell r="C497" t="str">
            <v>4 hydroxybenoyl CoA C28H36N7O18P3S</v>
          </cell>
        </row>
        <row r="498">
          <cell r="A498" t="str">
            <v>4hpro_LT_c</v>
          </cell>
          <cell r="B498" t="str">
            <v>4hpro_LT</v>
          </cell>
          <cell r="C498" t="str">
            <v>Trans 4 Hydroxy L proline C5H9NO3</v>
          </cell>
        </row>
        <row r="499">
          <cell r="A499" t="str">
            <v>5dpmev_c</v>
          </cell>
          <cell r="B499" t="str">
            <v>5dpmev</v>
          </cell>
          <cell r="C499" t="str">
            <v xml:space="preserve"> R  5 Diphosphomevalonate C6H10O10P2</v>
          </cell>
        </row>
        <row r="500">
          <cell r="A500" t="str">
            <v>5fthf_m</v>
          </cell>
          <cell r="B500" t="str">
            <v>5fthf</v>
          </cell>
          <cell r="C500" t="str">
            <v>5-Formyltetrahydrofolate</v>
          </cell>
        </row>
        <row r="501">
          <cell r="A501" t="str">
            <v>ACP_m</v>
          </cell>
          <cell r="B501" t="str">
            <v>ACP</v>
          </cell>
          <cell r="C501" t="str">
            <v>Acyl carrier protein</v>
          </cell>
        </row>
        <row r="502">
          <cell r="A502" t="str">
            <v>L2aadp6sa_c</v>
          </cell>
          <cell r="B502" t="str">
            <v>L2aadp6sa</v>
          </cell>
          <cell r="C502" t="str">
            <v>L 2 Aminoadipate 6 semialdehyde C6H11NO3</v>
          </cell>
        </row>
        <row r="503">
          <cell r="A503" t="str">
            <v>Lfmkynr_c</v>
          </cell>
          <cell r="B503" t="str">
            <v>Lfmkynr</v>
          </cell>
          <cell r="C503" t="str">
            <v>L Formylkynurenine C11H12N2O4</v>
          </cell>
        </row>
        <row r="504">
          <cell r="A504" t="str">
            <v>NPmehis_c</v>
          </cell>
          <cell r="B504" t="str">
            <v>NPmehis</v>
          </cell>
          <cell r="C504" t="str">
            <v>N pai  Methyl L histidine C7H11N3O2</v>
          </cell>
        </row>
        <row r="505">
          <cell r="A505" t="str">
            <v>Nbfortyr_c</v>
          </cell>
          <cell r="B505" t="str">
            <v>Nbfortyr</v>
          </cell>
          <cell r="C505" t="str">
            <v>N N bisformyl dityrosine C20H22N2O8</v>
          </cell>
        </row>
        <row r="506">
          <cell r="A506" t="str">
            <v>Nfortyr_c</v>
          </cell>
          <cell r="B506" t="str">
            <v>Nfortyr</v>
          </cell>
          <cell r="C506" t="str">
            <v>N Formyl L tyrosine C10H10NO4</v>
          </cell>
        </row>
        <row r="507">
          <cell r="A507" t="str">
            <v>Ssq23epx_c</v>
          </cell>
          <cell r="B507" t="str">
            <v>Ssq23epx</v>
          </cell>
          <cell r="C507" t="str">
            <v xml:space="preserve"> S  Squalene 2 3 epoxide C30H50O</v>
          </cell>
        </row>
        <row r="508">
          <cell r="A508" t="str">
            <v>Ssq23epx_r</v>
          </cell>
          <cell r="B508" t="str">
            <v>Ssq23epx</v>
          </cell>
          <cell r="C508" t="str">
            <v xml:space="preserve"> S  Squalene 2 3 epoxide C30H50O</v>
          </cell>
        </row>
        <row r="509">
          <cell r="A509" t="str">
            <v>T4hcinnm_m</v>
          </cell>
          <cell r="B509" t="str">
            <v>T4hcinnm</v>
          </cell>
          <cell r="C509" t="str">
            <v>Trans 4 Hydroxycinnamate C9H7O3</v>
          </cell>
        </row>
        <row r="510">
          <cell r="A510" t="str">
            <v>acACP_m</v>
          </cell>
          <cell r="B510" t="str">
            <v>acACP</v>
          </cell>
          <cell r="C510" t="str">
            <v>Acetyl-ACP</v>
          </cell>
        </row>
        <row r="511">
          <cell r="A511" t="str">
            <v>aces_e</v>
          </cell>
          <cell r="B511" t="str">
            <v>aces</v>
          </cell>
          <cell r="C511" t="str">
            <v>Acetic ester C4H8O2</v>
          </cell>
        </row>
        <row r="512">
          <cell r="A512" t="str">
            <v>acg5sa_m</v>
          </cell>
          <cell r="B512" t="str">
            <v>acg5sa</v>
          </cell>
          <cell r="C512" t="str">
            <v>N-Acetyl-L-glutamate 5-semialdehyde</v>
          </cell>
        </row>
        <row r="513">
          <cell r="A513" t="str">
            <v>acrn_m</v>
          </cell>
          <cell r="B513" t="str">
            <v>acrn</v>
          </cell>
          <cell r="C513" t="str">
            <v>O Acetylcarnitine C9H17NO4</v>
          </cell>
        </row>
        <row r="514">
          <cell r="A514" t="str">
            <v>ade_m</v>
          </cell>
          <cell r="B514" t="str">
            <v>ade</v>
          </cell>
          <cell r="C514" t="str">
            <v>Adenine</v>
          </cell>
        </row>
        <row r="515">
          <cell r="A515" t="str">
            <v>adp_x</v>
          </cell>
          <cell r="B515" t="str">
            <v>adp</v>
          </cell>
          <cell r="C515" t="str">
            <v>ADP C10H12N5O10P2</v>
          </cell>
        </row>
        <row r="516">
          <cell r="A516" t="str">
            <v>akg_x</v>
          </cell>
          <cell r="B516" t="str">
            <v>akg</v>
          </cell>
          <cell r="C516" t="str">
            <v>2-Oxoglutarate</v>
          </cell>
        </row>
        <row r="517">
          <cell r="A517" t="str">
            <v>alltt_e</v>
          </cell>
          <cell r="B517" t="str">
            <v>alltt</v>
          </cell>
          <cell r="C517" t="str">
            <v>Allantoate</v>
          </cell>
        </row>
        <row r="518">
          <cell r="A518" t="str">
            <v>amp2p_c</v>
          </cell>
          <cell r="B518" t="str">
            <v>amp2p</v>
          </cell>
          <cell r="C518" t="str">
            <v>Adenosine 2  phosphate C10H14N5O7P</v>
          </cell>
        </row>
        <row r="519">
          <cell r="A519" t="str">
            <v>apep_c</v>
          </cell>
          <cell r="B519" t="str">
            <v>apep</v>
          </cell>
          <cell r="C519" t="str">
            <v>Nalpha Acetylpeptide C6H7N2O4R2</v>
          </cell>
        </row>
        <row r="520">
          <cell r="A520" t="str">
            <v>aprop_c</v>
          </cell>
          <cell r="B520" t="str">
            <v>aprop</v>
          </cell>
          <cell r="C520" t="str">
            <v>Alpha Aminopropiononitrile C3H7N2</v>
          </cell>
        </row>
        <row r="521">
          <cell r="A521" t="str">
            <v>arab__D_c</v>
          </cell>
          <cell r="B521" t="str">
            <v>arab__D</v>
          </cell>
          <cell r="C521" t="str">
            <v>D Arabinose C5H10O5</v>
          </cell>
        </row>
        <row r="522">
          <cell r="A522" t="str">
            <v>arg__L_m</v>
          </cell>
          <cell r="B522" t="str">
            <v>arg__L</v>
          </cell>
          <cell r="C522" t="str">
            <v>L-Arginine</v>
          </cell>
        </row>
        <row r="523">
          <cell r="A523" t="str">
            <v>arg__L_v</v>
          </cell>
          <cell r="B523" t="str">
            <v>arg__L</v>
          </cell>
          <cell r="C523" t="str">
            <v>L-Arginine</v>
          </cell>
        </row>
        <row r="524">
          <cell r="A524" t="str">
            <v>atp_g</v>
          </cell>
          <cell r="B524" t="str">
            <v>atp</v>
          </cell>
          <cell r="C524" t="str">
            <v>ATP C10H12N5O13P3</v>
          </cell>
        </row>
        <row r="525">
          <cell r="A525" t="str">
            <v>atp_n</v>
          </cell>
          <cell r="B525" t="str">
            <v>atp</v>
          </cell>
          <cell r="C525" t="str">
            <v>ATP C10H12N5O13P3</v>
          </cell>
        </row>
        <row r="526">
          <cell r="A526" t="str">
            <v>btd_RR_e</v>
          </cell>
          <cell r="B526" t="str">
            <v>btd_RR</v>
          </cell>
          <cell r="C526" t="str">
            <v xml:space="preserve"> R R  2 3 Butanediol C4H10O2</v>
          </cell>
        </row>
        <row r="527">
          <cell r="A527" t="str">
            <v>cdp_n</v>
          </cell>
          <cell r="B527" t="str">
            <v>cdp</v>
          </cell>
          <cell r="C527" t="str">
            <v>CDP C9H12N3O11P2</v>
          </cell>
        </row>
        <row r="528">
          <cell r="A528" t="str">
            <v>cer2_26_c</v>
          </cell>
          <cell r="B528" t="str">
            <v>cer2_26</v>
          </cell>
          <cell r="C528" t="str">
            <v>Ceramide 2  Phytosphingosinen C260  C44H89NO4</v>
          </cell>
        </row>
        <row r="529">
          <cell r="A529" t="str">
            <v>cer2_26_r</v>
          </cell>
          <cell r="B529" t="str">
            <v>cer2_26</v>
          </cell>
          <cell r="C529" t="str">
            <v>Ceramide 2  Phytosphingosinen C260  C44H89NO4</v>
          </cell>
        </row>
        <row r="530">
          <cell r="A530" t="str">
            <v>cit_m</v>
          </cell>
          <cell r="B530" t="str">
            <v>cit</v>
          </cell>
          <cell r="C530" t="str">
            <v>Citrate</v>
          </cell>
        </row>
        <row r="531">
          <cell r="A531" t="str">
            <v>clpn_SC_m</v>
          </cell>
          <cell r="B531" t="str">
            <v>clpn_SC</v>
          </cell>
          <cell r="C531" t="str">
            <v>Cardiolipin  yeast specific C7380H13688O1700P200</v>
          </cell>
        </row>
        <row r="532">
          <cell r="A532" t="str">
            <v>cmaphis_c</v>
          </cell>
          <cell r="B532" t="str">
            <v>cmaphis</v>
          </cell>
          <cell r="C532" t="str">
            <v>2 3 Carboxy 3  methylammonio propyl L histidine C11H18N4O4</v>
          </cell>
        </row>
        <row r="533">
          <cell r="A533" t="str">
            <v>co2_m</v>
          </cell>
          <cell r="B533" t="str">
            <v>co2</v>
          </cell>
          <cell r="C533" t="str">
            <v>CO2 CO2</v>
          </cell>
        </row>
        <row r="534">
          <cell r="A534" t="str">
            <v>co2_v</v>
          </cell>
          <cell r="B534" t="str">
            <v>co2</v>
          </cell>
          <cell r="C534" t="str">
            <v>CO2 CO2</v>
          </cell>
        </row>
        <row r="535">
          <cell r="A535" t="str">
            <v>crn_x</v>
          </cell>
          <cell r="B535" t="str">
            <v>crn</v>
          </cell>
          <cell r="C535" t="str">
            <v>L-Carnitine</v>
          </cell>
        </row>
        <row r="536">
          <cell r="A536" t="str">
            <v>cyst__L_x</v>
          </cell>
          <cell r="B536" t="str">
            <v>cyst__L</v>
          </cell>
          <cell r="C536" t="str">
            <v>L-Cystathionine</v>
          </cell>
        </row>
        <row r="537">
          <cell r="A537" t="str">
            <v>dadp_n</v>
          </cell>
          <cell r="B537" t="str">
            <v>dadp</v>
          </cell>
          <cell r="C537" t="str">
            <v>DADP C10H12N5O9P2</v>
          </cell>
        </row>
        <row r="538">
          <cell r="A538" t="str">
            <v>dagpy_SC_c</v>
          </cell>
          <cell r="B538" t="str">
            <v>dagpy_SC</v>
          </cell>
          <cell r="C538" t="str">
            <v>Diacylglycerol pyrophosphate  yeast specific C3540H6544O1100P200</v>
          </cell>
        </row>
        <row r="539">
          <cell r="A539" t="str">
            <v>dann_e</v>
          </cell>
          <cell r="B539" t="str">
            <v>dann</v>
          </cell>
          <cell r="C539" t="str">
            <v>7,8-Diaminononanoate</v>
          </cell>
        </row>
        <row r="540">
          <cell r="A540" t="str">
            <v>dcdp_n</v>
          </cell>
          <cell r="B540" t="str">
            <v>dcdp</v>
          </cell>
          <cell r="C540" t="str">
            <v>DCDP C9H12N3O10P2</v>
          </cell>
        </row>
        <row r="541">
          <cell r="A541" t="str">
            <v>ddcaACP_m</v>
          </cell>
          <cell r="B541" t="str">
            <v>ddcaACP</v>
          </cell>
          <cell r="C541" t="str">
            <v>Dodecanoyl-ACP (n-C12:0ACP)</v>
          </cell>
        </row>
        <row r="542">
          <cell r="A542" t="str">
            <v>ddca_x</v>
          </cell>
          <cell r="B542" t="str">
            <v>ddca</v>
          </cell>
          <cell r="C542" t="str">
            <v>Dodecanoate (n-C12:0)</v>
          </cell>
        </row>
        <row r="543">
          <cell r="A543" t="str">
            <v>dhlam_m</v>
          </cell>
          <cell r="B543" t="str">
            <v>dhlam</v>
          </cell>
          <cell r="C543" t="str">
            <v>Dihydrolipoamide C8H17NOS2</v>
          </cell>
        </row>
        <row r="544">
          <cell r="A544" t="str">
            <v>dhpt_m</v>
          </cell>
          <cell r="B544" t="str">
            <v>dhpt</v>
          </cell>
          <cell r="C544" t="str">
            <v>Dihydropteroate</v>
          </cell>
        </row>
        <row r="545">
          <cell r="A545" t="str">
            <v>dnad_m</v>
          </cell>
          <cell r="B545" t="str">
            <v>dnad</v>
          </cell>
          <cell r="C545" t="str">
            <v>Deamino-NAD+</v>
          </cell>
        </row>
        <row r="546">
          <cell r="A546" t="str">
            <v>dolp_c</v>
          </cell>
          <cell r="B546" t="str">
            <v>dolp</v>
          </cell>
          <cell r="C546" t="str">
            <v>Dolichol phosphate C15H27O4P</v>
          </cell>
        </row>
        <row r="547">
          <cell r="A547" t="str">
            <v>dolp_r</v>
          </cell>
          <cell r="B547" t="str">
            <v>dolp</v>
          </cell>
          <cell r="C547" t="str">
            <v>Dolichol phosphate C15H27O4P</v>
          </cell>
        </row>
        <row r="548">
          <cell r="A548" t="str">
            <v>dpcoa_m</v>
          </cell>
          <cell r="B548" t="str">
            <v>dpcoa</v>
          </cell>
          <cell r="C548" t="str">
            <v>Dephospho-CoA</v>
          </cell>
        </row>
        <row r="549">
          <cell r="A549" t="str">
            <v>epistest_SC_e</v>
          </cell>
          <cell r="B549" t="str">
            <v>epistest_SC</v>
          </cell>
          <cell r="C549" t="str">
            <v>Episterol ester  yeast specific C1695H2995O101</v>
          </cell>
        </row>
        <row r="550">
          <cell r="A550" t="str">
            <v>ergstest_SC_e</v>
          </cell>
          <cell r="B550" t="str">
            <v>ergstest_SC</v>
          </cell>
          <cell r="C550" t="str">
            <v>Ergosterol ester  yeast specific C1695H2993O101</v>
          </cell>
        </row>
        <row r="551">
          <cell r="A551" t="str">
            <v>ergtrol_c</v>
          </cell>
          <cell r="B551" t="str">
            <v>ergtrol</v>
          </cell>
          <cell r="C551" t="str">
            <v>Ergosta 5 7 24 28  trienol C28H44O</v>
          </cell>
        </row>
        <row r="552">
          <cell r="A552" t="str">
            <v>fecost_e</v>
          </cell>
          <cell r="B552" t="str">
            <v>fecost</v>
          </cell>
          <cell r="C552" t="str">
            <v>Fecosterol C28H46O</v>
          </cell>
        </row>
        <row r="553">
          <cell r="A553" t="str">
            <v>fmn_e</v>
          </cell>
          <cell r="B553" t="str">
            <v>fmn</v>
          </cell>
          <cell r="C553" t="str">
            <v>FMN C17H19N4O9P</v>
          </cell>
        </row>
        <row r="554">
          <cell r="A554" t="str">
            <v>focytc_m</v>
          </cell>
          <cell r="B554" t="str">
            <v>focytc</v>
          </cell>
          <cell r="C554" t="str">
            <v>Ferrocytochrome c C42H53FeN8O6S2</v>
          </cell>
        </row>
        <row r="555">
          <cell r="A555" t="str">
            <v>g6p_B_c</v>
          </cell>
          <cell r="B555" t="str">
            <v>g6p_B</v>
          </cell>
          <cell r="C555" t="str">
            <v>Beta D glucose 6 phosphate C6H11O9P</v>
          </cell>
        </row>
        <row r="556">
          <cell r="A556" t="str">
            <v>glu5sa_m</v>
          </cell>
          <cell r="B556" t="str">
            <v>glu5sa</v>
          </cell>
          <cell r="C556" t="str">
            <v>L-Glutamate 5-semialdehyde</v>
          </cell>
        </row>
        <row r="557">
          <cell r="A557" t="str">
            <v>gly_m</v>
          </cell>
          <cell r="B557" t="str">
            <v>gly</v>
          </cell>
          <cell r="C557" t="str">
            <v>Glycine</v>
          </cell>
        </row>
        <row r="558">
          <cell r="A558" t="str">
            <v>glyc3p_m</v>
          </cell>
          <cell r="B558" t="str">
            <v>glyc3p</v>
          </cell>
          <cell r="C558" t="str">
            <v>Glycerol 3-phosphate</v>
          </cell>
        </row>
        <row r="559">
          <cell r="A559" t="str">
            <v>gthrd_m</v>
          </cell>
          <cell r="B559" t="str">
            <v>gthrd</v>
          </cell>
          <cell r="C559" t="str">
            <v>Reduced glutathione</v>
          </cell>
        </row>
        <row r="560">
          <cell r="A560" t="str">
            <v>gthrd_v</v>
          </cell>
          <cell r="B560" t="str">
            <v>gthrd</v>
          </cell>
          <cell r="C560" t="str">
            <v>Reduced glutathione</v>
          </cell>
        </row>
        <row r="561">
          <cell r="A561" t="str">
            <v>h2o2_n</v>
          </cell>
          <cell r="B561" t="str">
            <v>h2o2</v>
          </cell>
          <cell r="C561" t="str">
            <v>Hydrogen peroxide</v>
          </cell>
        </row>
        <row r="562">
          <cell r="A562" t="str">
            <v>h2o_r</v>
          </cell>
          <cell r="B562" t="str">
            <v>h2o</v>
          </cell>
          <cell r="C562" t="str">
            <v>H2O H2O</v>
          </cell>
        </row>
        <row r="563">
          <cell r="A563" t="str">
            <v>h2o_x</v>
          </cell>
          <cell r="B563" t="str">
            <v>h2o</v>
          </cell>
          <cell r="C563" t="str">
            <v>H2O H2O</v>
          </cell>
        </row>
        <row r="564">
          <cell r="A564" t="str">
            <v>h_r</v>
          </cell>
          <cell r="B564" t="str">
            <v>h</v>
          </cell>
          <cell r="C564" t="str">
            <v>H+</v>
          </cell>
        </row>
        <row r="565">
          <cell r="A565" t="str">
            <v>h_x</v>
          </cell>
          <cell r="B565" t="str">
            <v>h</v>
          </cell>
          <cell r="C565" t="str">
            <v>H+</v>
          </cell>
        </row>
        <row r="566">
          <cell r="A566" t="str">
            <v>hcit_n</v>
          </cell>
          <cell r="B566" t="str">
            <v>hcit</v>
          </cell>
          <cell r="C566" t="str">
            <v>2 Hydroxybutane 1 2 4 tricarboxylate C7H7O7</v>
          </cell>
        </row>
        <row r="567">
          <cell r="A567" t="str">
            <v>hco3_n</v>
          </cell>
          <cell r="B567" t="str">
            <v>hco3</v>
          </cell>
          <cell r="C567" t="str">
            <v>Bicarbonate</v>
          </cell>
        </row>
        <row r="568">
          <cell r="A568" t="str">
            <v>hcys__L_x</v>
          </cell>
          <cell r="B568" t="str">
            <v>hcys__L</v>
          </cell>
          <cell r="C568" t="str">
            <v>L-Homocysteine</v>
          </cell>
        </row>
        <row r="569">
          <cell r="A569" t="str">
            <v>hdca_x</v>
          </cell>
          <cell r="B569" t="str">
            <v>hdca</v>
          </cell>
          <cell r="C569" t="str">
            <v>Hexadecanoate (n-C16:0)</v>
          </cell>
        </row>
        <row r="570">
          <cell r="A570" t="str">
            <v>hdd2coa_x</v>
          </cell>
          <cell r="B570" t="str">
            <v>hdd2coa</v>
          </cell>
          <cell r="C570" t="str">
            <v>Trans-Hexadec-2-enoyl-CoA</v>
          </cell>
        </row>
        <row r="571">
          <cell r="A571" t="str">
            <v>hemeA_m</v>
          </cell>
          <cell r="B571" t="str">
            <v>hemeA</v>
          </cell>
          <cell r="C571" t="str">
            <v>Heme A C49H55FeN4O6</v>
          </cell>
        </row>
        <row r="572">
          <cell r="A572" t="str">
            <v>hemeO_m</v>
          </cell>
          <cell r="B572" t="str">
            <v>hemeO</v>
          </cell>
          <cell r="C572" t="str">
            <v>Heme O C49H56FeN4O5</v>
          </cell>
        </row>
        <row r="573">
          <cell r="A573" t="str">
            <v>hexc_c</v>
          </cell>
          <cell r="B573" t="str">
            <v>hexc</v>
          </cell>
          <cell r="C573" t="str">
            <v>Hexacosanoate  n C260  C26H51O2</v>
          </cell>
        </row>
        <row r="574">
          <cell r="A574" t="str">
            <v>hexc_x</v>
          </cell>
          <cell r="B574" t="str">
            <v>hexc</v>
          </cell>
          <cell r="C574" t="str">
            <v>Hexacosanoate  n C260  C26H51O2</v>
          </cell>
        </row>
        <row r="575">
          <cell r="A575" t="str">
            <v>hexccoa_c</v>
          </cell>
          <cell r="B575" t="str">
            <v>hexccoa</v>
          </cell>
          <cell r="C575" t="str">
            <v>Hexacosanoyl CoA  n C260CoA  C47H82N7O17P3S</v>
          </cell>
        </row>
        <row r="576">
          <cell r="A576" t="str">
            <v>hexccoa_r</v>
          </cell>
          <cell r="B576" t="str">
            <v>hexccoa</v>
          </cell>
          <cell r="C576" t="str">
            <v>Hexacosanoyl CoA  n C260CoA  C47H82N7O17P3S</v>
          </cell>
        </row>
        <row r="577">
          <cell r="A577" t="str">
            <v>hexccoa_x</v>
          </cell>
          <cell r="B577" t="str">
            <v>hexccoa</v>
          </cell>
          <cell r="C577" t="str">
            <v>Hexacosanoyl CoA  n C260CoA  C47H82N7O17P3S</v>
          </cell>
        </row>
        <row r="578">
          <cell r="A578" t="str">
            <v>hexdp_m</v>
          </cell>
          <cell r="B578" t="str">
            <v>hexdp</v>
          </cell>
          <cell r="C578" t="str">
            <v>All trans Hexaprenyl diphosphate C30H49O7P2</v>
          </cell>
        </row>
        <row r="579">
          <cell r="A579" t="str">
            <v>hmgcoa_c</v>
          </cell>
          <cell r="B579" t="str">
            <v>hmgcoa</v>
          </cell>
          <cell r="C579" t="str">
            <v>Hydroxymethylglutaryl CoA C27H39N7O20P3S</v>
          </cell>
        </row>
        <row r="580">
          <cell r="A580" t="str">
            <v>iamoh_c</v>
          </cell>
          <cell r="B580" t="str">
            <v>iamoh</v>
          </cell>
          <cell r="C580" t="str">
            <v>Isoamyl alcohol C5H12O</v>
          </cell>
        </row>
        <row r="581">
          <cell r="A581" t="str">
            <v>ibutac_c</v>
          </cell>
          <cell r="B581" t="str">
            <v>ibutac</v>
          </cell>
          <cell r="C581" t="str">
            <v>Isobutyl acetate C6H12O2</v>
          </cell>
        </row>
        <row r="582">
          <cell r="A582" t="str">
            <v>ibutoh_e</v>
          </cell>
          <cell r="B582" t="str">
            <v>ibutoh</v>
          </cell>
          <cell r="C582" t="str">
            <v>Isobutyl alcohol C4H10O</v>
          </cell>
        </row>
        <row r="583">
          <cell r="A583" t="str">
            <v>id3acald_c</v>
          </cell>
          <cell r="B583" t="str">
            <v>id3acald</v>
          </cell>
          <cell r="C583" t="str">
            <v>Indole 3 acetaldehyde C10H9NO</v>
          </cell>
        </row>
        <row r="584">
          <cell r="A584" t="str">
            <v>ind3ac_m</v>
          </cell>
          <cell r="B584" t="str">
            <v>ind3ac</v>
          </cell>
          <cell r="C584" t="str">
            <v>Indole 3 acetate C10H8NO2</v>
          </cell>
        </row>
        <row r="585">
          <cell r="A585" t="str">
            <v>ind3eth_e</v>
          </cell>
          <cell r="B585" t="str">
            <v>ind3eth</v>
          </cell>
          <cell r="C585" t="str">
            <v>Indole 3 ethanol C10H11NO</v>
          </cell>
        </row>
        <row r="586">
          <cell r="A586" t="str">
            <v>indpyr_c</v>
          </cell>
          <cell r="B586" t="str">
            <v>indpyr</v>
          </cell>
          <cell r="C586" t="str">
            <v>Indolepyruvate C11H8NO3</v>
          </cell>
        </row>
        <row r="587">
          <cell r="A587" t="str">
            <v>ipc224_SC_c</v>
          </cell>
          <cell r="B587" t="str">
            <v>ipc224_SC</v>
          </cell>
          <cell r="C587" t="str">
            <v>Inositol phosphorylceramide  ceramide 2  24C   yeast specific C4800H9500N100O1200P100</v>
          </cell>
        </row>
        <row r="588">
          <cell r="A588" t="str">
            <v>ipc324_SC_c</v>
          </cell>
          <cell r="B588" t="str">
            <v>ipc324_SC</v>
          </cell>
          <cell r="C588" t="str">
            <v>Inositol phosphorylceramide  ceramide 3  24C   yeast specific C4800H9500N100O1300P100</v>
          </cell>
        </row>
        <row r="589">
          <cell r="A589" t="str">
            <v>ipdp_m</v>
          </cell>
          <cell r="B589" t="str">
            <v>ipdp</v>
          </cell>
          <cell r="C589" t="str">
            <v>Isopentenyl diphosphate</v>
          </cell>
        </row>
        <row r="590">
          <cell r="A590" t="str">
            <v>lanostest_SC_c</v>
          </cell>
          <cell r="B590" t="str">
            <v>lanostest_SC</v>
          </cell>
          <cell r="C590" t="str">
            <v>Lanosterol ester  yeast specific C1697H2999O101</v>
          </cell>
        </row>
        <row r="591">
          <cell r="A591" t="str">
            <v>leu__L_m</v>
          </cell>
          <cell r="B591" t="str">
            <v>leu__L</v>
          </cell>
          <cell r="C591" t="str">
            <v>L-Leucine</v>
          </cell>
        </row>
        <row r="592">
          <cell r="A592" t="str">
            <v>leu__L_v</v>
          </cell>
          <cell r="B592" t="str">
            <v>leu__L</v>
          </cell>
          <cell r="C592" t="str">
            <v>L-Leucine</v>
          </cell>
        </row>
        <row r="593">
          <cell r="A593" t="str">
            <v>lys__L_m</v>
          </cell>
          <cell r="B593" t="str">
            <v>lys__L</v>
          </cell>
          <cell r="C593" t="str">
            <v>L-Lysine</v>
          </cell>
        </row>
        <row r="594">
          <cell r="A594" t="str">
            <v>lys__L_v</v>
          </cell>
          <cell r="B594" t="str">
            <v>lys__L</v>
          </cell>
          <cell r="C594" t="str">
            <v>L-Lysine</v>
          </cell>
        </row>
        <row r="595">
          <cell r="A595" t="str">
            <v>malACP_m</v>
          </cell>
          <cell r="B595" t="str">
            <v>malACP</v>
          </cell>
          <cell r="C595" t="str">
            <v>Malonyl-[acyl-carrier protein]</v>
          </cell>
        </row>
        <row r="596">
          <cell r="A596" t="str">
            <v>malcoa_m</v>
          </cell>
          <cell r="B596" t="str">
            <v>malcoa</v>
          </cell>
          <cell r="C596" t="str">
            <v>Malonyl CoA C24H33N7O19P3S</v>
          </cell>
        </row>
        <row r="597">
          <cell r="A597" t="str">
            <v>manmi1p__D_c</v>
          </cell>
          <cell r="B597" t="str">
            <v>manmi1p__D</v>
          </cell>
          <cell r="C597" t="str">
            <v>Mannose 1D myo Inositol 1 phosphate C12H21O14P1</v>
          </cell>
        </row>
        <row r="598">
          <cell r="A598" t="str">
            <v>mettrna_m</v>
          </cell>
          <cell r="B598" t="str">
            <v>mettrna</v>
          </cell>
          <cell r="C598" t="str">
            <v>L-Methionyl-tRNA (Met)</v>
          </cell>
        </row>
        <row r="599">
          <cell r="A599" t="str">
            <v>mhpglu_c</v>
          </cell>
          <cell r="B599" t="str">
            <v>mhpglu</v>
          </cell>
          <cell r="C599" t="str">
            <v>5 Methyltetrahydropteroyltri L glutamate C25H36N8O12</v>
          </cell>
        </row>
        <row r="600">
          <cell r="A600" t="str">
            <v>mi1456p_n</v>
          </cell>
          <cell r="B600" t="str">
            <v>mi1456p</v>
          </cell>
          <cell r="C600" t="str">
            <v>1D myo Inositol 1 4 5 6 tetrakisphosphate C6H8O18P4</v>
          </cell>
        </row>
        <row r="601">
          <cell r="A601" t="str">
            <v>mip2c124_SC_c</v>
          </cell>
          <cell r="B601" t="str">
            <v>mip2c124_SC</v>
          </cell>
          <cell r="C601" t="str">
            <v>Mannose  inositol P 2 ceramide  ceramide 1  24C   yeast specific C6000H11500N100O2400P200</v>
          </cell>
        </row>
        <row r="602">
          <cell r="A602" t="str">
            <v>mip2c226_SC_c</v>
          </cell>
          <cell r="B602" t="str">
            <v>mip2c226_SC</v>
          </cell>
          <cell r="C602" t="str">
            <v>Mannose  inositol P 2 ceramide  ceramide 2  26C   yeast specific C6200H11900N100O2500P200</v>
          </cell>
        </row>
        <row r="603">
          <cell r="A603" t="str">
            <v>nac_m</v>
          </cell>
          <cell r="B603" t="str">
            <v>nac</v>
          </cell>
          <cell r="C603" t="str">
            <v>Nicotinate</v>
          </cell>
        </row>
        <row r="604">
          <cell r="A604" t="str">
            <v>nad_r</v>
          </cell>
          <cell r="B604" t="str">
            <v>nad</v>
          </cell>
          <cell r="C604" t="str">
            <v>Nicotinamide adenine dinucleotide</v>
          </cell>
        </row>
        <row r="605">
          <cell r="A605" t="str">
            <v>nad_x</v>
          </cell>
          <cell r="B605" t="str">
            <v>nad</v>
          </cell>
          <cell r="C605" t="str">
            <v>Nicotinamide adenine dinucleotide</v>
          </cell>
        </row>
        <row r="606">
          <cell r="A606" t="str">
            <v>nadp_m</v>
          </cell>
          <cell r="B606" t="str">
            <v>nadp</v>
          </cell>
          <cell r="C606" t="str">
            <v>Nicotinamide adenine dinucleotide phosphate</v>
          </cell>
        </row>
        <row r="607">
          <cell r="A607" t="str">
            <v>ncam_m</v>
          </cell>
          <cell r="B607" t="str">
            <v>ncam</v>
          </cell>
          <cell r="C607" t="str">
            <v>Nicotinamide</v>
          </cell>
        </row>
        <row r="608">
          <cell r="A608" t="str">
            <v>nh4_m</v>
          </cell>
          <cell r="B608" t="str">
            <v>nh4</v>
          </cell>
          <cell r="C608" t="str">
            <v>Ammonium</v>
          </cell>
        </row>
        <row r="609">
          <cell r="A609" t="str">
            <v>o2_m</v>
          </cell>
          <cell r="B609" t="str">
            <v>o2</v>
          </cell>
          <cell r="C609" t="str">
            <v>O2 O2</v>
          </cell>
        </row>
        <row r="610">
          <cell r="A610" t="str">
            <v>oaa_x</v>
          </cell>
          <cell r="B610" t="str">
            <v>oaa</v>
          </cell>
          <cell r="C610" t="str">
            <v>Oxaloacetate</v>
          </cell>
        </row>
        <row r="611">
          <cell r="A611" t="str">
            <v>ocdcaACP_m</v>
          </cell>
          <cell r="B611" t="str">
            <v>ocdcaACP</v>
          </cell>
          <cell r="C611" t="str">
            <v>Octadecanoyl-ACP (n-C18:0ACP)</v>
          </cell>
        </row>
        <row r="612">
          <cell r="A612" t="str">
            <v>ocdcyaACP_c</v>
          </cell>
          <cell r="B612" t="str">
            <v>ocdcyaACP</v>
          </cell>
          <cell r="C612" t="str">
            <v>Octadecynoyl ACP  n C182ACP  C29H51N2O8PRS</v>
          </cell>
        </row>
        <row r="613">
          <cell r="A613" t="str">
            <v>ocdcya_c</v>
          </cell>
          <cell r="B613" t="str">
            <v>ocdcya</v>
          </cell>
          <cell r="C613" t="str">
            <v>Octadecadienoate  n C182  C18H31O2</v>
          </cell>
        </row>
        <row r="614">
          <cell r="A614" t="str">
            <v>odecoa_x</v>
          </cell>
          <cell r="B614" t="str">
            <v>odecoa</v>
          </cell>
          <cell r="C614" t="str">
            <v>Octadecenoyl-CoA (n-C18:1CoA)</v>
          </cell>
        </row>
        <row r="615">
          <cell r="A615" t="str">
            <v>orn_m</v>
          </cell>
          <cell r="B615" t="str">
            <v>orn</v>
          </cell>
          <cell r="C615" t="str">
            <v>Ornithine</v>
          </cell>
        </row>
        <row r="616">
          <cell r="A616" t="str">
            <v>oxag_m</v>
          </cell>
          <cell r="B616" t="str">
            <v>oxag</v>
          </cell>
          <cell r="C616" t="str">
            <v>Oxaloglutarate C7H5O7</v>
          </cell>
        </row>
        <row r="617">
          <cell r="A617" t="str">
            <v>pa_SC_c</v>
          </cell>
          <cell r="B617" t="str">
            <v>pa_SC</v>
          </cell>
          <cell r="C617" t="str">
            <v>Phosphatidate  yeast specific C3540H6544O800P100</v>
          </cell>
        </row>
        <row r="618">
          <cell r="A618" t="str">
            <v>pacald_m</v>
          </cell>
          <cell r="B618" t="str">
            <v>pacald</v>
          </cell>
          <cell r="C618" t="str">
            <v>Phenylacetaldehyde</v>
          </cell>
        </row>
        <row r="619">
          <cell r="A619" t="str">
            <v>pap_m</v>
          </cell>
          <cell r="B619" t="str">
            <v>pap</v>
          </cell>
          <cell r="C619" t="str">
            <v>Adenosine 3',5'-bisphosphate</v>
          </cell>
        </row>
        <row r="620">
          <cell r="A620" t="str">
            <v>pe_SC_g</v>
          </cell>
          <cell r="B620" t="str">
            <v>pe_SC</v>
          </cell>
          <cell r="C620" t="str">
            <v>Phosphatidylethanolamine  yeast specific C3740H7244N100O800P100</v>
          </cell>
        </row>
        <row r="621">
          <cell r="A621" t="str">
            <v>pheme_m</v>
          </cell>
          <cell r="B621" t="str">
            <v>pheme</v>
          </cell>
          <cell r="C621" t="str">
            <v>Protoheme C34H30FeN4O4</v>
          </cell>
        </row>
        <row r="622">
          <cell r="A622" t="str">
            <v>pi_g</v>
          </cell>
          <cell r="B622" t="str">
            <v>pi</v>
          </cell>
          <cell r="C622" t="str">
            <v>Phosphate</v>
          </cell>
        </row>
        <row r="623">
          <cell r="A623" t="str">
            <v>pi_n</v>
          </cell>
          <cell r="B623" t="str">
            <v>pi</v>
          </cell>
          <cell r="C623" t="str">
            <v>Phosphate</v>
          </cell>
        </row>
        <row r="624">
          <cell r="A624" t="str">
            <v>ppcoa_m</v>
          </cell>
          <cell r="B624" t="str">
            <v>ppcoa</v>
          </cell>
          <cell r="C624" t="str">
            <v>Propanoyl-CoA</v>
          </cell>
        </row>
        <row r="625">
          <cell r="A625" t="str">
            <v>ppi_n</v>
          </cell>
          <cell r="B625" t="str">
            <v>ppi</v>
          </cell>
          <cell r="C625" t="str">
            <v>Diphosphate</v>
          </cell>
        </row>
        <row r="626">
          <cell r="A626" t="str">
            <v>ppmi12346p_c</v>
          </cell>
          <cell r="B626" t="str">
            <v>ppmi12346p</v>
          </cell>
          <cell r="C626" t="str">
            <v>5 Diphosphoinositol pentakisphosphate C6H6O27P7</v>
          </cell>
        </row>
        <row r="627">
          <cell r="A627" t="str">
            <v>ptd135bp_SC_c</v>
          </cell>
          <cell r="B627" t="str">
            <v>ptd135bp_SC</v>
          </cell>
          <cell r="C627" t="str">
            <v>1 Phosphatidyl D myo inositol 3 5 bisphosphate  yeast specific C4140H7444O1900P300</v>
          </cell>
        </row>
        <row r="628">
          <cell r="A628" t="str">
            <v>ptd145bp_SC_c</v>
          </cell>
          <cell r="B628" t="str">
            <v>ptd145bp_SC</v>
          </cell>
          <cell r="C628" t="str">
            <v>1 Phosphatidyl D myo inositol 4 5 bisphosphate  yeast specific C4140H7444O1900P300</v>
          </cell>
        </row>
        <row r="629">
          <cell r="A629" t="str">
            <v>ptd4ino_SC_c</v>
          </cell>
          <cell r="B629" t="str">
            <v>ptd4ino_SC</v>
          </cell>
          <cell r="C629" t="str">
            <v>Phosphatidyl 1D myo 4 inositol  yeast specific C4140H7544O1600P200</v>
          </cell>
        </row>
        <row r="630">
          <cell r="A630" t="str">
            <v>saccrp__L_c</v>
          </cell>
          <cell r="B630" t="str">
            <v>saccrp__L</v>
          </cell>
          <cell r="C630" t="str">
            <v>L Saccharopine C11H19N2O6</v>
          </cell>
        </row>
        <row r="631">
          <cell r="A631" t="str">
            <v>sbt__L_c</v>
          </cell>
          <cell r="B631" t="str">
            <v>sbt__L</v>
          </cell>
          <cell r="C631" t="str">
            <v>L Sorbitol C6H14O6</v>
          </cell>
        </row>
        <row r="632">
          <cell r="A632" t="str">
            <v>sucr_c</v>
          </cell>
          <cell r="B632" t="str">
            <v>sucr</v>
          </cell>
          <cell r="C632" t="str">
            <v>Sucrose C12H22O11</v>
          </cell>
        </row>
        <row r="633">
          <cell r="A633" t="str">
            <v>thf_m</v>
          </cell>
          <cell r="B633" t="str">
            <v>thf</v>
          </cell>
          <cell r="C633" t="str">
            <v>5,6,7,8-Tetrahydrofolate</v>
          </cell>
        </row>
        <row r="634">
          <cell r="A634" t="str">
            <v>thfglu_c</v>
          </cell>
          <cell r="B634" t="str">
            <v>thfglu</v>
          </cell>
          <cell r="C634" t="str">
            <v>Tetrahydrofolyl Glu 2  C24H27N8O9</v>
          </cell>
        </row>
        <row r="635">
          <cell r="A635" t="str">
            <v>thmpp_m</v>
          </cell>
          <cell r="B635" t="str">
            <v>thmpp</v>
          </cell>
          <cell r="C635" t="str">
            <v>Thiamine diphosphate</v>
          </cell>
        </row>
        <row r="636">
          <cell r="A636" t="str">
            <v>trnaasn_m</v>
          </cell>
          <cell r="B636" t="str">
            <v>trnaasn</v>
          </cell>
          <cell r="C636" t="str">
            <v>TRNA Asn  C10H17O10PR2</v>
          </cell>
        </row>
        <row r="637">
          <cell r="A637" t="str">
            <v>trnaasp_m</v>
          </cell>
          <cell r="B637" t="str">
            <v>trnaasp</v>
          </cell>
          <cell r="C637" t="str">
            <v>TRNA(Asp)</v>
          </cell>
        </row>
        <row r="638">
          <cell r="A638" t="str">
            <v>trnaile_m</v>
          </cell>
          <cell r="B638" t="str">
            <v>trnaile</v>
          </cell>
          <cell r="C638" t="str">
            <v>TRNA(Ile)</v>
          </cell>
        </row>
        <row r="639">
          <cell r="A639" t="str">
            <v>trnamet_m</v>
          </cell>
          <cell r="B639" t="str">
            <v>trnamet</v>
          </cell>
          <cell r="C639" t="str">
            <v>TRNA(Met)</v>
          </cell>
        </row>
        <row r="640">
          <cell r="A640" t="str">
            <v>trnaphe_m</v>
          </cell>
          <cell r="B640" t="str">
            <v>trnaphe</v>
          </cell>
          <cell r="C640" t="str">
            <v>TRNA(Phe)</v>
          </cell>
        </row>
        <row r="641">
          <cell r="A641" t="str">
            <v>trptrna_m</v>
          </cell>
          <cell r="B641" t="str">
            <v>trptrna</v>
          </cell>
          <cell r="C641" t="str">
            <v>L-Tryptophanyl-tRNA(Trp)</v>
          </cell>
        </row>
        <row r="642">
          <cell r="A642" t="str">
            <v>ttdcea_x</v>
          </cell>
          <cell r="B642" t="str">
            <v>ttdcea</v>
          </cell>
          <cell r="C642" t="str">
            <v>Tetradecenoate (n-C14:1)</v>
          </cell>
        </row>
        <row r="643">
          <cell r="A643" t="str">
            <v>udpgal_g</v>
          </cell>
          <cell r="B643" t="str">
            <v>udpgal</v>
          </cell>
          <cell r="C643" t="str">
            <v>UDPgalactose</v>
          </cell>
        </row>
        <row r="644">
          <cell r="A644" t="str">
            <v>xylt_e</v>
          </cell>
          <cell r="B644" t="str">
            <v>xylt</v>
          </cell>
          <cell r="C644" t="str">
            <v>Xylitol C5H12O5</v>
          </cell>
        </row>
        <row r="645">
          <cell r="A645" t="str">
            <v>zym_int1_c</v>
          </cell>
          <cell r="B645" t="str">
            <v>zym_int1</v>
          </cell>
          <cell r="C645" t="str">
            <v>Zymosterol intermediate 1 C28H44O3</v>
          </cell>
        </row>
        <row r="646">
          <cell r="A646" t="str">
            <v>zymstest_SC_c</v>
          </cell>
          <cell r="B646" t="str">
            <v>zymstest_SC</v>
          </cell>
          <cell r="C646" t="str">
            <v>Zymosterol ester  yeast specific C1694H2993O101</v>
          </cell>
        </row>
        <row r="647">
          <cell r="A647" t="str">
            <v>2ombz_c</v>
          </cell>
          <cell r="B647" t="str">
            <v>2ombz</v>
          </cell>
          <cell r="C647" t="str">
            <v>2-Octaprenyl-6-methoxy-1,4-benzoquinone</v>
          </cell>
        </row>
        <row r="648">
          <cell r="A648" t="str">
            <v>3mbdhl_c</v>
          </cell>
          <cell r="B648" t="str">
            <v>3mbdhl</v>
          </cell>
          <cell r="C648" t="str">
            <v>S-(3-Methylbutanoyl)-dihydrolipoamide</v>
          </cell>
        </row>
        <row r="649">
          <cell r="A649" t="str">
            <v>Stmyn_c</v>
          </cell>
          <cell r="B649" t="str">
            <v>Stmyn</v>
          </cell>
          <cell r="C649" t="str">
            <v>Streptomycin</v>
          </cell>
        </row>
        <row r="650">
          <cell r="A650" t="str">
            <v>acmam_c</v>
          </cell>
          <cell r="B650" t="str">
            <v>acmam</v>
          </cell>
          <cell r="C650" t="str">
            <v>N-Acetyl-D-muramoate</v>
          </cell>
        </row>
        <row r="651">
          <cell r="A651" t="str">
            <v>bgly_c</v>
          </cell>
          <cell r="B651" t="str">
            <v>bgly</v>
          </cell>
          <cell r="C651" t="str">
            <v>N-Benzoylglycine</v>
          </cell>
        </row>
        <row r="652">
          <cell r="A652" t="str">
            <v>clpn_EC_c</v>
          </cell>
          <cell r="B652" t="str">
            <v>clpn_EC</v>
          </cell>
          <cell r="C652" t="str">
            <v>Cardiolipin (Ecoli)</v>
          </cell>
        </row>
        <row r="653">
          <cell r="A653" t="str">
            <v>clpn_SA_c</v>
          </cell>
          <cell r="B653" t="str">
            <v>clpn_SA</v>
          </cell>
          <cell r="C653" t="str">
            <v>Cardiolipin (Saureus)</v>
          </cell>
        </row>
        <row r="654">
          <cell r="A654" t="str">
            <v>dhlpro_c</v>
          </cell>
          <cell r="B654" t="str">
            <v>dhlpro</v>
          </cell>
          <cell r="C654" t="str">
            <v>Dihydrolipolprotein H2S2X</v>
          </cell>
        </row>
        <row r="655">
          <cell r="A655" t="str">
            <v>fa10_c</v>
          </cell>
          <cell r="B655" t="str">
            <v>fa10</v>
          </cell>
          <cell r="C655" t="str">
            <v>Fatty acid (Anteiso-C17:1)</v>
          </cell>
        </row>
        <row r="656">
          <cell r="A656" t="str">
            <v>fa11_c</v>
          </cell>
          <cell r="B656" t="str">
            <v>fa11</v>
          </cell>
          <cell r="C656" t="str">
            <v>Fatty acid (Iso-C17:0)</v>
          </cell>
        </row>
        <row r="657">
          <cell r="A657" t="str">
            <v>fa19a_c</v>
          </cell>
          <cell r="B657" t="str">
            <v>fa19a</v>
          </cell>
          <cell r="C657" t="str">
            <v>Fatty Acid (Anteiso-C19:0)</v>
          </cell>
        </row>
        <row r="658">
          <cell r="A658" t="str">
            <v>fa4_c</v>
          </cell>
          <cell r="B658" t="str">
            <v>fa4</v>
          </cell>
          <cell r="C658" t="str">
            <v>Fatty acid (Anteiso-C15:0)</v>
          </cell>
        </row>
        <row r="659">
          <cell r="A659" t="str">
            <v>fdxox_c</v>
          </cell>
          <cell r="B659" t="str">
            <v>fdxox</v>
          </cell>
          <cell r="C659" t="str">
            <v>Oxidized ferredoxin</v>
          </cell>
        </row>
        <row r="660">
          <cell r="A660" t="str">
            <v>forglu_c</v>
          </cell>
          <cell r="B660" t="str">
            <v>forglu</v>
          </cell>
          <cell r="C660" t="str">
            <v>N-Formimidoyl-L-glutamate</v>
          </cell>
        </row>
        <row r="661">
          <cell r="A661" t="str">
            <v>male_c</v>
          </cell>
          <cell r="B661" t="str">
            <v>male</v>
          </cell>
          <cell r="C661" t="str">
            <v>Maleate</v>
          </cell>
        </row>
        <row r="662">
          <cell r="A662" t="str">
            <v>pala_SA2_c</v>
          </cell>
          <cell r="B662" t="str">
            <v>pala_SA2</v>
          </cell>
          <cell r="C662" t="str">
            <v>Phosphatidylalanine SA2</v>
          </cell>
        </row>
        <row r="663">
          <cell r="A663" t="str">
            <v>pgly_SA_c</v>
          </cell>
          <cell r="B663" t="str">
            <v>pgly_SA</v>
          </cell>
          <cell r="C663" t="str">
            <v>Phosphatidylglycine SA</v>
          </cell>
        </row>
        <row r="664">
          <cell r="A664" t="str">
            <v>plys_SA2_c</v>
          </cell>
          <cell r="B664" t="str">
            <v>plys_SA2</v>
          </cell>
          <cell r="C664" t="str">
            <v>Phosphatidyllysine SA2</v>
          </cell>
        </row>
        <row r="665">
          <cell r="A665" t="str">
            <v>3pg_p</v>
          </cell>
          <cell r="B665" t="str">
            <v>3pg</v>
          </cell>
          <cell r="C665" t="str">
            <v>3-Phospho-D-glycerate</v>
          </cell>
        </row>
        <row r="666">
          <cell r="A666" t="str">
            <v>feroxB_e</v>
          </cell>
          <cell r="B666" t="str">
            <v>feroxB</v>
          </cell>
          <cell r="C666" t="str">
            <v>Ferrioxamine-B</v>
          </cell>
        </row>
        <row r="667">
          <cell r="A667" t="str">
            <v>chitob_p</v>
          </cell>
          <cell r="B667" t="str">
            <v>chitob</v>
          </cell>
          <cell r="C667" t="str">
            <v>Chitobiose C16H28N2O11</v>
          </cell>
        </row>
        <row r="668">
          <cell r="A668" t="str">
            <v>airs_c</v>
          </cell>
          <cell r="B668" t="str">
            <v>airs</v>
          </cell>
          <cell r="C668" t="str">
            <v>Aminoimidazole-riboside</v>
          </cell>
        </row>
        <row r="669">
          <cell r="A669" t="str">
            <v>airs_p</v>
          </cell>
          <cell r="B669" t="str">
            <v>airs</v>
          </cell>
          <cell r="C669" t="str">
            <v>Aminoimidazole-riboside</v>
          </cell>
        </row>
        <row r="670">
          <cell r="A670" t="str">
            <v>scys__L_c</v>
          </cell>
          <cell r="B670" t="str">
            <v>scys__L</v>
          </cell>
          <cell r="C670" t="str">
            <v>S-Sulfo-L-cysteine</v>
          </cell>
        </row>
        <row r="671">
          <cell r="A671" t="str">
            <v>pep_e</v>
          </cell>
          <cell r="B671" t="str">
            <v>pep</v>
          </cell>
          <cell r="C671" t="str">
            <v>Phosphoenolpyruvate</v>
          </cell>
        </row>
        <row r="672">
          <cell r="A672" t="str">
            <v>guln__L_e</v>
          </cell>
          <cell r="B672" t="str">
            <v>guln__L</v>
          </cell>
          <cell r="C672" t="str">
            <v>L-gulonate</v>
          </cell>
        </row>
        <row r="673">
          <cell r="A673" t="str">
            <v>icit_e</v>
          </cell>
          <cell r="B673" t="str">
            <v>icit</v>
          </cell>
          <cell r="C673" t="str">
            <v>Isocitrate</v>
          </cell>
        </row>
        <row r="674">
          <cell r="A674" t="str">
            <v>feroxBfe_e</v>
          </cell>
          <cell r="B674" t="str">
            <v>feroxBfe</v>
          </cell>
          <cell r="C674" t="str">
            <v>Ferrioxamine-B-fe</v>
          </cell>
        </row>
        <row r="675">
          <cell r="A675" t="str">
            <v>2pg_e</v>
          </cell>
          <cell r="B675" t="str">
            <v>2pg</v>
          </cell>
          <cell r="C675" t="str">
            <v>D-Glycerate 2-phosphate</v>
          </cell>
        </row>
        <row r="676">
          <cell r="A676" t="str">
            <v>oaa_p</v>
          </cell>
          <cell r="B676" t="str">
            <v>oaa</v>
          </cell>
          <cell r="C676" t="str">
            <v>Oxaloacetate</v>
          </cell>
        </row>
        <row r="677">
          <cell r="A677" t="str">
            <v>23dhbzs3_c</v>
          </cell>
          <cell r="B677" t="str">
            <v>23dhbzs3</v>
          </cell>
          <cell r="C677" t="str">
            <v>2-3-dihydroxybenzoylserine trimer</v>
          </cell>
        </row>
        <row r="678">
          <cell r="A678" t="str">
            <v>remnant1_e</v>
          </cell>
          <cell r="B678" t="str">
            <v>remnant1</v>
          </cell>
          <cell r="C678" t="str">
            <v>Residual-atoms-of-reaction-DMBZIDSYN</v>
          </cell>
        </row>
        <row r="679">
          <cell r="A679" t="str">
            <v>tag__D_p</v>
          </cell>
          <cell r="B679" t="str">
            <v>tag__D</v>
          </cell>
          <cell r="C679" t="str">
            <v>D-Tagatose</v>
          </cell>
        </row>
        <row r="680">
          <cell r="A680" t="str">
            <v>rnam_e</v>
          </cell>
          <cell r="B680" t="str">
            <v>rnam</v>
          </cell>
          <cell r="C680" t="str">
            <v>N Ribosylnicotinamide C11H15N2O5</v>
          </cell>
        </row>
        <row r="681">
          <cell r="A681" t="str">
            <v>copre2_c</v>
          </cell>
          <cell r="B681" t="str">
            <v>copre2</v>
          </cell>
          <cell r="C681" t="str">
            <v>Cobalt-precorrin-2</v>
          </cell>
        </row>
        <row r="682">
          <cell r="A682" t="str">
            <v>5aptn_c</v>
          </cell>
          <cell r="B682" t="str">
            <v>5aptn</v>
          </cell>
          <cell r="C682" t="str">
            <v>5-Aminopentanoate</v>
          </cell>
        </row>
        <row r="683">
          <cell r="A683" t="str">
            <v>cellb_e</v>
          </cell>
          <cell r="B683" t="str">
            <v>cellb</v>
          </cell>
          <cell r="C683" t="str">
            <v>Cellobiose</v>
          </cell>
        </row>
        <row r="684">
          <cell r="A684" t="str">
            <v>glutcoa_c</v>
          </cell>
          <cell r="B684" t="str">
            <v>glutcoa</v>
          </cell>
          <cell r="C684" t="str">
            <v>Glutaryl-CoA mitochondria</v>
          </cell>
        </row>
        <row r="685">
          <cell r="A685" t="str">
            <v>salcn_c</v>
          </cell>
          <cell r="B685" t="str">
            <v>salcn</v>
          </cell>
          <cell r="C685" t="str">
            <v>Salicin C13H18O7</v>
          </cell>
        </row>
        <row r="686">
          <cell r="A686" t="str">
            <v>3hoxpac_e</v>
          </cell>
          <cell r="B686" t="str">
            <v>3hoxpac</v>
          </cell>
          <cell r="C686" t="str">
            <v>3 Hydroxyphenylacetic acid C8H8O3</v>
          </cell>
        </row>
        <row r="687">
          <cell r="A687" t="str">
            <v>peng_e</v>
          </cell>
          <cell r="B687" t="str">
            <v>peng</v>
          </cell>
          <cell r="C687" t="str">
            <v>Penicillin G C16H18N2O4S</v>
          </cell>
        </row>
        <row r="688">
          <cell r="A688" t="str">
            <v>6apa_p</v>
          </cell>
          <cell r="B688" t="str">
            <v>6apa</v>
          </cell>
          <cell r="C688" t="str">
            <v>6 Aminopenicillanic acid C8H12N2O3S</v>
          </cell>
        </row>
        <row r="689">
          <cell r="A689" t="str">
            <v>gagggicolipaBR1_c</v>
          </cell>
          <cell r="B689" t="str">
            <v>gagggicolipaBR1</v>
          </cell>
          <cell r="C689" t="str">
            <v>R1 galactosyl glucosyl glucosyl glucosyl inner core oligosaccharide lipid A with laurate C153H246N2O83P4</v>
          </cell>
        </row>
        <row r="690">
          <cell r="A690" t="str">
            <v>LptA_p</v>
          </cell>
          <cell r="B690" t="str">
            <v>LptA</v>
          </cell>
          <cell r="C690" t="str">
            <v xml:space="preserve">Periplasmic lipid A binding protein </v>
          </cell>
        </row>
        <row r="691">
          <cell r="A691" t="str">
            <v>enlipidA_p</v>
          </cell>
          <cell r="B691" t="str">
            <v>enlipidA</v>
          </cell>
          <cell r="C691" t="str">
            <v>1' Phosphoethanolamin lipidIVa C70H132N3O26P3</v>
          </cell>
        </row>
        <row r="692">
          <cell r="A692" t="str">
            <v>salcn_p</v>
          </cell>
          <cell r="B692" t="str">
            <v>salcn</v>
          </cell>
          <cell r="C692" t="str">
            <v>Salicin C13H18O7</v>
          </cell>
        </row>
        <row r="693">
          <cell r="A693" t="str">
            <v>gicolipaAR1_c</v>
          </cell>
          <cell r="B693" t="str">
            <v>gicolipaAR1</v>
          </cell>
          <cell r="C693" t="str">
            <v>R1 glucosyl inner core oligosaccharide lipid A C137H220N2O68P4</v>
          </cell>
        </row>
        <row r="694">
          <cell r="A694" t="str">
            <v>lipidA_core_e_p</v>
          </cell>
          <cell r="B694" t="str">
            <v>lipidA_core_e</v>
          </cell>
          <cell r="C694" t="str">
            <v>2 3 2'3' Tetrakis beta hydroxymyristoyl  D glucosaminyl 1 6 beta D glucosamine 1 4' bisphosphate C68H126N2O23P2</v>
          </cell>
        </row>
        <row r="695">
          <cell r="A695" t="str">
            <v>arab__D_p</v>
          </cell>
          <cell r="B695" t="str">
            <v>arab__D</v>
          </cell>
          <cell r="C695" t="str">
            <v>D Arabinose C5H10O5</v>
          </cell>
        </row>
        <row r="696">
          <cell r="A696" t="str">
            <v>cdigmp_c</v>
          </cell>
          <cell r="B696" t="str">
            <v>cdigmp</v>
          </cell>
          <cell r="C696" t="str">
            <v>Cyclic diguanosine monophosphate</v>
          </cell>
        </row>
        <row r="697">
          <cell r="A697" t="str">
            <v>nicrns_c</v>
          </cell>
          <cell r="B697" t="str">
            <v>nicrns</v>
          </cell>
          <cell r="C697" t="str">
            <v>Nicotinate D-ribonucleoside</v>
          </cell>
        </row>
        <row r="698">
          <cell r="A698" t="str">
            <v>2ohph_5_c</v>
          </cell>
          <cell r="B698" t="str">
            <v>2ohph_5</v>
          </cell>
          <cell r="C698" t="str">
            <v>2-Octaprenyl-6-hydroxyphenol (5 repeating units)</v>
          </cell>
        </row>
        <row r="699">
          <cell r="A699" t="str">
            <v>2omph_5_n</v>
          </cell>
          <cell r="B699" t="str">
            <v>2omph_5</v>
          </cell>
          <cell r="C699" t="str">
            <v>2-Octaprenyl-6-methoxyphenol (5 repeating units)</v>
          </cell>
        </row>
        <row r="700">
          <cell r="A700" t="str">
            <v>5mthf_m</v>
          </cell>
          <cell r="B700" t="str">
            <v>5mthf</v>
          </cell>
          <cell r="C700" t="str">
            <v>5-Methyltetrahydrofolate</v>
          </cell>
        </row>
        <row r="701">
          <cell r="A701" t="str">
            <v>ahcys_n</v>
          </cell>
          <cell r="B701" t="str">
            <v>ahcys</v>
          </cell>
          <cell r="C701" t="str">
            <v>S-Adenosyl-L-homocysteine</v>
          </cell>
        </row>
        <row r="702">
          <cell r="A702" t="str">
            <v>amuco_c</v>
          </cell>
          <cell r="B702" t="str">
            <v>amuco</v>
          </cell>
          <cell r="C702" t="str">
            <v>2-Aminomuconate</v>
          </cell>
        </row>
        <row r="703">
          <cell r="A703" t="str">
            <v>dhor__S_n</v>
          </cell>
          <cell r="B703" t="str">
            <v>dhor__S</v>
          </cell>
          <cell r="C703" t="str">
            <v>(S)-Dihydroorotate</v>
          </cell>
        </row>
        <row r="704">
          <cell r="A704" t="str">
            <v>f6p_B_c</v>
          </cell>
          <cell r="B704" t="str">
            <v>f6p_B</v>
          </cell>
          <cell r="C704" t="str">
            <v>Beta-D-Fructose 6-phosphate</v>
          </cell>
        </row>
        <row r="705">
          <cell r="A705" t="str">
            <v>acoa_x</v>
          </cell>
          <cell r="B705" t="str">
            <v>acoa</v>
          </cell>
          <cell r="C705" t="str">
            <v>Acyl-CoA</v>
          </cell>
        </row>
        <row r="706">
          <cell r="A706" t="str">
            <v>2ommbl_5_m</v>
          </cell>
          <cell r="B706" t="str">
            <v>2ommbl_5</v>
          </cell>
          <cell r="C706" t="str">
            <v>2-Octaprenyl3-methyl-6-methoxy-1,4-benzoquinol (5 repeating units)</v>
          </cell>
        </row>
        <row r="707">
          <cell r="A707" t="str">
            <v>cdpglc_c</v>
          </cell>
          <cell r="B707" t="str">
            <v>cdpglc</v>
          </cell>
          <cell r="C707" t="str">
            <v>CDP-glucose</v>
          </cell>
        </row>
        <row r="708">
          <cell r="A708" t="str">
            <v>dhmtp_c</v>
          </cell>
          <cell r="B708" t="str">
            <v>dhmtp</v>
          </cell>
          <cell r="C708" t="str">
            <v>1,2-Dihydroxy-5-(methylthio)pent-1-en-3-one</v>
          </cell>
        </row>
        <row r="709">
          <cell r="A709" t="str">
            <v>CDP_4keto_6deox_glc_c</v>
          </cell>
          <cell r="B709" t="str">
            <v>CDP_4keto_6deox_glc</v>
          </cell>
          <cell r="C709" t="str">
            <v>CDP-4-keto-6-deoxy-D-glucose</v>
          </cell>
        </row>
        <row r="710">
          <cell r="A710" t="str">
            <v>laur_hde_kdo2lipid4_c</v>
          </cell>
          <cell r="B710" t="str">
            <v>laur_hde_kdo2lipid4</v>
          </cell>
          <cell r="C710" t="str">
            <v>KDO2-(lauroyl)-(hexadecenoic)-lipid4</v>
          </cell>
        </row>
        <row r="711">
          <cell r="A711" t="str">
            <v>lps_tetra_c</v>
          </cell>
          <cell r="B711" t="str">
            <v>lps_tetra</v>
          </cell>
          <cell r="C711" t="str">
            <v>LPS with tetraacyl lipidA</v>
          </cell>
        </row>
        <row r="712">
          <cell r="A712" t="str">
            <v>5cmhm_c</v>
          </cell>
          <cell r="B712" t="str">
            <v>5cmhm</v>
          </cell>
          <cell r="C712" t="str">
            <v>5-Carboxymethyl-2-hydroxymuconate</v>
          </cell>
        </row>
        <row r="713">
          <cell r="A713" t="str">
            <v>2ohed_c</v>
          </cell>
          <cell r="B713" t="str">
            <v>2ohed</v>
          </cell>
          <cell r="C713" t="str">
            <v>2-Oxohept-3-ene-1,7-dioate</v>
          </cell>
        </row>
        <row r="714">
          <cell r="A714" t="str">
            <v>6p2dhglcn_c</v>
          </cell>
          <cell r="B714" t="str">
            <v>6p2dhglcn</v>
          </cell>
          <cell r="C714" t="str">
            <v>6-Phospho-2-dehydro-D-gluconate</v>
          </cell>
        </row>
        <row r="715">
          <cell r="A715" t="str">
            <v>2dhglcn_e</v>
          </cell>
          <cell r="B715" t="str">
            <v>2dhglcn</v>
          </cell>
          <cell r="C715" t="str">
            <v>2-Dehydro-D-gluconate</v>
          </cell>
        </row>
        <row r="716">
          <cell r="A716" t="str">
            <v>R_3hdcoa_c</v>
          </cell>
          <cell r="B716" t="str">
            <v>R_3hdcoa</v>
          </cell>
          <cell r="C716" t="str">
            <v>(R)-Hydroxydecanoyl-CoA</v>
          </cell>
        </row>
        <row r="717">
          <cell r="A717" t="str">
            <v>R_3hddcoa_c</v>
          </cell>
          <cell r="B717" t="str">
            <v>R_3hddcoa</v>
          </cell>
          <cell r="C717" t="str">
            <v>(R)-3-Hydroxydodecanoyl-CoA</v>
          </cell>
        </row>
        <row r="718">
          <cell r="A718" t="str">
            <v>R_3hcmrs7ecoa_c</v>
          </cell>
          <cell r="B718" t="str">
            <v>R_3hcmrs7ecoa</v>
          </cell>
          <cell r="C718" t="str">
            <v>(R)-3-hydroxy-cis-myristol-7-eoyl-CoA</v>
          </cell>
        </row>
        <row r="719">
          <cell r="A719" t="str">
            <v>R_3hocoa_c</v>
          </cell>
          <cell r="B719" t="str">
            <v>R_3hocoa</v>
          </cell>
          <cell r="C719" t="str">
            <v>(R)-Hydroxyoctanoyl-CoA</v>
          </cell>
        </row>
        <row r="720">
          <cell r="A720" t="str">
            <v>3oxoadp_c</v>
          </cell>
          <cell r="B720" t="str">
            <v>3oxoadp</v>
          </cell>
          <cell r="C720" t="str">
            <v>3-Oxoadipate</v>
          </cell>
        </row>
        <row r="721">
          <cell r="A721" t="str">
            <v>3oxoadp_p</v>
          </cell>
          <cell r="B721" t="str">
            <v>3oxoadp</v>
          </cell>
          <cell r="C721" t="str">
            <v>3-Oxoadipate</v>
          </cell>
        </row>
        <row r="722">
          <cell r="A722" t="str">
            <v>5odhf2a_c</v>
          </cell>
          <cell r="B722" t="str">
            <v>5odhf2a</v>
          </cell>
          <cell r="C722" t="str">
            <v>5-Oxo-4,5-dihydrofuran-2-acetate</v>
          </cell>
        </row>
        <row r="723">
          <cell r="A723" t="str">
            <v>4mcat_c</v>
          </cell>
          <cell r="B723" t="str">
            <v>4mcat</v>
          </cell>
          <cell r="C723" t="str">
            <v>4-Methylcatechol</v>
          </cell>
        </row>
        <row r="724">
          <cell r="A724" t="str">
            <v>2mb2coa_c</v>
          </cell>
          <cell r="B724" t="str">
            <v>2mb2coa</v>
          </cell>
          <cell r="C724" t="str">
            <v>Trans-2-Methylbut-2-enoyl-CoA</v>
          </cell>
        </row>
        <row r="725">
          <cell r="A725" t="str">
            <v>2mp2coa_c</v>
          </cell>
          <cell r="B725" t="str">
            <v>2mp2coa</v>
          </cell>
          <cell r="C725" t="str">
            <v>2-Methylprop-2-enoyl-CoA</v>
          </cell>
        </row>
        <row r="726">
          <cell r="A726" t="str">
            <v>nh3_c</v>
          </cell>
          <cell r="B726" t="str">
            <v>nh3</v>
          </cell>
          <cell r="C726" t="str">
            <v>Ammonia</v>
          </cell>
        </row>
        <row r="727">
          <cell r="A727" t="str">
            <v>5g2oxpt_c</v>
          </cell>
          <cell r="B727" t="str">
            <v>5g2oxpt</v>
          </cell>
          <cell r="C727" t="str">
            <v>2-Oxoarginine</v>
          </cell>
        </row>
        <row r="728">
          <cell r="A728" t="str">
            <v>bzal_c</v>
          </cell>
          <cell r="B728" t="str">
            <v>bzal</v>
          </cell>
          <cell r="C728" t="str">
            <v>Benzaldehyde</v>
          </cell>
        </row>
        <row r="729">
          <cell r="A729" t="str">
            <v>ccmuac_c</v>
          </cell>
          <cell r="B729" t="str">
            <v>ccmuac</v>
          </cell>
          <cell r="C729" t="str">
            <v>Cis,cis-Muconate</v>
          </cell>
        </row>
        <row r="730">
          <cell r="A730" t="str">
            <v>2ahhmp_c</v>
          </cell>
          <cell r="B730" t="str">
            <v>2ahhmp</v>
          </cell>
          <cell r="C730" t="str">
            <v>2 Amino 4 hydroxy 6 hydroxymethyl 7 8 dihydropteridine C7H9N5O2</v>
          </cell>
        </row>
        <row r="731">
          <cell r="A731" t="str">
            <v>C141mclPHA_c</v>
          </cell>
          <cell r="B731" t="str">
            <v>C141mclPHA</v>
          </cell>
          <cell r="C731" t="str">
            <v>C14:1-Medium-chain length Polyhydroxyalkanoate.</v>
          </cell>
        </row>
        <row r="732">
          <cell r="A732" t="str">
            <v>C80mclPHA_c</v>
          </cell>
          <cell r="B732" t="str">
            <v>C80mclPHA</v>
          </cell>
          <cell r="C732" t="str">
            <v>C8:0-Medium-chain length Polyhydroxyalkanoate.</v>
          </cell>
        </row>
        <row r="733">
          <cell r="A733" t="str">
            <v>mclPHAg_c</v>
          </cell>
          <cell r="B733" t="str">
            <v>mclPHAg</v>
          </cell>
          <cell r="C733" t="str">
            <v>Medium-chain length Polyhydroxyalkanoate growing.</v>
          </cell>
        </row>
        <row r="734">
          <cell r="A734" t="str">
            <v>fer_e</v>
          </cell>
          <cell r="B734" t="str">
            <v>fer</v>
          </cell>
          <cell r="C734" t="str">
            <v>Ferulate</v>
          </cell>
        </row>
        <row r="735">
          <cell r="A735" t="str">
            <v>p_xyl_e</v>
          </cell>
          <cell r="B735" t="str">
            <v>p_xyl</v>
          </cell>
          <cell r="C735" t="str">
            <v>P-methyltoluene</v>
          </cell>
        </row>
        <row r="736">
          <cell r="A736" t="str">
            <v>pentso3_e</v>
          </cell>
          <cell r="B736" t="str">
            <v>pentso3</v>
          </cell>
          <cell r="C736" t="str">
            <v>Pentanesulfonate</v>
          </cell>
        </row>
        <row r="737">
          <cell r="A737" t="str">
            <v>tol_e</v>
          </cell>
          <cell r="B737" t="str">
            <v>tol</v>
          </cell>
          <cell r="C737" t="str">
            <v>Toluene</v>
          </cell>
        </row>
        <row r="738">
          <cell r="A738" t="str">
            <v>cytcc_c</v>
          </cell>
          <cell r="B738" t="str">
            <v>cytcc</v>
          </cell>
          <cell r="C738" t="str">
            <v>Cytochrome c</v>
          </cell>
        </row>
        <row r="739">
          <cell r="A739" t="str">
            <v>vanln_c</v>
          </cell>
          <cell r="B739" t="str">
            <v>vanln</v>
          </cell>
          <cell r="C739" t="str">
            <v>Vanillin</v>
          </cell>
        </row>
        <row r="740">
          <cell r="A740" t="str">
            <v>S_gtrdhdlp_c</v>
          </cell>
          <cell r="B740" t="str">
            <v>S_gtrdhdlp</v>
          </cell>
          <cell r="C740" t="str">
            <v>S-Glutaryldihydrolipoamide</v>
          </cell>
        </row>
        <row r="741">
          <cell r="A741" t="str">
            <v>glutrna_gln_c</v>
          </cell>
          <cell r="B741" t="str">
            <v>glutrna_gln</v>
          </cell>
          <cell r="C741" t="str">
            <v>L-Glutamyl-tRNA(Gln)</v>
          </cell>
        </row>
        <row r="742">
          <cell r="A742" t="str">
            <v>m_xyl_c</v>
          </cell>
          <cell r="B742" t="str">
            <v>m_xyl</v>
          </cell>
          <cell r="C742" t="str">
            <v>M-Xylene</v>
          </cell>
        </row>
        <row r="743">
          <cell r="A743" t="str">
            <v>m_xyl_p</v>
          </cell>
          <cell r="B743" t="str">
            <v>m_xyl</v>
          </cell>
          <cell r="C743" t="str">
            <v>M-Xylene</v>
          </cell>
        </row>
        <row r="744">
          <cell r="A744" t="str">
            <v>omaenol_c</v>
          </cell>
          <cell r="B744" t="str">
            <v>omaenol</v>
          </cell>
          <cell r="C744" t="str">
            <v>4-Carboxy-2-hydroxyhexa-2,4-dienedioate</v>
          </cell>
        </row>
        <row r="745">
          <cell r="A745" t="str">
            <v>pre3b_c</v>
          </cell>
          <cell r="B745" t="str">
            <v>pre3b</v>
          </cell>
          <cell r="C745" t="str">
            <v>Precorrin 3B</v>
          </cell>
        </row>
        <row r="746">
          <cell r="A746" t="str">
            <v>pre8_c</v>
          </cell>
          <cell r="B746" t="str">
            <v>pre8</v>
          </cell>
          <cell r="C746" t="str">
            <v>Precorrin 8</v>
          </cell>
        </row>
        <row r="747">
          <cell r="A747" t="str">
            <v>rbrdxOX_c</v>
          </cell>
          <cell r="B747" t="str">
            <v>rbrdxOX</v>
          </cell>
          <cell r="C747" t="str">
            <v>Oxidized rubredoxin</v>
          </cell>
        </row>
        <row r="748">
          <cell r="A748" t="str">
            <v>seasmet_c</v>
          </cell>
          <cell r="B748" t="str">
            <v>seasmet</v>
          </cell>
          <cell r="C748" t="str">
            <v>Se-Adenosylselenomethionine</v>
          </cell>
        </row>
        <row r="749">
          <cell r="A749" t="str">
            <v>vanlt_c</v>
          </cell>
          <cell r="B749" t="str">
            <v>vanlt</v>
          </cell>
          <cell r="C749" t="str">
            <v>Vanillate</v>
          </cell>
        </row>
        <row r="750">
          <cell r="A750" t="str">
            <v>vanlt_p</v>
          </cell>
          <cell r="B750" t="str">
            <v>vanlt</v>
          </cell>
          <cell r="C750" t="str">
            <v>Vanillate</v>
          </cell>
        </row>
        <row r="751">
          <cell r="A751" t="str">
            <v>vanln_p</v>
          </cell>
          <cell r="B751" t="str">
            <v>vanln</v>
          </cell>
          <cell r="C751" t="str">
            <v>Vanillin</v>
          </cell>
        </row>
        <row r="752">
          <cell r="A752" t="str">
            <v>pime_e</v>
          </cell>
          <cell r="B752" t="str">
            <v>pime</v>
          </cell>
          <cell r="C752" t="str">
            <v>Pimelate</v>
          </cell>
        </row>
        <row r="753">
          <cell r="A753" t="str">
            <v>4hglusa_c</v>
          </cell>
          <cell r="B753" t="str">
            <v>4hglusa</v>
          </cell>
          <cell r="C753" t="str">
            <v>L 4 Hydroxyglutamate semialdehyde C5H9NO4</v>
          </cell>
        </row>
        <row r="754">
          <cell r="A754" t="str">
            <v>acryl_c</v>
          </cell>
          <cell r="B754" t="str">
            <v>acryl</v>
          </cell>
          <cell r="C754" t="str">
            <v>Acrylic acid</v>
          </cell>
        </row>
        <row r="755">
          <cell r="A755" t="str">
            <v>2dmmq6_c</v>
          </cell>
          <cell r="B755" t="str">
            <v>2dmmq6</v>
          </cell>
          <cell r="C755" t="str">
            <v>2-Demethylmenaquinone 6</v>
          </cell>
        </row>
        <row r="756">
          <cell r="A756" t="str">
            <v>mqn6_c</v>
          </cell>
          <cell r="B756" t="str">
            <v>mqn6</v>
          </cell>
          <cell r="C756" t="str">
            <v>Menaquinone 6</v>
          </cell>
        </row>
        <row r="757">
          <cell r="A757" t="str">
            <v>focytcc553_c</v>
          </cell>
          <cell r="B757" t="str">
            <v>focytcc553</v>
          </cell>
          <cell r="C757" t="str">
            <v>Ferrocytochrome c-553</v>
          </cell>
        </row>
        <row r="758">
          <cell r="A758" t="str">
            <v>pa_Hp_c</v>
          </cell>
          <cell r="B758" t="str">
            <v>pa_Hp</v>
          </cell>
          <cell r="C758" t="str">
            <v>Phosphatidic acid Hp specific</v>
          </cell>
        </row>
        <row r="759">
          <cell r="A759" t="str">
            <v>tdm2_c</v>
          </cell>
          <cell r="B759" t="str">
            <v>tdm2</v>
          </cell>
          <cell r="C759" t="str">
            <v>Trehalose dimycolate (alpha mycolate + methoxymycolate)</v>
          </cell>
        </row>
        <row r="760">
          <cell r="A760" t="str">
            <v>omtta_c</v>
          </cell>
          <cell r="B760" t="str">
            <v>omtta</v>
          </cell>
          <cell r="C760" t="str">
            <v>Octa-methyl tetracontatricosanoic acid (C34:0, 8 methyl-branched carbons)</v>
          </cell>
        </row>
        <row r="761">
          <cell r="A761" t="str">
            <v>decd_tb_c</v>
          </cell>
          <cell r="B761" t="str">
            <v>decd_tb</v>
          </cell>
          <cell r="C761" t="str">
            <v>(E,E,E,E,E,E,E,Z,Z) decaprenyl phosphate</v>
          </cell>
        </row>
        <row r="762">
          <cell r="A762" t="str">
            <v>fmcbtt_c</v>
          </cell>
          <cell r="B762" t="str">
            <v>fmcbtt</v>
          </cell>
          <cell r="C762" t="str">
            <v>Iron(II) mycobactin T</v>
          </cell>
        </row>
        <row r="763">
          <cell r="A763" t="str">
            <v>dtt_c</v>
          </cell>
          <cell r="B763" t="str">
            <v>dtt</v>
          </cell>
          <cell r="C763" t="str">
            <v>Dithiothreitol</v>
          </cell>
        </row>
        <row r="764">
          <cell r="A764" t="str">
            <v>rrppdima_c</v>
          </cell>
          <cell r="B764" t="str">
            <v>rrppdima</v>
          </cell>
          <cell r="C764" t="str">
            <v>Rhamnose rhamnose phenol phthiocerol dimycocerosate (Mtb)</v>
          </cell>
        </row>
        <row r="765">
          <cell r="A765" t="str">
            <v>prephthACP_c</v>
          </cell>
          <cell r="B765" t="str">
            <v>prephthACP</v>
          </cell>
          <cell r="C765" t="str">
            <v>Phthiocerol precursor bound ACP</v>
          </cell>
        </row>
        <row r="766">
          <cell r="A766" t="str">
            <v>prepphthACP_c</v>
          </cell>
          <cell r="B766" t="str">
            <v>prepphthACP</v>
          </cell>
          <cell r="C766" t="str">
            <v>Phenolic phthiocerol precursor bound ACP</v>
          </cell>
        </row>
        <row r="767">
          <cell r="A767" t="str">
            <v>prepphth_c</v>
          </cell>
          <cell r="B767" t="str">
            <v>prepphth</v>
          </cell>
          <cell r="C767" t="str">
            <v>Phenolic phthiocerol precursor</v>
          </cell>
        </row>
        <row r="768">
          <cell r="A768" t="str">
            <v>peptido_TB2_c</v>
          </cell>
          <cell r="B768" t="str">
            <v>peptido_TB2</v>
          </cell>
          <cell r="C768" t="str">
            <v>Peptidoglycan subunit (for Mycobacterium tuberculosis)</v>
          </cell>
        </row>
        <row r="769">
          <cell r="A769" t="str">
            <v>tamocta_c</v>
          </cell>
          <cell r="B769" t="str">
            <v>tamocta</v>
          </cell>
          <cell r="C769" t="str">
            <v>Tetra-methyl octacosanoate</v>
          </cell>
        </row>
        <row r="770">
          <cell r="A770" t="str">
            <v>peamn_c</v>
          </cell>
          <cell r="B770" t="str">
            <v>peamn</v>
          </cell>
          <cell r="C770" t="str">
            <v>Phenethylamine</v>
          </cell>
        </row>
        <row r="771">
          <cell r="A771" t="str">
            <v>phthiocerol_c</v>
          </cell>
          <cell r="B771" t="str">
            <v>phthiocerol</v>
          </cell>
          <cell r="C771" t="str">
            <v>Phthiocerol A</v>
          </cell>
        </row>
        <row r="772">
          <cell r="A772" t="str">
            <v>phdcacoa_c</v>
          </cell>
          <cell r="B772" t="str">
            <v>phdcacoa</v>
          </cell>
          <cell r="C772" t="str">
            <v>Phenol palmitic coenzyme A</v>
          </cell>
        </row>
        <row r="773">
          <cell r="A773" t="str">
            <v>cdpc19c19g_c</v>
          </cell>
          <cell r="B773" t="str">
            <v>cdpc19c19g</v>
          </cell>
          <cell r="C773" t="str">
            <v>Cdp diacylglycerol (C19:0, C19:0)</v>
          </cell>
        </row>
        <row r="774">
          <cell r="A774" t="str">
            <v>pg190_c</v>
          </cell>
          <cell r="B774" t="str">
            <v>pg190</v>
          </cell>
          <cell r="C774" t="str">
            <v>Phosphatidylglycerol (dimethylstearoyl, C19:0)</v>
          </cell>
        </row>
        <row r="775">
          <cell r="A775" t="str">
            <v>pg160190_c</v>
          </cell>
          <cell r="B775" t="str">
            <v>pg160190</v>
          </cell>
          <cell r="C775" t="str">
            <v>Phosphatidylglycerol (hexadecanoyl, methylstearoyl)</v>
          </cell>
        </row>
        <row r="776">
          <cell r="A776" t="str">
            <v>frrppdima_c</v>
          </cell>
          <cell r="B776" t="str">
            <v>frrppdima</v>
          </cell>
          <cell r="C776" t="str">
            <v>Fucose rhamnose rhamnose phenol phthiocerol dimycocerosate (Mtb)</v>
          </cell>
        </row>
        <row r="777">
          <cell r="A777" t="str">
            <v>mfrrppdima_c</v>
          </cell>
          <cell r="B777" t="str">
            <v>mfrrppdima</v>
          </cell>
          <cell r="C777" t="str">
            <v>Phenolic glycolipid (Mtb)</v>
          </cell>
        </row>
        <row r="778">
          <cell r="A778" t="str">
            <v>uGgla_c</v>
          </cell>
          <cell r="B778" t="str">
            <v>uGgla</v>
          </cell>
          <cell r="C778" t="str">
            <v>UDP-N-acetylmuramoyl-L-alanyl-gamma-D-glutamyl-L-lysyl-D-alanyl-D-alanine</v>
          </cell>
        </row>
        <row r="779">
          <cell r="A779" t="str">
            <v>mshfald_c</v>
          </cell>
          <cell r="B779" t="str">
            <v>mshfald</v>
          </cell>
          <cell r="C779" t="str">
            <v>Mycothiol conjugated methanol</v>
          </cell>
        </row>
        <row r="780">
          <cell r="A780" t="str">
            <v>PIM1_c</v>
          </cell>
          <cell r="B780" t="str">
            <v>PIM1</v>
          </cell>
          <cell r="C780" t="str">
            <v>Phosphatidylinositol mannoside (tuberculosis)</v>
          </cell>
        </row>
        <row r="781">
          <cell r="A781" t="str">
            <v>tmha2_c</v>
          </cell>
          <cell r="B781" t="str">
            <v>tmha2</v>
          </cell>
          <cell r="C781" t="str">
            <v>Tetramycolyl hexaarabinoside (tdm1 + tdm3 + tre) (Mtb)</v>
          </cell>
        </row>
        <row r="782">
          <cell r="A782" t="str">
            <v>tmha3_c</v>
          </cell>
          <cell r="B782" t="str">
            <v>tmha3</v>
          </cell>
          <cell r="C782" t="str">
            <v>Tetramycolyl hexaarabinoside (tdm1 + tdm4 + tre) (Mtb)</v>
          </cell>
        </row>
        <row r="783">
          <cell r="A783" t="str">
            <v>clpn160190_c</v>
          </cell>
          <cell r="B783" t="str">
            <v>clpn160190</v>
          </cell>
          <cell r="C783" t="str">
            <v>Cardiolipin (dihexadecanoyl, dimethylstearoyl)</v>
          </cell>
        </row>
        <row r="784">
          <cell r="A784" t="str">
            <v>ugma_c</v>
          </cell>
          <cell r="B784" t="str">
            <v>ugma</v>
          </cell>
          <cell r="C784" t="str">
            <v>UDP-N-glycolylmuramoyl-L-alanine</v>
          </cell>
        </row>
        <row r="785">
          <cell r="A785" t="str">
            <v>triat_c</v>
          </cell>
          <cell r="B785" t="str">
            <v>triat</v>
          </cell>
          <cell r="C785" t="str">
            <v>Tri-acyl trehalose</v>
          </cell>
        </row>
        <row r="786">
          <cell r="A786" t="str">
            <v>tmha5_c</v>
          </cell>
          <cell r="B786" t="str">
            <v>tmha5</v>
          </cell>
          <cell r="C786" t="str">
            <v>Tetramycolyl hexaarabinoside (tdm2 + tdm4 + tre) (Mtb)</v>
          </cell>
        </row>
        <row r="787">
          <cell r="A787" t="str">
            <v>mharab__D_c</v>
          </cell>
          <cell r="B787" t="str">
            <v>mharab__D</v>
          </cell>
          <cell r="C787" t="str">
            <v>Mannose capped hexa arabinofuranoside</v>
          </cell>
        </row>
        <row r="788">
          <cell r="A788" t="str">
            <v>uaagtmda_c</v>
          </cell>
          <cell r="B788" t="str">
            <v>uaagtmda</v>
          </cell>
          <cell r="C788" t="str">
            <v>Undecaprenyl-diphospho-N-acetylmuramoyl-(N-acetylglucosamine)-L-alanyl-D-glutaminyl-meso-2,6-diaminopimeloyl-D-alanyl-D-alanine</v>
          </cell>
        </row>
        <row r="789">
          <cell r="A789" t="str">
            <v>uaaAgtla_c</v>
          </cell>
          <cell r="B789" t="str">
            <v>uaaAgtla</v>
          </cell>
          <cell r="C789" t="str">
            <v>Undecaprenyl-diphospho-N-acetylmuramoyl-(N-acetylglucosamine)-L-alanyl-D-glutaminyl-L-lysyl-D-alanyl-D-alanine</v>
          </cell>
        </row>
        <row r="790">
          <cell r="A790" t="str">
            <v>coa_e</v>
          </cell>
          <cell r="B790" t="str">
            <v>coa</v>
          </cell>
          <cell r="C790" t="str">
            <v>Coenzyme A</v>
          </cell>
        </row>
        <row r="791">
          <cell r="A791" t="str">
            <v>bmn_e</v>
          </cell>
          <cell r="B791" t="str">
            <v>bmn</v>
          </cell>
          <cell r="C791" t="str">
            <v>Bimane</v>
          </cell>
        </row>
        <row r="792">
          <cell r="A792" t="str">
            <v>mssg_c</v>
          </cell>
          <cell r="B792" t="str">
            <v>mssg</v>
          </cell>
          <cell r="C792" t="str">
            <v>Mycothiol (oxidized - dimer)</v>
          </cell>
        </row>
        <row r="793">
          <cell r="A793" t="str">
            <v>mkmeroacidcyc1AMP_c</v>
          </cell>
          <cell r="B793" t="str">
            <v>mkmeroacidcyc1AMP</v>
          </cell>
          <cell r="C793" t="str">
            <v>Cyclopropanated methyl hydroxy keto meroacid AMP (1 cyclopropane ring)</v>
          </cell>
        </row>
        <row r="794">
          <cell r="A794" t="str">
            <v>mmeroacidcyc2AMP_c</v>
          </cell>
          <cell r="B794" t="str">
            <v>mmeroacidcyc2AMP</v>
          </cell>
          <cell r="C794" t="str">
            <v>Cyclopropanated methoxy-meroacid AMP (2 cyclopropane rings)</v>
          </cell>
        </row>
        <row r="795">
          <cell r="A795" t="str">
            <v>kmeroacidcyc1ACP_c</v>
          </cell>
          <cell r="B795" t="str">
            <v>kmeroacidcyc1ACP</v>
          </cell>
          <cell r="C795" t="str">
            <v>Cyclopropanated keto-meroacid ACP (1 cyclopropane ring)</v>
          </cell>
        </row>
        <row r="796">
          <cell r="A796" t="str">
            <v>mmmeroacidcyc1ACP_c</v>
          </cell>
          <cell r="B796" t="str">
            <v>mmmeroacidcyc1ACP</v>
          </cell>
          <cell r="C796" t="str">
            <v>Cyclopropanated methyl hydroxy methoxy meroacid ACP (1 cyclopropane ring)</v>
          </cell>
        </row>
        <row r="797">
          <cell r="A797" t="str">
            <v>fdox_c</v>
          </cell>
          <cell r="B797" t="str">
            <v>fdox</v>
          </cell>
          <cell r="C797" t="str">
            <v>Ferredoxin (oxidized) 2[4Fe-4S]</v>
          </cell>
        </row>
        <row r="798">
          <cell r="A798" t="str">
            <v>2dglcn_c</v>
          </cell>
          <cell r="B798" t="str">
            <v>2dglcn</v>
          </cell>
          <cell r="C798" t="str">
            <v>2-Deoxy-D-gluconate</v>
          </cell>
        </row>
        <row r="799">
          <cell r="A799" t="str">
            <v>decdr_tb_c</v>
          </cell>
          <cell r="B799" t="str">
            <v>decdr_tb</v>
          </cell>
          <cell r="C799" t="str">
            <v>Decaprenylphosphoryl-beta-D-5-ribose</v>
          </cell>
        </row>
        <row r="800">
          <cell r="A800" t="str">
            <v>copre4_c</v>
          </cell>
          <cell r="B800" t="str">
            <v>copre4</v>
          </cell>
          <cell r="C800" t="str">
            <v>Cobalt-precorrin 4</v>
          </cell>
        </row>
        <row r="801">
          <cell r="A801" t="str">
            <v>tamhexc_c</v>
          </cell>
          <cell r="B801" t="str">
            <v>tamhexc</v>
          </cell>
          <cell r="C801" t="str">
            <v>Tetra-methyl hexacosanoate</v>
          </cell>
        </row>
        <row r="802">
          <cell r="A802" t="str">
            <v>tamlgnc_c</v>
          </cell>
          <cell r="B802" t="str">
            <v>tamlgnc</v>
          </cell>
          <cell r="C802" t="str">
            <v>Tri-methyl lignoceric acid</v>
          </cell>
        </row>
        <row r="803">
          <cell r="A803" t="str">
            <v>marach_c</v>
          </cell>
          <cell r="B803" t="str">
            <v>marach</v>
          </cell>
          <cell r="C803" t="str">
            <v>Methyl arachidic acid</v>
          </cell>
        </row>
        <row r="804">
          <cell r="A804" t="str">
            <v>homtta_c</v>
          </cell>
          <cell r="B804" t="str">
            <v>homtta</v>
          </cell>
          <cell r="C804" t="str">
            <v>10 hydroxy octa-methyl tetracontatricosanoic acid (C34:0, 8 methyl-branched carbons, 1 hydroxylated carbon)</v>
          </cell>
        </row>
        <row r="805">
          <cell r="A805" t="str">
            <v>4hoxpacd_c</v>
          </cell>
          <cell r="B805" t="str">
            <v>4hoxpacd</v>
          </cell>
          <cell r="C805" t="str">
            <v>4-Hydroxyphenylacetaldehyde</v>
          </cell>
        </row>
        <row r="806">
          <cell r="A806" t="str">
            <v>3dhphaccoa_c</v>
          </cell>
          <cell r="B806" t="str">
            <v>3dhphaccoa</v>
          </cell>
          <cell r="C806" t="str">
            <v>2 3 Dihydroxy 2 3 dihydrophenylacetyl CoA C29H40N7O19P3S</v>
          </cell>
        </row>
        <row r="807">
          <cell r="A807" t="str">
            <v>rbt_c</v>
          </cell>
          <cell r="B807" t="str">
            <v>rbt</v>
          </cell>
          <cell r="C807" t="str">
            <v>Ribitol</v>
          </cell>
        </row>
        <row r="808">
          <cell r="A808" t="str">
            <v>d5kgp_c</v>
          </cell>
          <cell r="B808" t="str">
            <v>d5kgp</v>
          </cell>
          <cell r="C808" t="str">
            <v>2-Deoxy-5-keto-D-gluconic acid 6-phosphate</v>
          </cell>
        </row>
        <row r="809">
          <cell r="A809" t="str">
            <v>2d5kg_c</v>
          </cell>
          <cell r="B809" t="str">
            <v>2d5kg</v>
          </cell>
          <cell r="C809" t="str">
            <v>2d5kg c</v>
          </cell>
        </row>
        <row r="810">
          <cell r="A810" t="str">
            <v>isopeluc24_c</v>
          </cell>
          <cell r="B810" t="str">
            <v>isopeluc24</v>
          </cell>
          <cell r="C810" t="str">
            <v>Isopentadecanoyllipoteichoic acid (n=24)</v>
          </cell>
        </row>
        <row r="811">
          <cell r="A811" t="str">
            <v>anteiluc24_c</v>
          </cell>
          <cell r="B811" t="str">
            <v>anteiluc24</v>
          </cell>
          <cell r="C811" t="str">
            <v>Anteisoheptadecanoyllipoteichoic acid (n=24)</v>
          </cell>
        </row>
        <row r="812">
          <cell r="A812" t="str">
            <v>isotensu24_c</v>
          </cell>
          <cell r="B812" t="str">
            <v>isotensu24</v>
          </cell>
          <cell r="C812" t="str">
            <v>Isotetradecanoyllipoteichoic acid (n=24)</v>
          </cell>
        </row>
        <row r="813">
          <cell r="A813" t="str">
            <v>isoteluc24_c</v>
          </cell>
          <cell r="B813" t="str">
            <v>isoteluc24</v>
          </cell>
          <cell r="C813" t="str">
            <v>Isotetradecanoyllipoteichoic acid (n=24)</v>
          </cell>
        </row>
        <row r="814">
          <cell r="A814" t="str">
            <v>prenoN_ated_c</v>
          </cell>
          <cell r="B814" t="str">
            <v>prenoN_ated</v>
          </cell>
          <cell r="C814" t="str">
            <v>Prenol-45n teichoic acid-glucose substituted</v>
          </cell>
        </row>
        <row r="815">
          <cell r="A815" t="str">
            <v>palminsu24_c</v>
          </cell>
          <cell r="B815" t="str">
            <v>palminsu24</v>
          </cell>
          <cell r="C815" t="str">
            <v>Palmitoyllipoteichoic acid (n=24)</v>
          </cell>
        </row>
        <row r="816">
          <cell r="A816" t="str">
            <v>myrisluc24_c</v>
          </cell>
          <cell r="B816" t="str">
            <v>myrisluc24</v>
          </cell>
          <cell r="C816" t="str">
            <v>Myristoyllipoteichoic acid (n=24)</v>
          </cell>
        </row>
        <row r="817">
          <cell r="A817" t="str">
            <v>stearluc24_c</v>
          </cell>
          <cell r="B817" t="str">
            <v>stearluc24</v>
          </cell>
          <cell r="C817" t="str">
            <v>Stearoyllipoteichoic acid (n=24)</v>
          </cell>
        </row>
        <row r="818">
          <cell r="A818" t="str">
            <v>agpc_EC_c</v>
          </cell>
          <cell r="B818" t="str">
            <v>agpc_EC</v>
          </cell>
          <cell r="C818" t="str">
            <v>Acyl-glycerophosphocholine</v>
          </cell>
        </row>
        <row r="819">
          <cell r="A819" t="str">
            <v>agpg_EC_c</v>
          </cell>
          <cell r="B819" t="str">
            <v>agpg_EC</v>
          </cell>
          <cell r="C819" t="str">
            <v>Acyl-glycerophosphoglycerol  (E.coli)</v>
          </cell>
        </row>
        <row r="820">
          <cell r="A820" t="str">
            <v>apg_EC_c</v>
          </cell>
          <cell r="B820" t="str">
            <v>apg_EC</v>
          </cell>
          <cell r="C820" t="str">
            <v>Acyl phosphatidylglycerol (E.coli)</v>
          </cell>
        </row>
        <row r="821">
          <cell r="A821" t="str">
            <v>fuc1p__L_c</v>
          </cell>
          <cell r="B821" t="str">
            <v>fuc1p__L</v>
          </cell>
          <cell r="C821" t="str">
            <v>L-Fucose 1-phosphate</v>
          </cell>
        </row>
        <row r="822">
          <cell r="A822" t="str">
            <v>pgp_EC_c</v>
          </cell>
          <cell r="B822" t="str">
            <v>pgp_EC</v>
          </cell>
          <cell r="C822" t="str">
            <v>Phosphatidylglycerophosphate (Ecoli)</v>
          </cell>
        </row>
        <row r="823">
          <cell r="A823" t="str">
            <v>ps_EC_c</v>
          </cell>
          <cell r="B823" t="str">
            <v>ps_EC</v>
          </cell>
          <cell r="C823" t="str">
            <v>Phosphatidylserine (Ecoli)</v>
          </cell>
        </row>
        <row r="824">
          <cell r="A824" t="str">
            <v>diact_c</v>
          </cell>
          <cell r="B824" t="str">
            <v>diact</v>
          </cell>
          <cell r="C824" t="str">
            <v>Diacetyl C4H6O2</v>
          </cell>
        </row>
        <row r="825">
          <cell r="A825" t="str">
            <v>malon_c</v>
          </cell>
          <cell r="B825" t="str">
            <v>malon</v>
          </cell>
          <cell r="C825" t="str">
            <v>Malonate</v>
          </cell>
        </row>
        <row r="826">
          <cell r="A826" t="str">
            <v>mtpp_c</v>
          </cell>
          <cell r="B826" t="str">
            <v>mtpp</v>
          </cell>
          <cell r="C826" t="str">
            <v>3-methylthiopropionate</v>
          </cell>
        </row>
        <row r="827">
          <cell r="A827" t="str">
            <v>Pald_c</v>
          </cell>
          <cell r="B827" t="str">
            <v>Pald</v>
          </cell>
          <cell r="C827" t="str">
            <v>Phosphonoacetaldehyde</v>
          </cell>
        </row>
        <row r="828">
          <cell r="A828" t="str">
            <v>codscl5a_c</v>
          </cell>
          <cell r="B828" t="str">
            <v>codscl5a</v>
          </cell>
          <cell r="C828" t="str">
            <v>Cobalt-precorrin-5a</v>
          </cell>
        </row>
        <row r="829">
          <cell r="A829" t="str">
            <v>codscl7_c</v>
          </cell>
          <cell r="B829" t="str">
            <v>codscl7</v>
          </cell>
          <cell r="C829" t="str">
            <v>Cobalt-precorrin-7</v>
          </cell>
        </row>
        <row r="830">
          <cell r="A830" t="str">
            <v>codscl8x_c</v>
          </cell>
          <cell r="B830" t="str">
            <v>codscl8x</v>
          </cell>
          <cell r="C830" t="str">
            <v>Cobalt-precorrin-8x</v>
          </cell>
        </row>
        <row r="831">
          <cell r="A831" t="str">
            <v>cob2nda_c</v>
          </cell>
          <cell r="B831" t="str">
            <v>cob2nda</v>
          </cell>
          <cell r="C831" t="str">
            <v>Cob-II-yrinate-a-c-diamide</v>
          </cell>
        </row>
        <row r="832">
          <cell r="A832" t="str">
            <v>udcdp20Oag_p</v>
          </cell>
          <cell r="B832" t="str">
            <v>udcdp20Oag</v>
          </cell>
          <cell r="C832" t="str">
            <v>Undecaprenyl-diphosphate-O-antigene-20x</v>
          </cell>
        </row>
        <row r="833">
          <cell r="A833" t="str">
            <v>cdpabeq_c</v>
          </cell>
          <cell r="B833" t="str">
            <v>cdpabeq</v>
          </cell>
          <cell r="C833" t="str">
            <v>CDP-abequose</v>
          </cell>
        </row>
        <row r="834">
          <cell r="A834" t="str">
            <v>udcdp9Oag_p</v>
          </cell>
          <cell r="B834" t="str">
            <v>udcdp9Oag</v>
          </cell>
          <cell r="C834" t="str">
            <v>Undecaprenyl-diphosphate-O-antigene-9x</v>
          </cell>
        </row>
        <row r="835">
          <cell r="A835" t="str">
            <v>udcdp11Oag_p</v>
          </cell>
          <cell r="B835" t="str">
            <v>udcdp11Oag</v>
          </cell>
          <cell r="C835" t="str">
            <v>Undecaprenyl-diphosphate-O-antigene-11x</v>
          </cell>
        </row>
        <row r="836">
          <cell r="A836" t="str">
            <v>udcdp16Oag_p</v>
          </cell>
          <cell r="B836" t="str">
            <v>udcdp16Oag</v>
          </cell>
          <cell r="C836" t="str">
            <v>Undecaprenyl-diphosphate-O-antigene-16x</v>
          </cell>
        </row>
        <row r="837">
          <cell r="A837" t="str">
            <v>udcdp18Oag_p</v>
          </cell>
          <cell r="B837" t="str">
            <v>udcdp18Oag</v>
          </cell>
          <cell r="C837" t="str">
            <v>Undecaprenyl-diphosphate-O-antigene-18x</v>
          </cell>
        </row>
        <row r="838">
          <cell r="A838" t="str">
            <v>nflgln_c</v>
          </cell>
          <cell r="B838" t="str">
            <v>nflgln</v>
          </cell>
          <cell r="C838" t="str">
            <v>N-Formimino-L-glutamate</v>
          </cell>
        </row>
        <row r="839">
          <cell r="A839" t="str">
            <v>feroxEfe_p</v>
          </cell>
          <cell r="B839" t="str">
            <v>feroxEfe</v>
          </cell>
          <cell r="C839" t="str">
            <v>Ferrioxamine-E-fe</v>
          </cell>
        </row>
        <row r="840">
          <cell r="A840" t="str">
            <v>feroxEfe_c</v>
          </cell>
          <cell r="B840" t="str">
            <v>feroxEfe</v>
          </cell>
          <cell r="C840" t="str">
            <v>Ferrioxamine-E-fe</v>
          </cell>
        </row>
        <row r="841">
          <cell r="A841" t="str">
            <v>feroxE_c</v>
          </cell>
          <cell r="B841" t="str">
            <v>feroxE</v>
          </cell>
          <cell r="C841" t="str">
            <v>Ferrioxamine-E</v>
          </cell>
        </row>
        <row r="842">
          <cell r="A842" t="str">
            <v>feroxE_p</v>
          </cell>
          <cell r="B842" t="str">
            <v>feroxE</v>
          </cell>
          <cell r="C842" t="str">
            <v>Ferrioxamine-E</v>
          </cell>
        </row>
        <row r="843">
          <cell r="A843" t="str">
            <v>udcpgr_c</v>
          </cell>
          <cell r="B843" t="str">
            <v>udcpgr</v>
          </cell>
          <cell r="C843" t="str">
            <v>Undecaprenyl diphosphate galactose-rhamnose</v>
          </cell>
        </row>
        <row r="844">
          <cell r="A844" t="str">
            <v>12dgr2_ST_p</v>
          </cell>
          <cell r="B844" t="str">
            <v>12dgr2_ST</v>
          </cell>
          <cell r="C844" t="str">
            <v>Membrane 1,2-diacylglycerol mixture</v>
          </cell>
        </row>
        <row r="845">
          <cell r="A845" t="str">
            <v>pa2_ST_p</v>
          </cell>
          <cell r="B845" t="str">
            <v>pa2_ST</v>
          </cell>
          <cell r="C845" t="str">
            <v>Membrane phosphatidate mixture</v>
          </cell>
        </row>
        <row r="846">
          <cell r="A846" t="str">
            <v>23dhbzs3_p</v>
          </cell>
          <cell r="B846" t="str">
            <v>23dhbzs3</v>
          </cell>
          <cell r="C846" t="str">
            <v>2-3-dihydroxybenzoylserine trimer</v>
          </cell>
        </row>
        <row r="847">
          <cell r="A847" t="str">
            <v>23dhbzs2_c</v>
          </cell>
          <cell r="B847" t="str">
            <v>23dhbzs2</v>
          </cell>
          <cell r="C847" t="str">
            <v>2-3-dihydroxybenzoylserine dimer</v>
          </cell>
        </row>
        <row r="848">
          <cell r="A848" t="str">
            <v>3optcoa_c</v>
          </cell>
          <cell r="B848" t="str">
            <v>3optcoa</v>
          </cell>
          <cell r="C848" t="str">
            <v>3-Ocopentanoyl-CoA</v>
          </cell>
        </row>
        <row r="849">
          <cell r="A849" t="str">
            <v>4hglu_c</v>
          </cell>
          <cell r="B849" t="str">
            <v>4hglu</v>
          </cell>
          <cell r="C849" t="str">
            <v>4-Hydroxy-L-glutamate</v>
          </cell>
        </row>
        <row r="850">
          <cell r="A850" t="str">
            <v>5hbzid_c</v>
          </cell>
          <cell r="B850" t="str">
            <v>5hbzid</v>
          </cell>
          <cell r="C850" t="str">
            <v>5-hydroxybenzimidazole</v>
          </cell>
        </row>
        <row r="851">
          <cell r="A851" t="str">
            <v>5mcsn_c</v>
          </cell>
          <cell r="B851" t="str">
            <v>5mcsn</v>
          </cell>
          <cell r="C851" t="str">
            <v>5-Methylcytosine</v>
          </cell>
        </row>
        <row r="852">
          <cell r="A852" t="str">
            <v>6occhcoa_c</v>
          </cell>
          <cell r="B852" t="str">
            <v>6occhcoa</v>
          </cell>
          <cell r="C852" t="str">
            <v>6-oxocyclohex-1-ene-1-carboxyl-CoA</v>
          </cell>
        </row>
        <row r="853">
          <cell r="A853" t="str">
            <v>Lcyst_c</v>
          </cell>
          <cell r="B853" t="str">
            <v>Lcyst</v>
          </cell>
          <cell r="C853" t="str">
            <v>L-Cysteate</v>
          </cell>
        </row>
        <row r="854">
          <cell r="A854" t="str">
            <v>Ncbmpts_c</v>
          </cell>
          <cell r="B854" t="str">
            <v>Ncbmpts</v>
          </cell>
          <cell r="C854" t="str">
            <v>N-Carbamoylputrescine</v>
          </cell>
        </row>
        <row r="855">
          <cell r="A855" t="str">
            <v>acetone_c</v>
          </cell>
          <cell r="B855" t="str">
            <v>acetone</v>
          </cell>
          <cell r="C855" t="str">
            <v>Acetone</v>
          </cell>
        </row>
        <row r="856">
          <cell r="A856" t="str">
            <v>butpi_c</v>
          </cell>
          <cell r="B856" t="str">
            <v>butpi</v>
          </cell>
          <cell r="C856" t="str">
            <v>Butanoyl phosphate</v>
          </cell>
        </row>
        <row r="857">
          <cell r="A857" t="str">
            <v>ch15deccoa_c</v>
          </cell>
          <cell r="B857" t="str">
            <v>ch15deccoa</v>
          </cell>
          <cell r="C857" t="str">
            <v>Cyclohexa-1,5-dienecarbonyl-CoA</v>
          </cell>
        </row>
        <row r="858">
          <cell r="A858" t="str">
            <v>cspmd_c</v>
          </cell>
          <cell r="B858" t="str">
            <v>cspmd</v>
          </cell>
          <cell r="C858" t="str">
            <v>Carboxyspermidine</v>
          </cell>
        </row>
        <row r="859">
          <cell r="A859" t="str">
            <v>dhlplarg_c</v>
          </cell>
          <cell r="B859" t="str">
            <v>dhlplarg</v>
          </cell>
          <cell r="C859" t="str">
            <v>Dihydrolipoyl carrier protein LarG</v>
          </cell>
        </row>
        <row r="860">
          <cell r="A860" t="str">
            <v>fdxo_42_c</v>
          </cell>
          <cell r="B860" t="str">
            <v>fdxo_42</v>
          </cell>
          <cell r="C860" t="str">
            <v>Ferredoxin (oxidized form 4:2)</v>
          </cell>
        </row>
        <row r="861">
          <cell r="A861" t="str">
            <v>ficytC_c</v>
          </cell>
          <cell r="B861" t="str">
            <v>ficytC</v>
          </cell>
          <cell r="C861" t="str">
            <v>Ferricytochrome c</v>
          </cell>
        </row>
        <row r="862">
          <cell r="A862" t="str">
            <v>ficytb_c</v>
          </cell>
          <cell r="B862" t="str">
            <v>ficytb</v>
          </cell>
          <cell r="C862" t="str">
            <v>Ferricytochrome b</v>
          </cell>
        </row>
        <row r="863">
          <cell r="A863" t="str">
            <v>focytC_c</v>
          </cell>
          <cell r="B863" t="str">
            <v>focytC</v>
          </cell>
          <cell r="C863" t="str">
            <v>Ferrocytochrome C</v>
          </cell>
        </row>
        <row r="864">
          <cell r="A864" t="str">
            <v>fut_c</v>
          </cell>
          <cell r="B864" t="str">
            <v>fut</v>
          </cell>
          <cell r="C864" t="str">
            <v>Futalosine</v>
          </cell>
        </row>
        <row r="865">
          <cell r="A865" t="str">
            <v>ghhlipa_c</v>
          </cell>
          <cell r="B865" t="str">
            <v>ghhlipa</v>
          </cell>
          <cell r="C865" t="str">
            <v>Glucosyl-heptosyl-heptosyl-kdo2-lipidA</v>
          </cell>
        </row>
        <row r="866">
          <cell r="A866" t="str">
            <v>hghhlipa_c</v>
          </cell>
          <cell r="B866" t="str">
            <v>hghhlipa</v>
          </cell>
          <cell r="C866" t="str">
            <v>Heptosyl-glucosyl-heptosyl-heptosyl-kdo2-lipidA</v>
          </cell>
        </row>
        <row r="867">
          <cell r="A867" t="str">
            <v>kdo2lipid4n_c</v>
          </cell>
          <cell r="B867" t="str">
            <v>kdo2lipid4n</v>
          </cell>
          <cell r="C867" t="str">
            <v>KDO(2)-lipid IV(A) (glucosediaminyl)</v>
          </cell>
        </row>
        <row r="868">
          <cell r="A868" t="str">
            <v>n2_c</v>
          </cell>
          <cell r="B868" t="str">
            <v>n2</v>
          </cell>
          <cell r="C868" t="str">
            <v>Nitrogen</v>
          </cell>
        </row>
        <row r="869">
          <cell r="A869" t="str">
            <v>phenol_c</v>
          </cell>
          <cell r="B869" t="str">
            <v>phenol</v>
          </cell>
          <cell r="C869" t="str">
            <v>Phenol</v>
          </cell>
        </row>
        <row r="870">
          <cell r="A870" t="str">
            <v>polglu_c</v>
          </cell>
          <cell r="B870" t="str">
            <v>polglu</v>
          </cell>
          <cell r="C870" t="str">
            <v>Poly-gamma-D-glutamate</v>
          </cell>
        </row>
        <row r="871">
          <cell r="A871" t="str">
            <v>r3mmal_c</v>
          </cell>
          <cell r="B871" t="str">
            <v>r3mmal</v>
          </cell>
          <cell r="C871" t="str">
            <v>D-erythro-3-Methylmalate</v>
          </cell>
        </row>
        <row r="872">
          <cell r="A872" t="str">
            <v>2obut_e</v>
          </cell>
          <cell r="B872" t="str">
            <v>2obut</v>
          </cell>
          <cell r="C872" t="str">
            <v>2-Oxobutanoate</v>
          </cell>
        </row>
        <row r="873">
          <cell r="A873" t="str">
            <v>4crsol_e</v>
          </cell>
          <cell r="B873" t="str">
            <v>4crsol</v>
          </cell>
          <cell r="C873" t="str">
            <v>P-Cresol</v>
          </cell>
        </row>
        <row r="874">
          <cell r="A874" t="str">
            <v>4hbald_e</v>
          </cell>
          <cell r="B874" t="str">
            <v>4hbald</v>
          </cell>
          <cell r="C874" t="str">
            <v>4-Hydroxybenzaldehyde</v>
          </cell>
        </row>
        <row r="875">
          <cell r="A875" t="str">
            <v>aso4_e</v>
          </cell>
          <cell r="B875" t="str">
            <v>aso4</v>
          </cell>
          <cell r="C875" t="str">
            <v>Arsenate</v>
          </cell>
        </row>
        <row r="876">
          <cell r="A876" t="str">
            <v>elar_e</v>
          </cell>
          <cell r="B876" t="str">
            <v>elar</v>
          </cell>
          <cell r="C876" t="str">
            <v>Anode  (reduced)</v>
          </cell>
        </row>
        <row r="877">
          <cell r="A877" t="str">
            <v>ibt_e</v>
          </cell>
          <cell r="B877" t="str">
            <v>ibt</v>
          </cell>
          <cell r="C877" t="str">
            <v>Isobutyrate</v>
          </cell>
        </row>
        <row r="878">
          <cell r="A878" t="str">
            <v>mn4_e</v>
          </cell>
          <cell r="B878" t="str">
            <v>mn4</v>
          </cell>
          <cell r="C878" t="str">
            <v>Mn4+</v>
          </cell>
        </row>
        <row r="879">
          <cell r="A879" t="str">
            <v>omclo_e</v>
          </cell>
          <cell r="B879" t="str">
            <v>omclo</v>
          </cell>
          <cell r="C879" t="str">
            <v>Outer Membrane Cytochrome c type oxidized (low potential)</v>
          </cell>
        </row>
        <row r="880">
          <cell r="A880" t="str">
            <v>omclr_e</v>
          </cell>
          <cell r="B880" t="str">
            <v>omclr</v>
          </cell>
          <cell r="C880" t="str">
            <v>Outer Membrane Cytochrome c type reduced 1(low potential)</v>
          </cell>
        </row>
        <row r="881">
          <cell r="A881" t="str">
            <v>oxa_e</v>
          </cell>
          <cell r="B881" t="str">
            <v>oxa</v>
          </cell>
          <cell r="C881" t="str">
            <v>Oxalate</v>
          </cell>
        </row>
        <row r="882">
          <cell r="A882" t="str">
            <v>ppoh_e</v>
          </cell>
          <cell r="B882" t="str">
            <v>ppoh</v>
          </cell>
          <cell r="C882" t="str">
            <v>1-Propanol</v>
          </cell>
        </row>
        <row r="883">
          <cell r="A883" t="str">
            <v>u4_e</v>
          </cell>
          <cell r="B883" t="str">
            <v>u4</v>
          </cell>
          <cell r="C883" t="str">
            <v>Uranium(IV)</v>
          </cell>
        </row>
        <row r="884">
          <cell r="A884" t="str">
            <v>Lcyst_p</v>
          </cell>
          <cell r="B884" t="str">
            <v>Lcyst</v>
          </cell>
          <cell r="C884" t="str">
            <v>L-Cysteate</v>
          </cell>
        </row>
        <row r="885">
          <cell r="A885" t="str">
            <v>bzal_p</v>
          </cell>
          <cell r="B885" t="str">
            <v>bzal</v>
          </cell>
          <cell r="C885" t="str">
            <v>Benzaldehyde</v>
          </cell>
        </row>
        <row r="886">
          <cell r="A886" t="str">
            <v>gm1lipa_p</v>
          </cell>
          <cell r="B886" t="str">
            <v>gm1lipa</v>
          </cell>
          <cell r="C886" t="str">
            <v>4-Amino-4-deoxy-L-arabinose modified core oligosaccharide lipid A (G. metallireducens, variant 1)</v>
          </cell>
        </row>
        <row r="887">
          <cell r="A887" t="str">
            <v>hghhlipa_p</v>
          </cell>
          <cell r="B887" t="str">
            <v>hghhlipa</v>
          </cell>
          <cell r="C887" t="str">
            <v>Heptosyl-glucosyl-heptosyl-heptosyl-kdo2-lipidA</v>
          </cell>
        </row>
        <row r="888">
          <cell r="A888" t="str">
            <v>n2_p</v>
          </cell>
          <cell r="B888" t="str">
            <v>n2</v>
          </cell>
          <cell r="C888" t="str">
            <v>Nitrogen</v>
          </cell>
        </row>
        <row r="889">
          <cell r="A889" t="str">
            <v>phenol_p</v>
          </cell>
          <cell r="B889" t="str">
            <v>phenol</v>
          </cell>
          <cell r="C889" t="str">
            <v>Phenol</v>
          </cell>
        </row>
        <row r="890">
          <cell r="A890" t="str">
            <v>pa182_9_12_c</v>
          </cell>
          <cell r="B890" t="str">
            <v>pa182_9_12</v>
          </cell>
          <cell r="C890" t="str">
            <v>1,2-dioctadec-9-12-dienoyl-sn-glycerol 3-phosphate</v>
          </cell>
        </row>
        <row r="891">
          <cell r="A891" t="str">
            <v>1odec91215eg3p_c</v>
          </cell>
          <cell r="B891" t="str">
            <v>1odec91215eg3p</v>
          </cell>
          <cell r="C891" t="str">
            <v>1-octadec-9-12-15-trienoyl-sn-glycerol 3-phosphate</v>
          </cell>
        </row>
        <row r="892">
          <cell r="A892" t="str">
            <v>pa184_6_9_12_15_c</v>
          </cell>
          <cell r="B892" t="str">
            <v>pa184_6_9_12_15</v>
          </cell>
          <cell r="C892" t="str">
            <v>1,2-dioctadec-6-9-12-15-tetraenoyl-sn-glycerol 3-phosphate</v>
          </cell>
        </row>
        <row r="893">
          <cell r="A893" t="str">
            <v>caro_c</v>
          </cell>
          <cell r="B893" t="str">
            <v>caro</v>
          </cell>
          <cell r="C893" t="str">
            <v>Beta-Carotene</v>
          </cell>
        </row>
        <row r="894">
          <cell r="A894" t="str">
            <v>biliverd_c</v>
          </cell>
          <cell r="B894" t="str">
            <v>biliverd</v>
          </cell>
          <cell r="C894" t="str">
            <v>Biliverdin cytosol</v>
          </cell>
        </row>
        <row r="895">
          <cell r="A895" t="str">
            <v>focytc6_u</v>
          </cell>
          <cell r="B895" t="str">
            <v>focytc6</v>
          </cell>
          <cell r="C895" t="str">
            <v>Ferrocytochrome c6</v>
          </cell>
        </row>
        <row r="896">
          <cell r="A896" t="str">
            <v>pqh2_p</v>
          </cell>
          <cell r="B896" t="str">
            <v>pqh2</v>
          </cell>
          <cell r="C896" t="str">
            <v>Plastoquinol</v>
          </cell>
        </row>
        <row r="897">
          <cell r="A897" t="str">
            <v>pcrd_p</v>
          </cell>
          <cell r="B897" t="str">
            <v>pcrd</v>
          </cell>
          <cell r="C897" t="str">
            <v>Plastocyanin(Cu+)</v>
          </cell>
        </row>
        <row r="898">
          <cell r="A898" t="str">
            <v>pq_p</v>
          </cell>
          <cell r="B898" t="str">
            <v>pq</v>
          </cell>
          <cell r="C898" t="str">
            <v>Plastoquinone</v>
          </cell>
        </row>
        <row r="899">
          <cell r="A899" t="str">
            <v>pcox_u</v>
          </cell>
          <cell r="B899" t="str">
            <v>pcox</v>
          </cell>
          <cell r="C899" t="str">
            <v>Plastocyanin(Cu2+)</v>
          </cell>
        </row>
        <row r="900">
          <cell r="A900" t="str">
            <v>fdxo_2_2_c</v>
          </cell>
          <cell r="B900" t="str">
            <v>fdxo_2_2</v>
          </cell>
          <cell r="C900" t="str">
            <v>Oxidized ferredoxin</v>
          </cell>
        </row>
        <row r="901">
          <cell r="A901" t="str">
            <v>phdp_c</v>
          </cell>
          <cell r="B901" t="str">
            <v>phdp</v>
          </cell>
          <cell r="C901" t="str">
            <v>Phytyl diphosphate</v>
          </cell>
        </row>
        <row r="902">
          <cell r="A902" t="str">
            <v>precyanphy_c</v>
          </cell>
          <cell r="B902" t="str">
            <v>precyanphy</v>
          </cell>
          <cell r="C902" t="str">
            <v>Cyanophycin (multi-Larginyl-poli [L--aspartic acid]) polimer (n)</v>
          </cell>
        </row>
        <row r="903">
          <cell r="A903" t="str">
            <v>octe_9_12_15_ACP_c</v>
          </cell>
          <cell r="B903" t="str">
            <v>octe_9_12_15_ACP</v>
          </cell>
          <cell r="C903" t="str">
            <v>A-lineloyl-ACP (n-C18 3ACP)</v>
          </cell>
        </row>
        <row r="904">
          <cell r="A904" t="str">
            <v>mgdg160_c</v>
          </cell>
          <cell r="B904" t="str">
            <v>mgdg160</v>
          </cell>
          <cell r="C904" t="str">
            <v>1,2-Diacyl-3-beta-D-galactosyl-sn-glycerol (n-C16)</v>
          </cell>
        </row>
        <row r="905">
          <cell r="A905" t="str">
            <v>mgdg180_c</v>
          </cell>
          <cell r="B905" t="str">
            <v>mgdg180</v>
          </cell>
          <cell r="C905" t="str">
            <v>1,2-Diacyl-3-beta-D-galactosyl-sn-glycerol (n-C18 0)</v>
          </cell>
        </row>
        <row r="906">
          <cell r="A906" t="str">
            <v>dgdg183_9_12_15_c</v>
          </cell>
          <cell r="B906" t="str">
            <v>dgdg183_9_12_15</v>
          </cell>
          <cell r="C906" t="str">
            <v>Digalactosyl-diacylglycerol(n-C18 3)</v>
          </cell>
        </row>
        <row r="907">
          <cell r="A907" t="str">
            <v>dgdg184_6_9_12_15_c</v>
          </cell>
          <cell r="B907" t="str">
            <v>dgdg184_6_9_12_15</v>
          </cell>
          <cell r="C907" t="str">
            <v>Digalactosyl-diacylglycerol(n-C18 4)</v>
          </cell>
        </row>
        <row r="908">
          <cell r="A908" t="str">
            <v>dvpchlld_c</v>
          </cell>
          <cell r="B908" t="str">
            <v>dvpchlld</v>
          </cell>
          <cell r="C908" t="str">
            <v>Divinylprotochlorophyllide</v>
          </cell>
        </row>
        <row r="909">
          <cell r="A909" t="str">
            <v>12dgr183_6_9_12_c</v>
          </cell>
          <cell r="B909" t="str">
            <v>12dgr183_6_9_12</v>
          </cell>
          <cell r="C909" t="str">
            <v>1,2-Diacyl-sn-glycerol (dioctadec-6-9-12-trienoyl, n-C18 3)</v>
          </cell>
        </row>
        <row r="910">
          <cell r="A910" t="str">
            <v>hmppp9_c</v>
          </cell>
          <cell r="B910" t="str">
            <v>hmppp9</v>
          </cell>
          <cell r="C910" t="str">
            <v xml:space="preserve"> 13(1)-Hydroxy-magnesium-protoporphyrin IX 13-monomethyl ester</v>
          </cell>
        </row>
        <row r="911">
          <cell r="A911" t="str">
            <v>peptido_syn_c</v>
          </cell>
          <cell r="B911" t="str">
            <v>peptido_syn</v>
          </cell>
          <cell r="C911" t="str">
            <v>Peptidoglycan subunit of Synechocystis sp. PCC8603</v>
          </cell>
        </row>
        <row r="912">
          <cell r="A912" t="str">
            <v>peptido_syn_p</v>
          </cell>
          <cell r="B912" t="str">
            <v>peptido_syn</v>
          </cell>
          <cell r="C912" t="str">
            <v>Peptidoglycan subunit of Synechocystis sp. PCC8603</v>
          </cell>
        </row>
        <row r="913">
          <cell r="A913" t="str">
            <v>sqdg181_c</v>
          </cell>
          <cell r="B913" t="str">
            <v>sqdg181</v>
          </cell>
          <cell r="C913" t="str">
            <v>Sulfoquinovosyldiacylglycerol (n-C18 1)</v>
          </cell>
        </row>
        <row r="914">
          <cell r="A914" t="str">
            <v>sqdg182_9_12_c</v>
          </cell>
          <cell r="B914" t="str">
            <v>sqdg182_9_12</v>
          </cell>
          <cell r="C914" t="str">
            <v>Sulfoquinovosyldiacylglycerol (n-C18 2)</v>
          </cell>
        </row>
        <row r="915">
          <cell r="A915" t="str">
            <v>bvite_c</v>
          </cell>
          <cell r="B915" t="str">
            <v>bvite</v>
          </cell>
          <cell r="C915" t="str">
            <v>Beta-Tocopherol</v>
          </cell>
        </row>
        <row r="916">
          <cell r="A916" t="str">
            <v>neuspn_c</v>
          </cell>
          <cell r="B916" t="str">
            <v>neuspn</v>
          </cell>
          <cell r="C916" t="str">
            <v>Neurosporene</v>
          </cell>
        </row>
        <row r="917">
          <cell r="A917" t="str">
            <v>cu2_u</v>
          </cell>
          <cell r="B917" t="str">
            <v>cu2</v>
          </cell>
          <cell r="C917" t="str">
            <v>Copper</v>
          </cell>
        </row>
        <row r="918">
          <cell r="A918" t="str">
            <v>photon_e</v>
          </cell>
          <cell r="B918" t="str">
            <v>photon</v>
          </cell>
          <cell r="C918" t="str">
            <v>Light</v>
          </cell>
        </row>
        <row r="919">
          <cell r="A919" t="str">
            <v>glcglyc_e</v>
          </cell>
          <cell r="B919" t="str">
            <v>glcglyc</v>
          </cell>
          <cell r="C919" t="str">
            <v>2-(beta-D-Glucosyl)-sn-glycerol</v>
          </cell>
        </row>
        <row r="920">
          <cell r="A920" t="str">
            <v>13_cis_oretn_c</v>
          </cell>
          <cell r="B920" t="str">
            <v>13_cis_oretn</v>
          </cell>
          <cell r="C920" t="str">
            <v>13-cis-oxo-retinoic acid</v>
          </cell>
        </row>
        <row r="921">
          <cell r="A921" t="str">
            <v>15HPET_c</v>
          </cell>
          <cell r="B921" t="str">
            <v>15HPET</v>
          </cell>
          <cell r="C921" t="str">
            <v>15-Hydroperoxyeicosatetraenoic acid</v>
          </cell>
        </row>
        <row r="922">
          <cell r="A922" t="str">
            <v>17ahprgnlone_c</v>
          </cell>
          <cell r="B922" t="str">
            <v>17ahprgnlone</v>
          </cell>
          <cell r="C922" t="str">
            <v>17alpha-Hydroxypregnenolone</v>
          </cell>
        </row>
        <row r="923">
          <cell r="A923" t="str">
            <v>2425dhvitd3_c</v>
          </cell>
          <cell r="B923" t="str">
            <v>2425dhvitd3</v>
          </cell>
          <cell r="C923" t="str">
            <v>24R,25-Dihydroxyvitamin D3</v>
          </cell>
        </row>
        <row r="924">
          <cell r="A924" t="str">
            <v>25hvitd2_c</v>
          </cell>
          <cell r="B924" t="str">
            <v>25hvitd2</v>
          </cell>
          <cell r="C924" t="str">
            <v>25-Hydroxyvitamin D2</v>
          </cell>
        </row>
        <row r="925">
          <cell r="A925" t="str">
            <v>3hpcoa_c</v>
          </cell>
          <cell r="B925" t="str">
            <v>3hpcoa</v>
          </cell>
          <cell r="C925" t="str">
            <v>3-Hydroxypropionyl-CoA</v>
          </cell>
        </row>
        <row r="926">
          <cell r="A926" t="str">
            <v>3htmelys_c</v>
          </cell>
          <cell r="B926" t="str">
            <v>3htmelys</v>
          </cell>
          <cell r="C926" t="str">
            <v>3-Hydroxy-N6,N6,N6-trimethyl-L-lysine</v>
          </cell>
        </row>
        <row r="927">
          <cell r="A927" t="str">
            <v>3ityr__L_c</v>
          </cell>
          <cell r="B927" t="str">
            <v>3ityr__L</v>
          </cell>
          <cell r="C927" t="str">
            <v>3-Iodo-L-tyrosine</v>
          </cell>
        </row>
        <row r="928">
          <cell r="A928" t="str">
            <v>3mldz_c</v>
          </cell>
          <cell r="B928" t="str">
            <v>3mldz</v>
          </cell>
          <cell r="C928" t="str">
            <v>3-Methylimidazole acetaldehyde</v>
          </cell>
        </row>
        <row r="929">
          <cell r="A929" t="str">
            <v>48dhoxquin_c</v>
          </cell>
          <cell r="B929" t="str">
            <v>48dhoxquin</v>
          </cell>
          <cell r="C929" t="str">
            <v>4,8-Dihydroxyquinoline</v>
          </cell>
        </row>
        <row r="930">
          <cell r="A930" t="str">
            <v>4tmeabutn_c</v>
          </cell>
          <cell r="B930" t="str">
            <v>4tmeabutn</v>
          </cell>
          <cell r="C930" t="str">
            <v>4-Trimethylammoniobutanoate</v>
          </cell>
        </row>
        <row r="931">
          <cell r="A931" t="str">
            <v>56dthm_c</v>
          </cell>
          <cell r="B931" t="str">
            <v>56dthm</v>
          </cell>
          <cell r="C931" t="str">
            <v>5,6-Dihydrothymine</v>
          </cell>
        </row>
        <row r="932">
          <cell r="A932" t="str">
            <v>5adtststeroneglc_c</v>
          </cell>
          <cell r="B932" t="str">
            <v>5adtststeroneglc</v>
          </cell>
          <cell r="C932" t="str">
            <v>5alpha-Dihydrotestosterone glucuronide</v>
          </cell>
        </row>
        <row r="933">
          <cell r="A933" t="str">
            <v>5dhf_c</v>
          </cell>
          <cell r="B933" t="str">
            <v>5dhf</v>
          </cell>
          <cell r="C933" t="str">
            <v>Pentaglutamyl folate (DHF)</v>
          </cell>
        </row>
        <row r="934">
          <cell r="A934" t="str">
            <v>5hoxnfkyn_c</v>
          </cell>
          <cell r="B934" t="str">
            <v>5hoxnfkyn</v>
          </cell>
          <cell r="C934" t="str">
            <v>5-Hydroxy-N-formylkynurenine</v>
          </cell>
        </row>
        <row r="935">
          <cell r="A935" t="str">
            <v>5htrp_c</v>
          </cell>
          <cell r="B935" t="str">
            <v>5htrp</v>
          </cell>
          <cell r="C935" t="str">
            <v>5-Hydroxy-L-tryptophan</v>
          </cell>
        </row>
        <row r="936">
          <cell r="A936" t="str">
            <v>6thf_c</v>
          </cell>
          <cell r="B936" t="str">
            <v>6thf</v>
          </cell>
          <cell r="C936" t="str">
            <v>Hexaglutamyl folate  (THF)</v>
          </cell>
        </row>
        <row r="937">
          <cell r="A937" t="str">
            <v>R6coa_hs_c</v>
          </cell>
          <cell r="B937" t="str">
            <v>R6coa_hs</v>
          </cell>
          <cell r="C937" t="str">
            <v>R group 6 Coenzyme A homo sapiens</v>
          </cell>
        </row>
        <row r="938">
          <cell r="A938" t="str">
            <v>Rtotalcrn_c</v>
          </cell>
          <cell r="B938" t="str">
            <v>Rtotalcrn</v>
          </cell>
          <cell r="C938" t="str">
            <v>Rtotalcrn c</v>
          </cell>
        </row>
        <row r="939">
          <cell r="A939" t="str">
            <v>Tyr_ggn_c</v>
          </cell>
          <cell r="B939" t="str">
            <v>Tyr_ggn</v>
          </cell>
          <cell r="C939" t="str">
            <v>Tyr-194 of apo-glycogenin protein (primer for glycogen synthesis)</v>
          </cell>
        </row>
        <row r="940">
          <cell r="A940" t="str">
            <v>acgal_c</v>
          </cell>
          <cell r="B940" t="str">
            <v>acgal</v>
          </cell>
          <cell r="C940" t="str">
            <v>N-Acetyl-D-galactosamine</v>
          </cell>
        </row>
        <row r="941">
          <cell r="A941" t="str">
            <v>acgalfucgalacgalfucgalacglcgal14acglcgalgluside_hs_c</v>
          </cell>
          <cell r="B941" t="str">
            <v>acgalfucgalacgalfucgalacglcgal14acglcgalgluside_hs</v>
          </cell>
          <cell r="C941" t="str">
            <v>Type IIIAb</v>
          </cell>
        </row>
        <row r="942">
          <cell r="A942" t="str">
            <v>acn13acngalgbside_hs_c</v>
          </cell>
          <cell r="B942" t="str">
            <v>acn13acngalgbside_hs</v>
          </cell>
          <cell r="C942" t="str">
            <v>Sialyl (1,3) sialyl (2,6) galactosylgloboside (homo sapiens)</v>
          </cell>
        </row>
        <row r="943">
          <cell r="A943" t="str">
            <v>acnamp_c</v>
          </cell>
          <cell r="B943" t="str">
            <v>acnamp</v>
          </cell>
          <cell r="C943" t="str">
            <v>N-Acetylneuraminate 9-phosphate</v>
          </cell>
        </row>
        <row r="944">
          <cell r="A944" t="str">
            <v>adpman_c</v>
          </cell>
          <cell r="B944" t="str">
            <v>adpman</v>
          </cell>
          <cell r="C944" t="str">
            <v>Adenosine-5'-Diphosphate-D-Mannose</v>
          </cell>
        </row>
        <row r="945">
          <cell r="A945" t="str">
            <v>adrn_c</v>
          </cell>
          <cell r="B945" t="str">
            <v>adrn</v>
          </cell>
          <cell r="C945" t="str">
            <v>Adrenic acid</v>
          </cell>
        </row>
        <row r="946">
          <cell r="A946" t="str">
            <v>ahandrostanglc_c</v>
          </cell>
          <cell r="B946" t="str">
            <v>ahandrostanglc</v>
          </cell>
          <cell r="C946" t="str">
            <v>Etiocholan-3alpha-ol-17-one 3-glucuronide</v>
          </cell>
        </row>
        <row r="947">
          <cell r="A947" t="str">
            <v>ak2g_hs_c</v>
          </cell>
          <cell r="B947" t="str">
            <v>ak2g_hs</v>
          </cell>
          <cell r="C947" t="str">
            <v>1-alkyl 2-acylglycerol</v>
          </cell>
        </row>
        <row r="948">
          <cell r="A948" t="str">
            <v>ak2lgchol_hs_c</v>
          </cell>
          <cell r="B948" t="str">
            <v>ak2lgchol_hs</v>
          </cell>
          <cell r="C948" t="str">
            <v>1-alkyl 2-lysoglycerol 3-phosphocholine</v>
          </cell>
        </row>
        <row r="949">
          <cell r="A949" t="str">
            <v>akdhap_hs_c</v>
          </cell>
          <cell r="B949" t="str">
            <v>akdhap_hs</v>
          </cell>
          <cell r="C949" t="str">
            <v>1-alkyldihydroxyacetone phosphate</v>
          </cell>
        </row>
        <row r="950">
          <cell r="A950" t="str">
            <v>apnnox_c</v>
          </cell>
          <cell r="B950" t="str">
            <v>apnnox</v>
          </cell>
          <cell r="C950" t="str">
            <v>Alpha-Pinene-oxide</v>
          </cell>
        </row>
        <row r="951">
          <cell r="A951" t="str">
            <v>apoC_Lys_c</v>
          </cell>
          <cell r="B951" t="str">
            <v>apoC_Lys</v>
          </cell>
          <cell r="C951" t="str">
            <v>Apocarboxylase (Lys residue)</v>
          </cell>
        </row>
        <row r="952">
          <cell r="A952" t="str">
            <v>arachdcrn_c</v>
          </cell>
          <cell r="B952" t="str">
            <v>arachdcrn</v>
          </cell>
          <cell r="C952" t="str">
            <v>C20:4 carnitine</v>
          </cell>
        </row>
        <row r="953">
          <cell r="A953" t="str">
            <v>asp__D_c</v>
          </cell>
          <cell r="B953" t="str">
            <v>asp__D</v>
          </cell>
          <cell r="C953" t="str">
            <v>D-Aspartate</v>
          </cell>
        </row>
        <row r="954">
          <cell r="A954" t="str">
            <v>bilglcur_c</v>
          </cell>
          <cell r="B954" t="str">
            <v>bilglcur</v>
          </cell>
          <cell r="C954" t="str">
            <v>Bilirubin monoglucuronide</v>
          </cell>
        </row>
        <row r="955">
          <cell r="A955" t="str">
            <v>c226crn_c</v>
          </cell>
          <cell r="B955" t="str">
            <v>c226crn</v>
          </cell>
          <cell r="C955" t="str">
            <v>Cervonyl carnitine</v>
          </cell>
        </row>
        <row r="956">
          <cell r="A956" t="str">
            <v>carn_c</v>
          </cell>
          <cell r="B956" t="str">
            <v>carn</v>
          </cell>
          <cell r="C956" t="str">
            <v>L-Carnosine</v>
          </cell>
        </row>
        <row r="957">
          <cell r="A957" t="str">
            <v>cca_d3_c</v>
          </cell>
          <cell r="B957" t="str">
            <v>cca_d3</v>
          </cell>
          <cell r="C957" t="str">
            <v>Calcitroic acid (D3)</v>
          </cell>
        </row>
        <row r="958">
          <cell r="A958" t="str">
            <v>chito2pdol__L_c</v>
          </cell>
          <cell r="B958" t="str">
            <v>chito2pdol__L</v>
          </cell>
          <cell r="C958" t="str">
            <v>N,N'-Diacetylchitobiosyldiphosphodolichol, human liver homolog</v>
          </cell>
        </row>
        <row r="959">
          <cell r="A959" t="str">
            <v>chito2pdol_U_c</v>
          </cell>
          <cell r="B959" t="str">
            <v>chito2pdol_U</v>
          </cell>
          <cell r="C959" t="str">
            <v>N,N'-Diacetylchitobiosyldiphosphodolichol, human uterine homolog</v>
          </cell>
        </row>
        <row r="960">
          <cell r="A960" t="str">
            <v>chsterols_c</v>
          </cell>
          <cell r="B960" t="str">
            <v>chsterols</v>
          </cell>
          <cell r="C960" t="str">
            <v>Cholesterol sulfate</v>
          </cell>
        </row>
        <row r="961">
          <cell r="A961" t="str">
            <v>cmp2amep_c</v>
          </cell>
          <cell r="B961" t="str">
            <v>cmp2amep</v>
          </cell>
          <cell r="C961" t="str">
            <v>CMP-2-aminoethylphosphonate</v>
          </cell>
        </row>
        <row r="962">
          <cell r="A962" t="str">
            <v>coumarin_c</v>
          </cell>
          <cell r="B962" t="str">
            <v>coumarin</v>
          </cell>
          <cell r="C962" t="str">
            <v>Coumarin; 2H-1-Benzopyran-2-one</v>
          </cell>
        </row>
        <row r="963">
          <cell r="A963" t="str">
            <v>crm_hs_c</v>
          </cell>
          <cell r="B963" t="str">
            <v>crm_hs</v>
          </cell>
          <cell r="C963" t="str">
            <v>Ceramide (homo sapiens)</v>
          </cell>
        </row>
        <row r="964">
          <cell r="A964" t="str">
            <v>crmp_hs_c</v>
          </cell>
          <cell r="B964" t="str">
            <v>crmp_hs</v>
          </cell>
          <cell r="C964" t="str">
            <v>Ceramide 1-phosphate</v>
          </cell>
        </row>
        <row r="965">
          <cell r="A965" t="str">
            <v>crvnc_c</v>
          </cell>
          <cell r="B965" t="str">
            <v>crvnc</v>
          </cell>
          <cell r="C965" t="str">
            <v>Cervonic acid, C22:6 n-3</v>
          </cell>
        </row>
        <row r="966">
          <cell r="A966" t="str">
            <v>cysam_c</v>
          </cell>
          <cell r="B966" t="str">
            <v>cysam</v>
          </cell>
          <cell r="C966" t="str">
            <v>Cysteamine C2H8NS</v>
          </cell>
        </row>
        <row r="967">
          <cell r="A967" t="str">
            <v>dedolp_U_c</v>
          </cell>
          <cell r="B967" t="str">
            <v>dedolp_U</v>
          </cell>
          <cell r="C967" t="str">
            <v>Dehydrodolichol phosphate, human uterine homolog</v>
          </cell>
        </row>
        <row r="968">
          <cell r="A968" t="str">
            <v>dlnlcg_c</v>
          </cell>
          <cell r="B968" t="str">
            <v>dlnlcg</v>
          </cell>
          <cell r="C968" t="str">
            <v>Dihomo-gamma-linolenic acid (n-6)</v>
          </cell>
        </row>
        <row r="969">
          <cell r="A969" t="str">
            <v>dmnoncrn_c</v>
          </cell>
          <cell r="B969" t="str">
            <v>dmnoncrn</v>
          </cell>
          <cell r="C969" t="str">
            <v>4,8 dimethylnonanoyl carnitine</v>
          </cell>
        </row>
        <row r="970">
          <cell r="A970" t="str">
            <v>dolichol_U_c</v>
          </cell>
          <cell r="B970" t="str">
            <v>dolichol_U</v>
          </cell>
          <cell r="C970" t="str">
            <v>Dolichol, human uterine homolog</v>
          </cell>
        </row>
        <row r="971">
          <cell r="A971" t="str">
            <v>dopaqn_c</v>
          </cell>
          <cell r="B971" t="str">
            <v>dopaqn</v>
          </cell>
          <cell r="C971" t="str">
            <v>L-dopaquinone</v>
          </cell>
        </row>
        <row r="972">
          <cell r="A972" t="str">
            <v>eryth_c</v>
          </cell>
          <cell r="B972" t="str">
            <v>eryth</v>
          </cell>
          <cell r="C972" t="str">
            <v>L-Erythrulose</v>
          </cell>
        </row>
        <row r="973">
          <cell r="A973" t="str">
            <v>estriol_c</v>
          </cell>
          <cell r="B973" t="str">
            <v>estriol</v>
          </cell>
          <cell r="C973" t="str">
            <v>Estriol c</v>
          </cell>
        </row>
        <row r="974">
          <cell r="A974" t="str">
            <v>fucacngal14acglcgalgluside_hs_c</v>
          </cell>
          <cell r="B974" t="str">
            <v>fucacngal14acglcgalgluside_hs</v>
          </cell>
          <cell r="C974" t="str">
            <v>IV3-a-NeuAc,III3-a-Fuc-nLc4Cer</v>
          </cell>
        </row>
        <row r="975">
          <cell r="A975" t="str">
            <v>fucacngalacglcgalgluside_hs_c</v>
          </cell>
          <cell r="B975" t="str">
            <v>fucacngalacglcgalgluside_hs</v>
          </cell>
          <cell r="C975" t="str">
            <v>IV3-a-Neu5Ac,III4-a-Fuc-Lc4Cer</v>
          </cell>
        </row>
        <row r="976">
          <cell r="A976" t="str">
            <v>fucfucgalacglcgalgluside_hs_c</v>
          </cell>
          <cell r="B976" t="str">
            <v>fucfucgalacglcgalgluside_hs</v>
          </cell>
          <cell r="C976" t="str">
            <v>Leb glycolipid</v>
          </cell>
        </row>
        <row r="977">
          <cell r="A977" t="str">
            <v>fucgalfucgalacglcgalgluside_hs_c</v>
          </cell>
          <cell r="B977" t="str">
            <v>fucgalfucgalacglcgalgluside_hs</v>
          </cell>
          <cell r="C977" t="str">
            <v>(Gal)3 (Glc)1 (GlcNAc)1 (LFuc)2 (Cer)1</v>
          </cell>
        </row>
        <row r="978">
          <cell r="A978" t="str">
            <v>galfuc12gal14acglcgalgluside_hs_c</v>
          </cell>
          <cell r="B978" t="str">
            <v>galfuc12gal14acglcgalgluside_hs</v>
          </cell>
          <cell r="C978" t="str">
            <v>(Gal)3 (Glc)1 (GlcNAc)1 (LFuc)1 (Cer)1</v>
          </cell>
        </row>
        <row r="979">
          <cell r="A979" t="str">
            <v>galgalfucfucgalacglcgalacglcgal14acglcgalgluside_hs_c</v>
          </cell>
          <cell r="B979" t="str">
            <v>galgalfucfucgalacglcgalacglcgal14acglcgalgluside_hs</v>
          </cell>
          <cell r="C979" t="str">
            <v>(Gal)6 (Glc)1 (GlcNAc)3 (LFuc)2 (Cer)1</v>
          </cell>
        </row>
        <row r="980">
          <cell r="A980" t="str">
            <v>galgalgalthcrm_hs_c</v>
          </cell>
          <cell r="B980" t="str">
            <v>galgalgalthcrm_hs</v>
          </cell>
          <cell r="C980" t="str">
            <v>Gal-Gal-Gal-Gal-Gal-Glc-Cer (homo sapiens)</v>
          </cell>
        </row>
        <row r="981">
          <cell r="A981" t="str">
            <v>gchola_c</v>
          </cell>
          <cell r="B981" t="str">
            <v>gchola</v>
          </cell>
          <cell r="C981" t="str">
            <v>Glycocholate</v>
          </cell>
        </row>
        <row r="982">
          <cell r="A982" t="str">
            <v>glcur1p_c</v>
          </cell>
          <cell r="B982" t="str">
            <v>glcur1p</v>
          </cell>
          <cell r="C982" t="str">
            <v>D-Glucuronate 1-phosphate</v>
          </cell>
        </row>
        <row r="983">
          <cell r="A983" t="str">
            <v>glygn3_c</v>
          </cell>
          <cell r="B983" t="str">
            <v>glygn3</v>
          </cell>
          <cell r="C983" t="str">
            <v>Glycogen, structure 3 (glycogenin-7[1,4-Glc])</v>
          </cell>
        </row>
        <row r="984">
          <cell r="A984" t="str">
            <v>gq1b_hs_c</v>
          </cell>
          <cell r="B984" t="str">
            <v>gq1b_hs</v>
          </cell>
          <cell r="C984" t="str">
            <v>GQ1b (homo sapiens)</v>
          </cell>
        </row>
        <row r="985">
          <cell r="A985" t="str">
            <v>hdcecrn_c</v>
          </cell>
          <cell r="B985" t="str">
            <v>hdcecrn</v>
          </cell>
          <cell r="C985" t="str">
            <v>Hexadecenoyl carnitine</v>
          </cell>
        </row>
        <row r="986">
          <cell r="A986" t="str">
            <v>hista_c</v>
          </cell>
          <cell r="B986" t="str">
            <v>hista</v>
          </cell>
          <cell r="C986" t="str">
            <v>Histamine extracellular</v>
          </cell>
        </row>
        <row r="987">
          <cell r="A987" t="str">
            <v>hpdcacoa_c</v>
          </cell>
          <cell r="B987" t="str">
            <v>hpdcacoa</v>
          </cell>
          <cell r="C987" t="str">
            <v>Heptadecanoyl coa</v>
          </cell>
        </row>
        <row r="988">
          <cell r="A988" t="str">
            <v>idour_c</v>
          </cell>
          <cell r="B988" t="str">
            <v>idour</v>
          </cell>
          <cell r="C988" t="str">
            <v>L-Iduronate</v>
          </cell>
        </row>
        <row r="989">
          <cell r="A989" t="str">
            <v>l2n2m2mn_c</v>
          </cell>
          <cell r="B989" t="str">
            <v>l2n2m2mn</v>
          </cell>
          <cell r="C989" t="str">
            <v>De-Fuc, reducing GlcNAc removed, de-Sia form of PA6 (w/o peptide linkage)</v>
          </cell>
        </row>
        <row r="990">
          <cell r="A990" t="str">
            <v>leuktrB4_c</v>
          </cell>
          <cell r="B990" t="str">
            <v>leuktrB4</v>
          </cell>
          <cell r="C990" t="str">
            <v>Leukotriene B4(1-)</v>
          </cell>
        </row>
        <row r="991">
          <cell r="A991" t="str">
            <v>leuktrE4_c</v>
          </cell>
          <cell r="B991" t="str">
            <v>leuktrE4</v>
          </cell>
          <cell r="C991" t="str">
            <v>Leukotriene E4 cytosol</v>
          </cell>
        </row>
        <row r="992">
          <cell r="A992" t="str">
            <v>lgnc_c</v>
          </cell>
          <cell r="B992" t="str">
            <v>lgnc</v>
          </cell>
          <cell r="C992" t="str">
            <v>Lignoceric acid</v>
          </cell>
        </row>
        <row r="993">
          <cell r="A993" t="str">
            <v>limnen_c</v>
          </cell>
          <cell r="B993" t="str">
            <v>limnen</v>
          </cell>
          <cell r="C993" t="str">
            <v>Limnen c</v>
          </cell>
        </row>
        <row r="994">
          <cell r="A994" t="str">
            <v>lneldccoa_c</v>
          </cell>
          <cell r="B994" t="str">
            <v>lneldccoa</v>
          </cell>
          <cell r="C994" t="str">
            <v>Linoelaidyl coenzyme A</v>
          </cell>
        </row>
        <row r="995">
          <cell r="A995" t="str">
            <v>lnlc_c</v>
          </cell>
          <cell r="B995" t="str">
            <v>lnlc</v>
          </cell>
          <cell r="C995" t="str">
            <v>Linoleic acid (all cis C18:2) n-6</v>
          </cell>
        </row>
        <row r="996">
          <cell r="A996" t="str">
            <v>lnlccoa_c</v>
          </cell>
          <cell r="B996" t="str">
            <v>lnlccoa</v>
          </cell>
          <cell r="C996" t="str">
            <v>Linoleic coenzyme A</v>
          </cell>
        </row>
        <row r="997">
          <cell r="A997" t="str">
            <v>lnlnca_c</v>
          </cell>
          <cell r="B997" t="str">
            <v>lnlnca</v>
          </cell>
          <cell r="C997" t="str">
            <v>Alpha-Linolenic acid, C18:3, n-3</v>
          </cell>
        </row>
        <row r="998">
          <cell r="A998" t="str">
            <v>lnlncacoa_c</v>
          </cell>
          <cell r="B998" t="str">
            <v>lnlncacoa</v>
          </cell>
          <cell r="C998" t="str">
            <v>Alpha-Linolenoyl-CoA</v>
          </cell>
        </row>
        <row r="999">
          <cell r="A999" t="str">
            <v>lnlncgcoa_c</v>
          </cell>
          <cell r="B999" t="str">
            <v>lnlncgcoa</v>
          </cell>
          <cell r="C999" t="str">
            <v>Gamma-linolenoyl-CoA</v>
          </cell>
        </row>
        <row r="1000">
          <cell r="A1000" t="str">
            <v>lum3_c</v>
          </cell>
          <cell r="B1000" t="str">
            <v>lum3</v>
          </cell>
          <cell r="C1000" t="str">
            <v>Lumisterol 3</v>
          </cell>
        </row>
        <row r="1001">
          <cell r="A1001" t="str">
            <v>m1mpdol_U_c</v>
          </cell>
          <cell r="B1001" t="str">
            <v>m1mpdol_U</v>
          </cell>
          <cell r="C1001" t="str">
            <v>Alpha-D-mannosyl-beta-D-mannosyl-diacylchitobiosyldiphosphodolichol, human uterine homolog</v>
          </cell>
        </row>
        <row r="1002">
          <cell r="A1002" t="str">
            <v>m2mpdol_U_c</v>
          </cell>
          <cell r="B1002" t="str">
            <v>m2mpdol_U</v>
          </cell>
          <cell r="C1002" t="str">
            <v>(alpha-D-mannosyl)2-beta-D-mannosyl-diacetylchitobiosyldiphosphodolichol, human uterine homolog</v>
          </cell>
        </row>
        <row r="1003">
          <cell r="A1003" t="str">
            <v>melatn_c</v>
          </cell>
          <cell r="B1003" t="str">
            <v>melatn</v>
          </cell>
          <cell r="C1003" t="str">
            <v>Melatn c</v>
          </cell>
        </row>
        <row r="1004">
          <cell r="A1004" t="str">
            <v>mi13p_c</v>
          </cell>
          <cell r="B1004" t="str">
            <v>mi13p</v>
          </cell>
          <cell r="C1004" t="str">
            <v>1D-myo-Inositol 1,3-bisphosphate</v>
          </cell>
        </row>
        <row r="1005">
          <cell r="A1005" t="str">
            <v>mn_c</v>
          </cell>
          <cell r="B1005" t="str">
            <v>mn</v>
          </cell>
          <cell r="C1005" t="str">
            <v>Beta-1,4-mannose-N-acetylglucosamine</v>
          </cell>
        </row>
        <row r="1006">
          <cell r="A1006" t="str">
            <v>mpdol__L_c</v>
          </cell>
          <cell r="B1006" t="str">
            <v>mpdol__L</v>
          </cell>
          <cell r="C1006" t="str">
            <v>Beta-D-Mannosyldiacetylchitobiosyldiphosphodolichol, human liver homolog</v>
          </cell>
        </row>
        <row r="1007">
          <cell r="A1007" t="str">
            <v>naglc2p__L_c</v>
          </cell>
          <cell r="B1007" t="str">
            <v>naglc2p__L</v>
          </cell>
          <cell r="C1007" t="str">
            <v>N-Acetyl-D-glucosaminyldiphosphodolichol, human liver homolog</v>
          </cell>
        </row>
        <row r="1008">
          <cell r="A1008" t="str">
            <v>nifedipine_c</v>
          </cell>
          <cell r="B1008" t="str">
            <v>nifedipine</v>
          </cell>
          <cell r="C1008" t="str">
            <v>Nifedipine c</v>
          </cell>
        </row>
        <row r="1009">
          <cell r="A1009" t="str">
            <v>nrpphr_c</v>
          </cell>
          <cell r="B1009" t="str">
            <v>nrpphr</v>
          </cell>
          <cell r="C1009" t="str">
            <v>Norepinephrine</v>
          </cell>
        </row>
        <row r="1010">
          <cell r="A1010" t="str">
            <v>odecrn_c</v>
          </cell>
          <cell r="B1010" t="str">
            <v>odecrn</v>
          </cell>
          <cell r="C1010" t="str">
            <v>Octadecenoyl carnitine</v>
          </cell>
        </row>
        <row r="1011">
          <cell r="A1011" t="str">
            <v>omeprazole_c</v>
          </cell>
          <cell r="B1011" t="str">
            <v>omeprazole</v>
          </cell>
          <cell r="C1011" t="str">
            <v>Omeprazole c</v>
          </cell>
        </row>
        <row r="1012">
          <cell r="A1012" t="str">
            <v>pchol_hs_c</v>
          </cell>
          <cell r="B1012" t="str">
            <v>pchol_hs</v>
          </cell>
          <cell r="C1012" t="str">
            <v>Phosphatidylcholine (homo sapiens)</v>
          </cell>
        </row>
        <row r="1013">
          <cell r="A1013" t="str">
            <v>pcrn_c</v>
          </cell>
          <cell r="B1013" t="str">
            <v>pcrn</v>
          </cell>
          <cell r="C1013" t="str">
            <v>Propionyl-carnitine</v>
          </cell>
        </row>
        <row r="1014">
          <cell r="A1014" t="str">
            <v>peracd_c</v>
          </cell>
          <cell r="B1014" t="str">
            <v>peracd</v>
          </cell>
          <cell r="C1014" t="str">
            <v>Perillic acid</v>
          </cell>
        </row>
        <row r="1015">
          <cell r="A1015" t="str">
            <v>phyt_c</v>
          </cell>
          <cell r="B1015" t="str">
            <v>phyt</v>
          </cell>
          <cell r="C1015" t="str">
            <v>Phytanic acid</v>
          </cell>
        </row>
        <row r="1016">
          <cell r="A1016" t="str">
            <v>pmtcrn_c</v>
          </cell>
          <cell r="B1016" t="str">
            <v>pmtcrn</v>
          </cell>
          <cell r="C1016" t="str">
            <v>L-Palmitoylcarnitine</v>
          </cell>
        </row>
        <row r="1017">
          <cell r="A1017" t="str">
            <v>prgnlone_c</v>
          </cell>
          <cell r="B1017" t="str">
            <v>prgnlone</v>
          </cell>
          <cell r="C1017" t="str">
            <v>Prgnlone c</v>
          </cell>
        </row>
        <row r="1018">
          <cell r="A1018" t="str">
            <v>prgstrn_c</v>
          </cell>
          <cell r="B1018" t="str">
            <v>prgstrn</v>
          </cell>
          <cell r="C1018" t="str">
            <v>Prgstrn c</v>
          </cell>
        </row>
        <row r="1019">
          <cell r="A1019" t="str">
            <v>prostgd2_c</v>
          </cell>
          <cell r="B1019" t="str">
            <v>prostgd2</v>
          </cell>
          <cell r="C1019" t="str">
            <v>Prostaglandin D2</v>
          </cell>
        </row>
        <row r="1020">
          <cell r="A1020" t="str">
            <v>retinal_cis_9_c</v>
          </cell>
          <cell r="B1020" t="str">
            <v>retinal_cis_9</v>
          </cell>
          <cell r="C1020" t="str">
            <v>Cis-9-retinal</v>
          </cell>
        </row>
        <row r="1021">
          <cell r="A1021" t="str">
            <v>retinol_cis_11_c</v>
          </cell>
          <cell r="B1021" t="str">
            <v>retinol_cis_11</v>
          </cell>
          <cell r="C1021" t="str">
            <v>11-cis-Retinol</v>
          </cell>
        </row>
        <row r="1022">
          <cell r="A1022" t="str">
            <v>retncoa_c</v>
          </cell>
          <cell r="B1022" t="str">
            <v>retncoa</v>
          </cell>
          <cell r="C1022" t="str">
            <v>Retncoa c</v>
          </cell>
        </row>
        <row r="1023">
          <cell r="A1023" t="str">
            <v>s2l2n2m2mn_c</v>
          </cell>
          <cell r="B1023" t="str">
            <v>s2l2n2m2mn</v>
          </cell>
          <cell r="C1023" t="str">
            <v>De-Fuc, reducing GlcNAc removed form of PA6 (w/o peptide linkage)</v>
          </cell>
        </row>
        <row r="1024">
          <cell r="A1024" t="str">
            <v>selhcys_c</v>
          </cell>
          <cell r="B1024" t="str">
            <v>selhcys</v>
          </cell>
          <cell r="C1024" t="str">
            <v>Selenohomocysteine</v>
          </cell>
        </row>
        <row r="1025">
          <cell r="A1025" t="str">
            <v>spc_hs_c</v>
          </cell>
          <cell r="B1025" t="str">
            <v>spc_hs</v>
          </cell>
          <cell r="C1025" t="str">
            <v>Sphingosylphosphorylcholine (homo sapiens)</v>
          </cell>
        </row>
        <row r="1026">
          <cell r="A1026" t="str">
            <v>tag__D_c</v>
          </cell>
          <cell r="B1026" t="str">
            <v>tag__D</v>
          </cell>
          <cell r="C1026" t="str">
            <v>D-Tagatose</v>
          </cell>
        </row>
        <row r="1027">
          <cell r="A1027" t="str">
            <v>tetpent3_c</v>
          </cell>
          <cell r="B1027" t="str">
            <v>tetpent3</v>
          </cell>
          <cell r="C1027" t="str">
            <v>Tetracosapentaenoic acid, n-3</v>
          </cell>
        </row>
        <row r="1028">
          <cell r="A1028" t="str">
            <v>tetpent3crn_c</v>
          </cell>
          <cell r="B1028" t="str">
            <v>tetpent3crn</v>
          </cell>
          <cell r="C1028" t="str">
            <v>Tetracosapentaenoyl carnitine</v>
          </cell>
        </row>
        <row r="1029">
          <cell r="A1029" t="str">
            <v>thbpt4acam_c</v>
          </cell>
          <cell r="B1029" t="str">
            <v>thbpt4acam</v>
          </cell>
          <cell r="C1029" t="str">
            <v>Tetrahydrobiopterin-4a-carbinolamine</v>
          </cell>
        </row>
        <row r="1030">
          <cell r="A1030" t="str">
            <v>tolbutamide_c</v>
          </cell>
          <cell r="B1030" t="str">
            <v>tolbutamide</v>
          </cell>
          <cell r="C1030" t="str">
            <v>Tolbutamide c</v>
          </cell>
        </row>
        <row r="1031">
          <cell r="A1031" t="str">
            <v>tststerone_c</v>
          </cell>
          <cell r="B1031" t="str">
            <v>tststerone</v>
          </cell>
          <cell r="C1031" t="str">
            <v>Tststerone c</v>
          </cell>
        </row>
        <row r="1032">
          <cell r="A1032" t="str">
            <v>whhdca_c</v>
          </cell>
          <cell r="B1032" t="str">
            <v>whhdca</v>
          </cell>
          <cell r="C1032" t="str">
            <v>Omega hydroxy hexadecanoate (n-C16:0)</v>
          </cell>
        </row>
        <row r="1033">
          <cell r="A1033" t="str">
            <v>xoldioloneh_c</v>
          </cell>
          <cell r="B1033" t="str">
            <v>xoldioloneh</v>
          </cell>
          <cell r="C1033" t="str">
            <v>7alpha,12alpha-Dihydroxy-5beta-cholestan-3-one</v>
          </cell>
        </row>
        <row r="1034">
          <cell r="A1034" t="str">
            <v>xoltri27_c</v>
          </cell>
          <cell r="B1034" t="str">
            <v>xoltri27</v>
          </cell>
          <cell r="C1034" t="str">
            <v>7-alpha,27-Dihydroxycholesterol</v>
          </cell>
        </row>
        <row r="1035">
          <cell r="A1035" t="str">
            <v>xu1p__D_c</v>
          </cell>
          <cell r="B1035" t="str">
            <v>xu1p__D</v>
          </cell>
          <cell r="C1035" t="str">
            <v>D-Xylulose 1-phosphate</v>
          </cell>
        </row>
        <row r="1036">
          <cell r="A1036" t="str">
            <v>xylnt_c</v>
          </cell>
          <cell r="B1036" t="str">
            <v>xylnt</v>
          </cell>
          <cell r="C1036" t="str">
            <v>L-Xylonate</v>
          </cell>
        </row>
        <row r="1037">
          <cell r="A1037" t="str">
            <v>10fthf_e</v>
          </cell>
          <cell r="B1037" t="str">
            <v>10fthf</v>
          </cell>
          <cell r="C1037" t="str">
            <v>10-Formyltetrahydrofolate</v>
          </cell>
        </row>
        <row r="1038">
          <cell r="A1038" t="str">
            <v>10fthf7glu_e</v>
          </cell>
          <cell r="B1038" t="str">
            <v>10fthf7glu</v>
          </cell>
          <cell r="C1038" t="str">
            <v>10-formyltetrahydrofolate-[Glu](7)</v>
          </cell>
        </row>
        <row r="1039">
          <cell r="A1039" t="str">
            <v>13_cis_retnglc_e</v>
          </cell>
          <cell r="B1039" t="str">
            <v>13_cis_retnglc</v>
          </cell>
          <cell r="C1039" t="str">
            <v>13-cis-retinoyl glucuronide</v>
          </cell>
        </row>
        <row r="1040">
          <cell r="A1040" t="str">
            <v>34dhphe_e</v>
          </cell>
          <cell r="B1040" t="str">
            <v>34dhphe</v>
          </cell>
          <cell r="C1040" t="str">
            <v>3,4-Dihydroxy-L-phenylalanine</v>
          </cell>
        </row>
        <row r="1041">
          <cell r="A1041" t="str">
            <v>3mlda_e</v>
          </cell>
          <cell r="B1041" t="str">
            <v>3mlda</v>
          </cell>
          <cell r="C1041" t="str">
            <v>3-Methylimidazoleacetic acid</v>
          </cell>
        </row>
        <row r="1042">
          <cell r="A1042" t="str">
            <v>4hdebrisoquine_e</v>
          </cell>
          <cell r="B1042" t="str">
            <v>4hdebrisoquine</v>
          </cell>
          <cell r="C1042" t="str">
            <v>4hdebrisoquine c</v>
          </cell>
        </row>
        <row r="1043">
          <cell r="A1043" t="str">
            <v>4mptnl_e</v>
          </cell>
          <cell r="B1043" t="str">
            <v>4mptnl</v>
          </cell>
          <cell r="C1043" t="str">
            <v>4-Methylpentanal</v>
          </cell>
        </row>
        <row r="1044">
          <cell r="A1044" t="str">
            <v>4pyrdx_e</v>
          </cell>
          <cell r="B1044" t="str">
            <v>4pyrdx</v>
          </cell>
          <cell r="C1044" t="str">
            <v>4-Pyridoxate</v>
          </cell>
        </row>
        <row r="1045">
          <cell r="A1045" t="str">
            <v>5adtststerone_e</v>
          </cell>
          <cell r="B1045" t="str">
            <v>5adtststerone</v>
          </cell>
          <cell r="C1045" t="str">
            <v>5alpha-Dihydrotestosterone</v>
          </cell>
        </row>
        <row r="1046">
          <cell r="A1046" t="str">
            <v>6dhf_e</v>
          </cell>
          <cell r="B1046" t="str">
            <v>6dhf</v>
          </cell>
          <cell r="C1046" t="str">
            <v>Haxglutamyl folate (DHF)</v>
          </cell>
        </row>
        <row r="1047">
          <cell r="A1047" t="str">
            <v>Rtotal_e</v>
          </cell>
          <cell r="B1047" t="str">
            <v>Rtotal</v>
          </cell>
          <cell r="C1047" t="str">
            <v>Rtotal c</v>
          </cell>
        </row>
        <row r="1048">
          <cell r="A1048" t="str">
            <v>Rtotal2_e</v>
          </cell>
          <cell r="B1048" t="str">
            <v>Rtotal2</v>
          </cell>
          <cell r="C1048" t="str">
            <v>R total 2 position</v>
          </cell>
        </row>
        <row r="1049">
          <cell r="A1049" t="str">
            <v>acgalfucgalacgalfuc12gal14acglcgalgluside_hs_e</v>
          </cell>
          <cell r="B1049" t="str">
            <v>acgalfucgalacgalfuc12gal14acglcgalgluside_hs</v>
          </cell>
          <cell r="C1049" t="str">
            <v>Type IIIA glycolipid</v>
          </cell>
        </row>
        <row r="1050">
          <cell r="A1050" t="str">
            <v>acnacngal14acglcgalgluside_hs_e</v>
          </cell>
          <cell r="B1050" t="str">
            <v>acnacngal14acglcgalgluside_hs</v>
          </cell>
          <cell r="C1050" t="str">
            <v>3',8'-LD1</v>
          </cell>
        </row>
        <row r="1051">
          <cell r="A1051" t="str">
            <v>andrstrn_e</v>
          </cell>
          <cell r="B1051" t="str">
            <v>andrstrn</v>
          </cell>
          <cell r="C1051" t="str">
            <v>Andrstrn c</v>
          </cell>
        </row>
        <row r="1052">
          <cell r="A1052" t="str">
            <v>antipyrene_e</v>
          </cell>
          <cell r="B1052" t="str">
            <v>antipyrene</v>
          </cell>
          <cell r="C1052" t="str">
            <v>Antipyrene c</v>
          </cell>
        </row>
        <row r="1053">
          <cell r="A1053" t="str">
            <v>appnn_e</v>
          </cell>
          <cell r="B1053" t="str">
            <v>appnn</v>
          </cell>
          <cell r="C1053" t="str">
            <v>(+)-alpha-Pinene</v>
          </cell>
        </row>
        <row r="1054">
          <cell r="A1054" t="str">
            <v>biocyt_e</v>
          </cell>
          <cell r="B1054" t="str">
            <v>biocyt</v>
          </cell>
          <cell r="C1054" t="str">
            <v>Biocyt c</v>
          </cell>
        </row>
        <row r="1055">
          <cell r="A1055" t="str">
            <v>cholate_e</v>
          </cell>
          <cell r="B1055" t="str">
            <v>cholate</v>
          </cell>
          <cell r="C1055" t="str">
            <v>Cholate c</v>
          </cell>
        </row>
        <row r="1056">
          <cell r="A1056" t="str">
            <v>chsterol_e</v>
          </cell>
          <cell r="B1056" t="str">
            <v>chsterol</v>
          </cell>
          <cell r="C1056" t="str">
            <v>Chsterol c</v>
          </cell>
        </row>
        <row r="1057">
          <cell r="A1057" t="str">
            <v>creat_e</v>
          </cell>
          <cell r="B1057" t="str">
            <v>creat</v>
          </cell>
          <cell r="C1057" t="str">
            <v>Creatine cytosol</v>
          </cell>
        </row>
        <row r="1058">
          <cell r="A1058" t="str">
            <v>dgchol_e</v>
          </cell>
          <cell r="B1058" t="str">
            <v>dgchol</v>
          </cell>
          <cell r="C1058" t="str">
            <v>Chenodeoxyglycocholate</v>
          </cell>
        </row>
        <row r="1059">
          <cell r="A1059" t="str">
            <v>dhdascb_e</v>
          </cell>
          <cell r="B1059" t="str">
            <v>dhdascb</v>
          </cell>
          <cell r="C1059" t="str">
            <v>Dehydroascorbate</v>
          </cell>
        </row>
        <row r="1060">
          <cell r="A1060" t="str">
            <v>dheas_e</v>
          </cell>
          <cell r="B1060" t="str">
            <v>dheas</v>
          </cell>
          <cell r="C1060" t="str">
            <v>Dehydroepiandrosterone sulfate</v>
          </cell>
        </row>
        <row r="1061">
          <cell r="A1061" t="str">
            <v>digalsgalside_hs_e</v>
          </cell>
          <cell r="B1061" t="str">
            <v>digalsgalside_hs</v>
          </cell>
          <cell r="C1061" t="str">
            <v>Digalactosylceramidesulfate</v>
          </cell>
        </row>
        <row r="1062">
          <cell r="A1062" t="str">
            <v>ebastine_e</v>
          </cell>
          <cell r="B1062" t="str">
            <v>ebastine</v>
          </cell>
          <cell r="C1062" t="str">
            <v>Ebastine c</v>
          </cell>
        </row>
        <row r="1063">
          <cell r="A1063" t="str">
            <v>elaid_e</v>
          </cell>
          <cell r="B1063" t="str">
            <v>elaid</v>
          </cell>
          <cell r="C1063" t="str">
            <v>Elaidic acid</v>
          </cell>
        </row>
        <row r="1064">
          <cell r="A1064" t="str">
            <v>estradiol_e</v>
          </cell>
          <cell r="B1064" t="str">
            <v>estradiol</v>
          </cell>
          <cell r="C1064" t="str">
            <v>Estradiol c</v>
          </cell>
        </row>
        <row r="1065">
          <cell r="A1065" t="str">
            <v>estriolglc_e</v>
          </cell>
          <cell r="B1065" t="str">
            <v>estriolglc</v>
          </cell>
          <cell r="C1065" t="str">
            <v>16-Glucuronide-estriol</v>
          </cell>
        </row>
        <row r="1066">
          <cell r="A1066" t="str">
            <v>estroneglc_e</v>
          </cell>
          <cell r="B1066" t="str">
            <v>estroneglc</v>
          </cell>
          <cell r="C1066" t="str">
            <v>Estrone 3-glucosiduronic acid</v>
          </cell>
        </row>
        <row r="1067">
          <cell r="A1067" t="str">
            <v>fucfuc132galacglcgal14acglcgalgluside_hs_e</v>
          </cell>
          <cell r="B1067" t="str">
            <v>fucfuc132galacglcgal14acglcgalgluside_hs</v>
          </cell>
          <cell r="C1067" t="str">
            <v>V3Fuc,III3Fuc-nLc6Cer</v>
          </cell>
        </row>
        <row r="1068">
          <cell r="A1068" t="str">
            <v>fucfucfucgalacglcgal14acglcgalgluside_hs_e</v>
          </cell>
          <cell r="B1068" t="str">
            <v>fucfucfucgalacglcgal14acglcgalgluside_hs</v>
          </cell>
          <cell r="C1068" t="str">
            <v>(Gal)3 (Glc)1 (GlcNAc)2 (LFuc)3 (Cer)1</v>
          </cell>
        </row>
        <row r="1069">
          <cell r="A1069" t="str">
            <v>fucgal14acglcgalgluside_hs_e</v>
          </cell>
          <cell r="B1069" t="str">
            <v>fucgal14acglcgalgluside_hs</v>
          </cell>
          <cell r="C1069" t="str">
            <v>Lacto-N-fucopentaosyl III ceramide</v>
          </cell>
        </row>
        <row r="1070">
          <cell r="A1070" t="str">
            <v>fucgalgbside_hs_e</v>
          </cell>
          <cell r="B1070" t="str">
            <v>fucgalgbside_hs</v>
          </cell>
          <cell r="C1070" t="str">
            <v>Fucosyl galactosylgloboside (homo sapiens)</v>
          </cell>
        </row>
        <row r="1071">
          <cell r="A1071" t="str">
            <v>gbside_hs_e</v>
          </cell>
          <cell r="B1071" t="str">
            <v>gbside_hs</v>
          </cell>
          <cell r="C1071" t="str">
            <v>Globoside (homo sapiens)</v>
          </cell>
        </row>
        <row r="1072">
          <cell r="A1072" t="str">
            <v>gd1b2_hs_e</v>
          </cell>
          <cell r="B1072" t="str">
            <v>gd1b2_hs</v>
          </cell>
          <cell r="C1072" t="str">
            <v>GD1beta (homo sapiens)</v>
          </cell>
        </row>
        <row r="1073">
          <cell r="A1073" t="str">
            <v>gq1balpha_hs_e</v>
          </cell>
          <cell r="B1073" t="str">
            <v>gq1balpha_hs</v>
          </cell>
          <cell r="C1073" t="str">
            <v>GQ1balpha (homo sapiens)</v>
          </cell>
        </row>
        <row r="1074">
          <cell r="A1074" t="str">
            <v>ha_e</v>
          </cell>
          <cell r="B1074" t="str">
            <v>ha</v>
          </cell>
          <cell r="C1074" t="str">
            <v>Hyaluronan</v>
          </cell>
        </row>
        <row r="1075">
          <cell r="A1075" t="str">
            <v>hpdca_e</v>
          </cell>
          <cell r="B1075" t="str">
            <v>hpdca</v>
          </cell>
          <cell r="C1075" t="str">
            <v>Heptadecanoate  C170  C17H33O2</v>
          </cell>
        </row>
        <row r="1076">
          <cell r="A1076" t="str">
            <v>idp_e</v>
          </cell>
          <cell r="B1076" t="str">
            <v>idp</v>
          </cell>
          <cell r="C1076" t="str">
            <v>IDP C10H11N4O11P2</v>
          </cell>
        </row>
        <row r="1077">
          <cell r="A1077" t="str">
            <v>ksi_deg1_e</v>
          </cell>
          <cell r="B1077" t="str">
            <v>ksi_deg1</v>
          </cell>
          <cell r="C1077" t="str">
            <v>Keratan sulfate I, degradation product 1</v>
          </cell>
        </row>
        <row r="1078">
          <cell r="A1078" t="str">
            <v>leuktrC4_e</v>
          </cell>
          <cell r="B1078" t="str">
            <v>leuktrC4</v>
          </cell>
          <cell r="C1078" t="str">
            <v>Leukotriene C4 ER</v>
          </cell>
        </row>
        <row r="1079">
          <cell r="A1079" t="str">
            <v>leuktrD4_e</v>
          </cell>
          <cell r="B1079" t="str">
            <v>leuktrD4</v>
          </cell>
          <cell r="C1079" t="str">
            <v>Leukotriene D4 ER</v>
          </cell>
        </row>
        <row r="1080">
          <cell r="A1080" t="str">
            <v>lpchol_hs_e</v>
          </cell>
          <cell r="B1080" t="str">
            <v>lpchol_hs</v>
          </cell>
          <cell r="C1080" t="str">
            <v>Lysophosphatidylcholine (homo sapiens)</v>
          </cell>
        </row>
        <row r="1081">
          <cell r="A1081" t="str">
            <v>npthl_e</v>
          </cell>
          <cell r="B1081" t="str">
            <v>npthl</v>
          </cell>
          <cell r="C1081" t="str">
            <v>Naphthalene</v>
          </cell>
        </row>
        <row r="1082">
          <cell r="A1082" t="str">
            <v>nrpphrsf_e</v>
          </cell>
          <cell r="B1082" t="str">
            <v>nrpphrsf</v>
          </cell>
          <cell r="C1082" t="str">
            <v>Sulfate derivative of norepinephrine</v>
          </cell>
        </row>
        <row r="1083">
          <cell r="A1083" t="str">
            <v>oh1_e</v>
          </cell>
          <cell r="B1083" t="str">
            <v>oh1</v>
          </cell>
          <cell r="C1083" t="str">
            <v>Hydroxide ion HO</v>
          </cell>
        </row>
        <row r="1084">
          <cell r="A1084" t="str">
            <v>peplys_e</v>
          </cell>
          <cell r="B1084" t="str">
            <v>peplys</v>
          </cell>
          <cell r="C1084" t="str">
            <v>Peptidyl-L-lysine</v>
          </cell>
        </row>
        <row r="1085">
          <cell r="A1085" t="str">
            <v>pheacgln_e</v>
          </cell>
          <cell r="B1085" t="str">
            <v>pheacgln</v>
          </cell>
          <cell r="C1085" t="str">
            <v>Alpha-N-Phenylacetyl-L-glutamine</v>
          </cell>
        </row>
        <row r="1086">
          <cell r="A1086" t="str">
            <v>prostge1_e</v>
          </cell>
          <cell r="B1086" t="str">
            <v>prostge1</v>
          </cell>
          <cell r="C1086" t="str">
            <v>Prostaglandin E1</v>
          </cell>
        </row>
        <row r="1087">
          <cell r="A1087" t="str">
            <v>prostgf2_e</v>
          </cell>
          <cell r="B1087" t="str">
            <v>prostgf2</v>
          </cell>
          <cell r="C1087" t="str">
            <v>Prostaglandin F2alpha</v>
          </cell>
        </row>
        <row r="1088">
          <cell r="A1088" t="str">
            <v>prostgh2_e</v>
          </cell>
          <cell r="B1088" t="str">
            <v>prostgh2</v>
          </cell>
          <cell r="C1088" t="str">
            <v>Prostaglandin H2</v>
          </cell>
        </row>
        <row r="1089">
          <cell r="A1089" t="str">
            <v>retfa_e</v>
          </cell>
          <cell r="B1089" t="str">
            <v>retfa</v>
          </cell>
          <cell r="C1089" t="str">
            <v>Fatty acid retinol</v>
          </cell>
        </row>
        <row r="1090">
          <cell r="A1090" t="str">
            <v>sph1p_e</v>
          </cell>
          <cell r="B1090" t="str">
            <v>sph1p</v>
          </cell>
          <cell r="C1090" t="str">
            <v>Sphinganine 1 phosphate C18H39NO5P</v>
          </cell>
        </row>
        <row r="1091">
          <cell r="A1091" t="str">
            <v>strdnc_e</v>
          </cell>
          <cell r="B1091" t="str">
            <v>strdnc</v>
          </cell>
          <cell r="C1091" t="str">
            <v>Stearidonic acid C18:4, n-3</v>
          </cell>
        </row>
        <row r="1092">
          <cell r="A1092" t="str">
            <v>tag_hs_e</v>
          </cell>
          <cell r="B1092" t="str">
            <v>tag_hs</v>
          </cell>
          <cell r="C1092" t="str">
            <v>Triacylglycerol (homo sapiens)</v>
          </cell>
        </row>
        <row r="1093">
          <cell r="A1093" t="str">
            <v>taxol_e</v>
          </cell>
          <cell r="B1093" t="str">
            <v>taxol</v>
          </cell>
          <cell r="C1093" t="str">
            <v>Paclitaxel</v>
          </cell>
        </row>
        <row r="1094">
          <cell r="A1094" t="str">
            <v>tdchola_e</v>
          </cell>
          <cell r="B1094" t="str">
            <v>tdchola</v>
          </cell>
          <cell r="C1094" t="str">
            <v>Taurochenodeoxycholate</v>
          </cell>
        </row>
        <row r="1095">
          <cell r="A1095" t="str">
            <v>tettet6_e</v>
          </cell>
          <cell r="B1095" t="str">
            <v>tettet6</v>
          </cell>
          <cell r="C1095" t="str">
            <v>Tetracosatetraenoic acid n-6</v>
          </cell>
        </row>
        <row r="1096">
          <cell r="A1096" t="str">
            <v>triodthysuf_e</v>
          </cell>
          <cell r="B1096" t="str">
            <v>triodthysuf</v>
          </cell>
          <cell r="C1096" t="str">
            <v>Triiodothyronine sulfate</v>
          </cell>
        </row>
        <row r="1097">
          <cell r="A1097" t="str">
            <v>tststeroneglc_e</v>
          </cell>
          <cell r="B1097" t="str">
            <v>tststeroneglc</v>
          </cell>
          <cell r="C1097" t="str">
            <v>Testosterone 3-glucosiduronic acid</v>
          </cell>
        </row>
        <row r="1098">
          <cell r="A1098" t="str">
            <v>txa2_e</v>
          </cell>
          <cell r="B1098" t="str">
            <v>txa2</v>
          </cell>
          <cell r="C1098" t="str">
            <v>Thromboxane A2</v>
          </cell>
        </row>
        <row r="1099">
          <cell r="A1099" t="str">
            <v>tymsf_e</v>
          </cell>
          <cell r="B1099" t="str">
            <v>tymsf</v>
          </cell>
          <cell r="C1099" t="str">
            <v>Tyramine O-sulfate</v>
          </cell>
        </row>
        <row r="1100">
          <cell r="A1100" t="str">
            <v>udp_e</v>
          </cell>
          <cell r="B1100" t="str">
            <v>udp</v>
          </cell>
          <cell r="C1100" t="str">
            <v>UDP C9H11N2O12P2</v>
          </cell>
        </row>
        <row r="1101">
          <cell r="A1101" t="str">
            <v>utp_e</v>
          </cell>
          <cell r="B1101" t="str">
            <v>utp</v>
          </cell>
          <cell r="C1101" t="str">
            <v>UTP C9H11N2O15P3</v>
          </cell>
        </row>
        <row r="1102">
          <cell r="A1102" t="str">
            <v>whtststerone_e</v>
          </cell>
          <cell r="B1102" t="str">
            <v>whtststerone</v>
          </cell>
          <cell r="C1102" t="str">
            <v>W hydroxy testosterone; 19-Hydroxytestosterone</v>
          </cell>
        </row>
        <row r="1103">
          <cell r="A1103" t="str">
            <v>whttdca_e</v>
          </cell>
          <cell r="B1103" t="str">
            <v>whttdca</v>
          </cell>
          <cell r="C1103" t="str">
            <v>Omega hydroxy tetradecanoate (n-C14:0)</v>
          </cell>
        </row>
        <row r="1104">
          <cell r="A1104" t="str">
            <v>xolest2_hs_e</v>
          </cell>
          <cell r="B1104" t="str">
            <v>xolest2_hs</v>
          </cell>
          <cell r="C1104" t="str">
            <v>Cholesterol ester (from FULLR2)</v>
          </cell>
        </row>
        <row r="1105">
          <cell r="A1105" t="str">
            <v>xolest_hs_e</v>
          </cell>
          <cell r="B1105" t="str">
            <v>xolest_hs</v>
          </cell>
          <cell r="C1105" t="str">
            <v>Cholesterol ester</v>
          </cell>
        </row>
        <row r="1106">
          <cell r="A1106" t="str">
            <v>ac_g</v>
          </cell>
          <cell r="B1106" t="str">
            <v>ac</v>
          </cell>
          <cell r="C1106" t="str">
            <v>Acetate</v>
          </cell>
        </row>
        <row r="1107">
          <cell r="A1107" t="str">
            <v>acglc13galacglcgal14acglcgalgluside_hs_g</v>
          </cell>
          <cell r="B1107" t="str">
            <v>acglc13galacglcgal14acglcgalgluside_hs</v>
          </cell>
          <cell r="C1107" t="str">
            <v>NLc7Cer</v>
          </cell>
        </row>
        <row r="1108">
          <cell r="A1108" t="str">
            <v>acngalacglcgal14acglcgalgluside_hs_g</v>
          </cell>
          <cell r="B1108" t="str">
            <v>acngalacglcgal14acglcgalgluside_hs</v>
          </cell>
          <cell r="C1108" t="str">
            <v>VI3NeuAc-nLc6Cer</v>
          </cell>
        </row>
        <row r="1109">
          <cell r="A1109" t="str">
            <v>camp_g</v>
          </cell>
          <cell r="B1109" t="str">
            <v>camp</v>
          </cell>
          <cell r="C1109" t="str">
            <v>CAMP C10H11N5O6P</v>
          </cell>
        </row>
        <row r="1110">
          <cell r="A1110" t="str">
            <v>core3_g</v>
          </cell>
          <cell r="B1110" t="str">
            <v>core3</v>
          </cell>
          <cell r="C1110" t="str">
            <v>Core3 g</v>
          </cell>
        </row>
        <row r="1111">
          <cell r="A1111" t="str">
            <v>core4_g</v>
          </cell>
          <cell r="B1111" t="str">
            <v>core4</v>
          </cell>
          <cell r="C1111" t="str">
            <v>Core4 g</v>
          </cell>
        </row>
        <row r="1112">
          <cell r="A1112" t="str">
            <v>core5_g</v>
          </cell>
          <cell r="B1112" t="str">
            <v>core5</v>
          </cell>
          <cell r="C1112" t="str">
            <v>Core5 g</v>
          </cell>
        </row>
        <row r="1113">
          <cell r="A1113" t="str">
            <v>core8_g</v>
          </cell>
          <cell r="B1113" t="str">
            <v>core8</v>
          </cell>
          <cell r="C1113" t="str">
            <v>Core8 g</v>
          </cell>
        </row>
        <row r="1114">
          <cell r="A1114" t="str">
            <v>cs_c_pre3_g</v>
          </cell>
          <cell r="B1114" t="str">
            <v>cs_c_pre3</v>
          </cell>
          <cell r="C1114" t="str">
            <v>Chondroitin sulfate C (GalNAc6S-GlcA), precursor 3</v>
          </cell>
        </row>
        <row r="1115">
          <cell r="A1115" t="str">
            <v>cs_d_pre3_g</v>
          </cell>
          <cell r="B1115" t="str">
            <v>cs_d_pre3</v>
          </cell>
          <cell r="C1115" t="str">
            <v>Chondroitin sulfate D (GlcNAc6S-GlcA2S), precursor 3</v>
          </cell>
        </row>
        <row r="1116">
          <cell r="A1116" t="str">
            <v>cs_e_pre2_g</v>
          </cell>
          <cell r="B1116" t="str">
            <v>cs_e_pre2</v>
          </cell>
          <cell r="C1116" t="str">
            <v>Chondroitin sulfate E (GalNAc4,6diS-GlcA), precursor 2</v>
          </cell>
        </row>
        <row r="1117">
          <cell r="A1117" t="str">
            <v>cs_pre_g</v>
          </cell>
          <cell r="B1117" t="str">
            <v>cs_pre</v>
          </cell>
          <cell r="C1117" t="str">
            <v>Chondroitin sulfate precursor (GalNAc-GlcA-(Gal)2-Xyl-L-Ser (protein))</v>
          </cell>
        </row>
        <row r="1118">
          <cell r="A1118" t="str">
            <v>cspg_c_g</v>
          </cell>
          <cell r="B1118" t="str">
            <v>cspg_c</v>
          </cell>
          <cell r="C1118" t="str">
            <v>Chondroitin sulfate C (GalNAc6S-GlcA) proteoglycan</v>
          </cell>
        </row>
        <row r="1119">
          <cell r="A1119" t="str">
            <v>cspg_d_g</v>
          </cell>
          <cell r="B1119" t="str">
            <v>cspg_d</v>
          </cell>
          <cell r="C1119" t="str">
            <v>Chondroitin sulfate D (GlcNAc6S-GlcA2S) proteoglycan</v>
          </cell>
        </row>
        <row r="1120">
          <cell r="A1120" t="str">
            <v>dsT_antigen_g</v>
          </cell>
          <cell r="B1120" t="str">
            <v>dsT_antigen</v>
          </cell>
          <cell r="C1120" t="str">
            <v>DsT antigen g</v>
          </cell>
        </row>
        <row r="1121">
          <cell r="A1121" t="str">
            <v>f1a_g</v>
          </cell>
          <cell r="B1121" t="str">
            <v>f1a</v>
          </cell>
          <cell r="C1121" t="str">
            <v>F1alpha</v>
          </cell>
        </row>
        <row r="1122">
          <cell r="A1122" t="str">
            <v>fn2m2masn_g</v>
          </cell>
          <cell r="B1122" t="str">
            <v>fn2m2masn</v>
          </cell>
          <cell r="C1122" t="str">
            <v>N4-{N-Acetyl-beta-D-glucosaminyl-(1,2)-alpha-D-mannosyl-(1,3)-[N-acetyl-beta-D-glucosaminyl-(1,2)-alpha-D-mannosyl-(1,6)]-beta-D-mannosyl-(1,4)-N-acetyl-beta-D-glucosaminyl-(1,4)-[alpha-L-fucosyl-(1,6)]-N-acetyl-beta-D-glucosaminyl}asparagine</v>
          </cell>
        </row>
        <row r="1123">
          <cell r="A1123" t="str">
            <v>fuc132galacglcgal14acglcgalgluside_hs_g</v>
          </cell>
          <cell r="B1123" t="str">
            <v>fuc132galacglcgal14acglcgalgluside_hs</v>
          </cell>
          <cell r="C1123" t="str">
            <v>V3Fuc-nLc6Cer</v>
          </cell>
        </row>
        <row r="1124">
          <cell r="A1124" t="str">
            <v>fucfuc12gal14acglcgalgluside_hs_g</v>
          </cell>
          <cell r="B1124" t="str">
            <v>fucfuc12gal14acglcgalgluside_hs</v>
          </cell>
          <cell r="C1124" t="str">
            <v>Ley glycolipid</v>
          </cell>
        </row>
        <row r="1125">
          <cell r="A1125" t="str">
            <v>fucgalacgalfucgalacglcgal14acglcgalgluside_hs_g</v>
          </cell>
          <cell r="B1125" t="str">
            <v>fucgalacgalfucgalacglcgal14acglcgalgluside_hs</v>
          </cell>
          <cell r="C1125" t="str">
            <v>(Gal)4 (GalNAc)1 (Glc)1 (GlcNAc)2 (LFuc)2 (Cer)1</v>
          </cell>
        </row>
        <row r="1126">
          <cell r="A1126" t="str">
            <v>fucgalacglcgal14acglcgalgluside_hs_g</v>
          </cell>
          <cell r="B1126" t="str">
            <v>fucgalacglcgal14acglcgalgluside_hs</v>
          </cell>
          <cell r="C1126" t="str">
            <v>VI2Fuc-nLc6</v>
          </cell>
        </row>
        <row r="1127">
          <cell r="A1127" t="str">
            <v>g2m8masn_g</v>
          </cell>
          <cell r="B1127" t="str">
            <v>g2m8masn</v>
          </cell>
          <cell r="C1127" t="str">
            <v>(alpha-D-Glucosyl)2-(alpha-D-mannosyl)8-beta-D-mannosyl-diacetylchitobiosyl-L-asparagine (protein)</v>
          </cell>
        </row>
        <row r="1128">
          <cell r="A1128" t="str">
            <v>g3m8masn_g</v>
          </cell>
          <cell r="B1128" t="str">
            <v>g3m8masn</v>
          </cell>
          <cell r="C1128" t="str">
            <v>(alpha-D-Glucosyl)3-(alpha-D-mannosyl)8-beta-D-mannosyl-diacetylchitobiosyl-L-asparagine (protein)</v>
          </cell>
        </row>
        <row r="1129">
          <cell r="A1129" t="str">
            <v>galacglc13galacglcgal14acglcgalgluside_hs_g</v>
          </cell>
          <cell r="B1129" t="str">
            <v>galacglc13galacglcgal14acglcgalgluside_hs</v>
          </cell>
          <cell r="C1129" t="str">
            <v>NLc8Cer</v>
          </cell>
        </row>
        <row r="1130">
          <cell r="A1130" t="str">
            <v>galacglcgalacglcgal14acglcgalgluside_hs_g</v>
          </cell>
          <cell r="B1130" t="str">
            <v>galacglcgalacglcgal14acglcgalgluside_hs</v>
          </cell>
          <cell r="C1130" t="str">
            <v>I-antigen</v>
          </cell>
        </row>
        <row r="1131">
          <cell r="A1131" t="str">
            <v>galside_hs_g</v>
          </cell>
          <cell r="B1131" t="str">
            <v>galside_hs</v>
          </cell>
          <cell r="C1131" t="str">
            <v>Galactocerebroside (homo sapiens)</v>
          </cell>
        </row>
        <row r="1132">
          <cell r="A1132" t="str">
            <v>galthcrm_hs_g</v>
          </cell>
          <cell r="B1132" t="str">
            <v>galthcrm_hs</v>
          </cell>
          <cell r="C1132" t="str">
            <v>Gal-Gal-Gal-Glc-Cer (homo sapiens)</v>
          </cell>
        </row>
        <row r="1133">
          <cell r="A1133" t="str">
            <v>gd1c_hs_g</v>
          </cell>
          <cell r="B1133" t="str">
            <v>gd1c_hs</v>
          </cell>
          <cell r="C1133" t="str">
            <v>GD1c (homo sapiens)</v>
          </cell>
        </row>
        <row r="1134">
          <cell r="A1134" t="str">
            <v>gd3_hs_g</v>
          </cell>
          <cell r="B1134" t="str">
            <v>gd3_hs</v>
          </cell>
          <cell r="C1134" t="str">
            <v>GD3 (homo sapiens)</v>
          </cell>
        </row>
        <row r="1135">
          <cell r="A1135" t="str">
            <v>gdpfuc_g</v>
          </cell>
          <cell r="B1135" t="str">
            <v>gdpfuc</v>
          </cell>
          <cell r="C1135" t="str">
            <v>GDP-L-fucose</v>
          </cell>
        </row>
        <row r="1136">
          <cell r="A1136" t="str">
            <v>glc3man_g</v>
          </cell>
          <cell r="B1136" t="str">
            <v>glc3man</v>
          </cell>
          <cell r="C1136" t="str">
            <v>Glucose-1,2-(2)[glucose-1,3]-mannose oligosaccharide</v>
          </cell>
        </row>
        <row r="1137">
          <cell r="A1137" t="str">
            <v>gm2_hs_g</v>
          </cell>
          <cell r="B1137" t="str">
            <v>gm2_hs</v>
          </cell>
          <cell r="C1137" t="str">
            <v>Ganglioside GM2 (homo sapiens)</v>
          </cell>
        </row>
        <row r="1138">
          <cell r="A1138" t="str">
            <v>gt2_hs_g</v>
          </cell>
          <cell r="B1138" t="str">
            <v>gt2_hs</v>
          </cell>
          <cell r="C1138" t="str">
            <v>GT2 (homo sapiens)</v>
          </cell>
        </row>
        <row r="1139">
          <cell r="A1139" t="str">
            <v>hs_pre10_g</v>
          </cell>
          <cell r="B1139" t="str">
            <v>hs_pre10</v>
          </cell>
          <cell r="C1139" t="str">
            <v>Heparan sulfate, precursor 10</v>
          </cell>
        </row>
        <row r="1140">
          <cell r="A1140" t="str">
            <v>hs_pre11_g</v>
          </cell>
          <cell r="B1140" t="str">
            <v>hs_pre11</v>
          </cell>
          <cell r="C1140" t="str">
            <v>Heparan sulfate, precursor 11</v>
          </cell>
        </row>
        <row r="1141">
          <cell r="A1141" t="str">
            <v>hs_pre15_g</v>
          </cell>
          <cell r="B1141" t="str">
            <v>hs_pre15</v>
          </cell>
          <cell r="C1141" t="str">
            <v>Heparan sulfate, precursor 15</v>
          </cell>
        </row>
        <row r="1142">
          <cell r="A1142" t="str">
            <v>hs_pre5_g</v>
          </cell>
          <cell r="B1142" t="str">
            <v>hs_pre5</v>
          </cell>
          <cell r="C1142" t="str">
            <v>Heparan sulfate, precursor 5</v>
          </cell>
        </row>
        <row r="1143">
          <cell r="A1143" t="str">
            <v>hs_pre7_g</v>
          </cell>
          <cell r="B1143" t="str">
            <v>hs_pre7</v>
          </cell>
          <cell r="C1143" t="str">
            <v>Heparan sulfate, precursor 7</v>
          </cell>
        </row>
        <row r="1144">
          <cell r="A1144" t="str">
            <v>ksi_g</v>
          </cell>
          <cell r="B1144" t="str">
            <v>ksi</v>
          </cell>
          <cell r="C1144" t="str">
            <v>Keratan sulfate I</v>
          </cell>
        </row>
        <row r="1145">
          <cell r="A1145" t="str">
            <v>ksi_pre1_g</v>
          </cell>
          <cell r="B1145" t="str">
            <v>ksi_pre1</v>
          </cell>
          <cell r="C1145" t="str">
            <v>Keratan sulfate I biosynthesis, precursor 1</v>
          </cell>
        </row>
        <row r="1146">
          <cell r="A1146" t="str">
            <v>ksi_pre14_g</v>
          </cell>
          <cell r="B1146" t="str">
            <v>ksi_pre14</v>
          </cell>
          <cell r="C1146" t="str">
            <v>Keratan sulfate I biosynthesis, precursor 14</v>
          </cell>
        </row>
        <row r="1147">
          <cell r="A1147" t="str">
            <v>ksi_pre17_g</v>
          </cell>
          <cell r="B1147" t="str">
            <v>ksi_pre17</v>
          </cell>
          <cell r="C1147" t="str">
            <v>Keratan sulfate I biosynthesis, precursor 17</v>
          </cell>
        </row>
        <row r="1148">
          <cell r="A1148" t="str">
            <v>ksi_pre28_g</v>
          </cell>
          <cell r="B1148" t="str">
            <v>ksi_pre28</v>
          </cell>
          <cell r="C1148" t="str">
            <v>Keratan sulfate I biosynthesis, precursor 28</v>
          </cell>
        </row>
        <row r="1149">
          <cell r="A1149" t="str">
            <v>ksi_pre3_g</v>
          </cell>
          <cell r="B1149" t="str">
            <v>ksi_pre3</v>
          </cell>
          <cell r="C1149" t="str">
            <v>Keratan sulfate I biosynthesis, precursor 3</v>
          </cell>
        </row>
        <row r="1150">
          <cell r="A1150" t="str">
            <v>ksi_pre35_g</v>
          </cell>
          <cell r="B1150" t="str">
            <v>ksi_pre35</v>
          </cell>
          <cell r="C1150" t="str">
            <v>Keratan sulfate I biosynthesis, precursor 35</v>
          </cell>
        </row>
        <row r="1151">
          <cell r="A1151" t="str">
            <v>ksi_pre8_g</v>
          </cell>
          <cell r="B1151" t="str">
            <v>ksi_pre8</v>
          </cell>
          <cell r="C1151" t="str">
            <v>Keratan sulfate I biosynthesis, precursor 8</v>
          </cell>
        </row>
        <row r="1152">
          <cell r="A1152" t="str">
            <v>ksii_core2_g</v>
          </cell>
          <cell r="B1152" t="str">
            <v>ksii_core2</v>
          </cell>
          <cell r="C1152" t="str">
            <v>Keratan sulfate II (core 2-linked)</v>
          </cell>
        </row>
        <row r="1153">
          <cell r="A1153" t="str">
            <v>ksii_core2_pre10_g</v>
          </cell>
          <cell r="B1153" t="str">
            <v>ksii_core2_pre10</v>
          </cell>
          <cell r="C1153" t="str">
            <v>Keratan sulfate II biosynthesis, precursor 10</v>
          </cell>
        </row>
        <row r="1154">
          <cell r="A1154" t="str">
            <v>ksii_core2_pre2_g</v>
          </cell>
          <cell r="B1154" t="str">
            <v>ksii_core2_pre2</v>
          </cell>
          <cell r="C1154" t="str">
            <v>Keratan sulfate II biosynthesis, precursor 2</v>
          </cell>
        </row>
        <row r="1155">
          <cell r="A1155" t="str">
            <v>ksii_core2_pre6_g</v>
          </cell>
          <cell r="B1155" t="str">
            <v>ksii_core2_pre6</v>
          </cell>
          <cell r="C1155" t="str">
            <v>Keratan sulfate II biosynthesis, precursor 6</v>
          </cell>
        </row>
        <row r="1156">
          <cell r="A1156" t="str">
            <v>ksii_core2_pre7_g</v>
          </cell>
          <cell r="B1156" t="str">
            <v>ksii_core2_pre7</v>
          </cell>
          <cell r="C1156" t="str">
            <v>Keratan sulfate II biosynthesis, precursor 7</v>
          </cell>
        </row>
        <row r="1157">
          <cell r="A1157" t="str">
            <v>ksii_core4_pre4_g</v>
          </cell>
          <cell r="B1157" t="str">
            <v>ksii_core4_pre4</v>
          </cell>
          <cell r="C1157" t="str">
            <v>Keratan sulfate II biosynthesis, precursor 4</v>
          </cell>
        </row>
        <row r="1158">
          <cell r="A1158" t="str">
            <v>ksii_core4_pre5_g</v>
          </cell>
          <cell r="B1158" t="str">
            <v>ksii_core4_pre5</v>
          </cell>
          <cell r="C1158" t="str">
            <v>Keratan sulfate II biosynthesis, precursor 5</v>
          </cell>
        </row>
        <row r="1159">
          <cell r="A1159" t="str">
            <v>ksii_core4_pre7_g</v>
          </cell>
          <cell r="B1159" t="str">
            <v>ksii_core4_pre7</v>
          </cell>
          <cell r="C1159" t="str">
            <v>Keratan sulfate II biosynthesis, precursor 7</v>
          </cell>
        </row>
        <row r="1160">
          <cell r="A1160" t="str">
            <v>lxser_g</v>
          </cell>
          <cell r="B1160" t="str">
            <v>lxser</v>
          </cell>
          <cell r="C1160" t="str">
            <v>Gal-Xyl-L-Ser (protein)</v>
          </cell>
        </row>
        <row r="1161">
          <cell r="A1161" t="str">
            <v>m5masnC_g</v>
          </cell>
          <cell r="B1161" t="str">
            <v>m5masnC</v>
          </cell>
          <cell r="C1161" t="str">
            <v>(alpha-D-mannosyl)5-beta-D-mannosyl-diacetylchitobiosyl-L-asparagine (protein)</v>
          </cell>
        </row>
        <row r="1162">
          <cell r="A1162" t="str">
            <v>n2m2nmasn_g</v>
          </cell>
          <cell r="B1162" t="str">
            <v>n2m2nmasn</v>
          </cell>
          <cell r="C1162" t="str">
            <v>N-Acetyl-beta-D-glucosaminyl-1,2-alpha-D-mannosyl-1,3-(N-acetyl-beta-D-glucosaminyl-1,2-alpha-D-mannosyl-1,6)-(N-acetyl-beta-D-glucosaminyl-1,4)-beta-D-mannosyl-1,4-N-acetyl-beta-D-glucosaminyl-R</v>
          </cell>
        </row>
        <row r="1163">
          <cell r="A1163" t="str">
            <v>n3m2masn_g</v>
          </cell>
          <cell r="B1163" t="str">
            <v>n3m2masn</v>
          </cell>
          <cell r="C1163" t="str">
            <v>((N-acetyl-D-glucosaminyl)3-(alpha-D-mannosyl)2-beta-D-mannosyl-diacetylchitobiosyl)-L-asparagine (protein)</v>
          </cell>
        </row>
        <row r="1164">
          <cell r="A1164" t="str">
            <v>n4m2masn_g</v>
          </cell>
          <cell r="B1164" t="str">
            <v>n4m2masn</v>
          </cell>
          <cell r="C1164" t="str">
            <v>((N-acetyl-D-glucosaminyl)4-(alpha-D-mannosyl)2-beta-D-mannosyl-diacetylchitobiosyl)-L-asparagine (protein)</v>
          </cell>
        </row>
        <row r="1165">
          <cell r="A1165" t="str">
            <v>na1_g</v>
          </cell>
          <cell r="B1165" t="str">
            <v>na1</v>
          </cell>
          <cell r="C1165" t="str">
            <v>Sodium</v>
          </cell>
        </row>
        <row r="1166">
          <cell r="A1166" t="str">
            <v>nm2masn_g</v>
          </cell>
          <cell r="B1166" t="str">
            <v>nm2masn</v>
          </cell>
          <cell r="C1166" t="str">
            <v>(N-acetyl-D-glucosaminyl-(alpha-D-mannosyl)2-beta-D-mannosyl-diacetylchitobiosyl)-L-asparagine (protein)</v>
          </cell>
        </row>
        <row r="1167">
          <cell r="A1167" t="str">
            <v>oagd3_hs_g</v>
          </cell>
          <cell r="B1167" t="str">
            <v>oagd3_hs</v>
          </cell>
          <cell r="C1167" t="str">
            <v>9-O-Acetylated GD3 (homo sapiens)</v>
          </cell>
        </row>
        <row r="1168">
          <cell r="A1168" t="str">
            <v>pe_hs_g</v>
          </cell>
          <cell r="B1168" t="str">
            <v>pe_hs</v>
          </cell>
          <cell r="C1168" t="str">
            <v>Phosphatidylethanolamine (homo sapiens)</v>
          </cell>
        </row>
        <row r="1169">
          <cell r="A1169" t="str">
            <v>ps_hs_g</v>
          </cell>
          <cell r="B1169" t="str">
            <v>ps_hs</v>
          </cell>
          <cell r="C1169" t="str">
            <v>Phosphatidylserine (homo sapiens)</v>
          </cell>
        </row>
        <row r="1170">
          <cell r="A1170" t="str">
            <v>sT_antigen_g</v>
          </cell>
          <cell r="B1170" t="str">
            <v>sT_antigen</v>
          </cell>
          <cell r="C1170" t="str">
            <v>ST antigen g</v>
          </cell>
        </row>
        <row r="1171">
          <cell r="A1171" t="str">
            <v>10fthf5glu_l</v>
          </cell>
          <cell r="B1171" t="str">
            <v>10fthf5glu</v>
          </cell>
          <cell r="C1171" t="str">
            <v>10-formyltetrahydrofolate-[Glu](5)</v>
          </cell>
        </row>
        <row r="1172">
          <cell r="A1172" t="str">
            <v>4abut_l</v>
          </cell>
          <cell r="B1172" t="str">
            <v>4abut</v>
          </cell>
          <cell r="C1172" t="str">
            <v>4-Aminobutanoate</v>
          </cell>
        </row>
        <row r="1173">
          <cell r="A1173" t="str">
            <v>7dhf_l</v>
          </cell>
          <cell r="B1173" t="str">
            <v>7dhf</v>
          </cell>
          <cell r="C1173" t="str">
            <v>Heptaglutamyl folate (DHF)</v>
          </cell>
        </row>
        <row r="1174">
          <cell r="A1174" t="str">
            <v>7thf_l</v>
          </cell>
          <cell r="B1174" t="str">
            <v>7thf</v>
          </cell>
          <cell r="C1174" t="str">
            <v>Heptaglutamyl folate (THF)</v>
          </cell>
        </row>
        <row r="1175">
          <cell r="A1175" t="str">
            <v>Asn_X_Ser_Thr_l</v>
          </cell>
          <cell r="B1175" t="str">
            <v>Asn_X_Ser_Thr</v>
          </cell>
          <cell r="C1175" t="str">
            <v>Asn  X  Ser FSLASH Thr l</v>
          </cell>
        </row>
        <row r="1176">
          <cell r="A1176" t="str">
            <v>ade_l</v>
          </cell>
          <cell r="B1176" t="str">
            <v>ade</v>
          </cell>
          <cell r="C1176" t="str">
            <v>Adenine</v>
          </cell>
        </row>
        <row r="1177">
          <cell r="A1177" t="str">
            <v>cholp_l</v>
          </cell>
          <cell r="B1177" t="str">
            <v>cholp</v>
          </cell>
          <cell r="C1177" t="str">
            <v>Choline phosphate C5H13NO4P</v>
          </cell>
        </row>
        <row r="1178">
          <cell r="A1178" t="str">
            <v>cs_a_deg3_l</v>
          </cell>
          <cell r="B1178" t="str">
            <v>cs_a_deg3</v>
          </cell>
          <cell r="C1178" t="str">
            <v>Chondroitin sulfate A (GalNAc4S-GlcA), degradation product 3</v>
          </cell>
        </row>
        <row r="1179">
          <cell r="A1179" t="str">
            <v>cs_c_deg4_l</v>
          </cell>
          <cell r="B1179" t="str">
            <v>cs_c_deg4</v>
          </cell>
          <cell r="C1179" t="str">
            <v>Chondroitin sulfate C (GalNAc6S-GlcA), degradation product 4</v>
          </cell>
        </row>
        <row r="1180">
          <cell r="A1180" t="str">
            <v>cs_d_deg2_l</v>
          </cell>
          <cell r="B1180" t="str">
            <v>cs_d_deg2</v>
          </cell>
          <cell r="C1180" t="str">
            <v>Chondroitin sulfate D (GlcNAc6S-GlcA2S), degradation product 2</v>
          </cell>
        </row>
        <row r="1181">
          <cell r="A1181" t="str">
            <v>cs_d_deg3_l</v>
          </cell>
          <cell r="B1181" t="str">
            <v>cs_d_deg3</v>
          </cell>
          <cell r="C1181" t="str">
            <v>Chondroitin sulfate D (GlcNAc6S-GlcA2S), degradation product 3</v>
          </cell>
        </row>
        <row r="1182">
          <cell r="A1182" t="str">
            <v>cs_d_deg6_l</v>
          </cell>
          <cell r="B1182" t="str">
            <v>cs_d_deg6</v>
          </cell>
          <cell r="C1182" t="str">
            <v>Chondroitin sulfate D (GlcNAc6S-GlcA2S), degradation product 6</v>
          </cell>
        </row>
        <row r="1183">
          <cell r="A1183" t="str">
            <v>cs_e_deg1_l</v>
          </cell>
          <cell r="B1183" t="str">
            <v>cs_e_deg1</v>
          </cell>
          <cell r="C1183" t="str">
            <v>Chondroitin sulfate E (GalNAc4,6diS-GlcA), degradation product 1</v>
          </cell>
        </row>
        <row r="1184">
          <cell r="A1184" t="str">
            <v>cs_e_deg2_l</v>
          </cell>
          <cell r="B1184" t="str">
            <v>cs_e_deg2</v>
          </cell>
          <cell r="C1184" t="str">
            <v>Chondroitin sulfate E (GalNAc4,6diS-GlcA), degradation product 2</v>
          </cell>
        </row>
        <row r="1185">
          <cell r="A1185" t="str">
            <v>cspg_a_l</v>
          </cell>
          <cell r="B1185" t="str">
            <v>cspg_a</v>
          </cell>
          <cell r="C1185" t="str">
            <v>Chondroitin sulfate A (GalNAc4S-GlcA) proteoglycan</v>
          </cell>
        </row>
        <row r="1186">
          <cell r="A1186" t="str">
            <v>cspg_b_l</v>
          </cell>
          <cell r="B1186" t="str">
            <v>cspg_b</v>
          </cell>
          <cell r="C1186" t="str">
            <v>Chondroitin sulfate B / dermatan sulfate (IdoA2S-GalNAc4S) proteoglycan</v>
          </cell>
        </row>
        <row r="1187">
          <cell r="A1187" t="str">
            <v>dgsn_l</v>
          </cell>
          <cell r="B1187" t="str">
            <v>dgsn</v>
          </cell>
          <cell r="C1187" t="str">
            <v>Deoxyguanosine</v>
          </cell>
        </row>
        <row r="1188">
          <cell r="A1188" t="str">
            <v>dpcoa_l</v>
          </cell>
          <cell r="B1188" t="str">
            <v>dpcoa</v>
          </cell>
          <cell r="C1188" t="str">
            <v>Dephospho-CoA</v>
          </cell>
        </row>
        <row r="1189">
          <cell r="A1189" t="str">
            <v>gluside_hs_l</v>
          </cell>
          <cell r="B1189" t="str">
            <v>gluside_hs</v>
          </cell>
          <cell r="C1189" t="str">
            <v>Glucocerebroside (homo sapiens)</v>
          </cell>
        </row>
        <row r="1190">
          <cell r="A1190" t="str">
            <v>gly_l</v>
          </cell>
          <cell r="B1190" t="str">
            <v>gly</v>
          </cell>
          <cell r="C1190" t="str">
            <v>Glycine</v>
          </cell>
        </row>
        <row r="1191">
          <cell r="A1191" t="str">
            <v>gmp_l</v>
          </cell>
          <cell r="B1191" t="str">
            <v>gmp</v>
          </cell>
          <cell r="C1191" t="str">
            <v>GMP C10H12N5O8P</v>
          </cell>
        </row>
        <row r="1192">
          <cell r="A1192" t="str">
            <v>hs_deg12_l</v>
          </cell>
          <cell r="B1192" t="str">
            <v>hs_deg12</v>
          </cell>
          <cell r="C1192" t="str">
            <v>Heparan sulfate, degradation product 12</v>
          </cell>
        </row>
        <row r="1193">
          <cell r="A1193" t="str">
            <v>hs_deg16_l</v>
          </cell>
          <cell r="B1193" t="str">
            <v>hs_deg16</v>
          </cell>
          <cell r="C1193" t="str">
            <v>Heparan sulfate, degradation product 16</v>
          </cell>
        </row>
        <row r="1194">
          <cell r="A1194" t="str">
            <v>hs_deg18_l</v>
          </cell>
          <cell r="B1194" t="str">
            <v>hs_deg18</v>
          </cell>
          <cell r="C1194" t="str">
            <v>Heparan sulfate, degradation product 18</v>
          </cell>
        </row>
        <row r="1195">
          <cell r="A1195" t="str">
            <v>hs_deg2_l</v>
          </cell>
          <cell r="B1195" t="str">
            <v>hs_deg2</v>
          </cell>
          <cell r="C1195" t="str">
            <v>Heparan sulfate, degradation product 2</v>
          </cell>
        </row>
        <row r="1196">
          <cell r="A1196" t="str">
            <v>hs_deg20_l</v>
          </cell>
          <cell r="B1196" t="str">
            <v>hs_deg20</v>
          </cell>
          <cell r="C1196" t="str">
            <v>Heparan sulfate, degradation product 20</v>
          </cell>
        </row>
        <row r="1197">
          <cell r="A1197" t="str">
            <v>hs_deg5_l</v>
          </cell>
          <cell r="B1197" t="str">
            <v>hs_deg5</v>
          </cell>
          <cell r="C1197" t="str">
            <v>Heparan sulfate, degradation product 5</v>
          </cell>
        </row>
        <row r="1198">
          <cell r="A1198" t="str">
            <v>hspg_l</v>
          </cell>
          <cell r="B1198" t="str">
            <v>hspg</v>
          </cell>
          <cell r="C1198" t="str">
            <v>Heparan sulfate proteoglycan</v>
          </cell>
        </row>
        <row r="1199">
          <cell r="A1199" t="str">
            <v>ksi_deg11_l</v>
          </cell>
          <cell r="B1199" t="str">
            <v>ksi_deg11</v>
          </cell>
          <cell r="C1199" t="str">
            <v>Keratan sulfate I, degradation product 11</v>
          </cell>
        </row>
        <row r="1200">
          <cell r="A1200" t="str">
            <v>ksi_deg12_l</v>
          </cell>
          <cell r="B1200" t="str">
            <v>ksi_deg12</v>
          </cell>
          <cell r="C1200" t="str">
            <v>Keratan sulfate I, degradation product 12</v>
          </cell>
        </row>
        <row r="1201">
          <cell r="A1201" t="str">
            <v>ksi_deg23_l</v>
          </cell>
          <cell r="B1201" t="str">
            <v>ksi_deg23</v>
          </cell>
          <cell r="C1201" t="str">
            <v>Keratan sulfate I, degradation product 23</v>
          </cell>
        </row>
        <row r="1202">
          <cell r="A1202" t="str">
            <v>ksi_deg28_l</v>
          </cell>
          <cell r="B1202" t="str">
            <v>ksi_deg28</v>
          </cell>
          <cell r="C1202" t="str">
            <v>Keratan sulfate I, degradation product 28</v>
          </cell>
        </row>
        <row r="1203">
          <cell r="A1203" t="str">
            <v>ksi_deg32_l</v>
          </cell>
          <cell r="B1203" t="str">
            <v>ksi_deg32</v>
          </cell>
          <cell r="C1203" t="str">
            <v>Keratan sulfate I, degradation product 32</v>
          </cell>
        </row>
        <row r="1204">
          <cell r="A1204" t="str">
            <v>ksi_deg35_l</v>
          </cell>
          <cell r="B1204" t="str">
            <v>ksi_deg35</v>
          </cell>
          <cell r="C1204" t="str">
            <v>Keratan sulfate I, degradation product 35</v>
          </cell>
        </row>
        <row r="1205">
          <cell r="A1205" t="str">
            <v>ksi_deg37_l</v>
          </cell>
          <cell r="B1205" t="str">
            <v>ksi_deg37</v>
          </cell>
          <cell r="C1205" t="str">
            <v>Keratan sulfate I, degradation product 37</v>
          </cell>
        </row>
        <row r="1206">
          <cell r="A1206" t="str">
            <v>ksi_deg40_l</v>
          </cell>
          <cell r="B1206" t="str">
            <v>ksi_deg40</v>
          </cell>
          <cell r="C1206" t="str">
            <v>Keratan sulfate I, degradation product 40</v>
          </cell>
        </row>
        <row r="1207">
          <cell r="A1207" t="str">
            <v>ksi_deg5_l</v>
          </cell>
          <cell r="B1207" t="str">
            <v>ksi_deg5</v>
          </cell>
          <cell r="C1207" t="str">
            <v>Keratan sulfate I, degradation product 5</v>
          </cell>
        </row>
        <row r="1208">
          <cell r="A1208" t="str">
            <v>ksi_deg7_l</v>
          </cell>
          <cell r="B1208" t="str">
            <v>ksi_deg7</v>
          </cell>
          <cell r="C1208" t="str">
            <v>Keratan sulfate I, degradation product 7</v>
          </cell>
        </row>
        <row r="1209">
          <cell r="A1209" t="str">
            <v>ksi_deg9_l</v>
          </cell>
          <cell r="B1209" t="str">
            <v>ksi_deg9</v>
          </cell>
          <cell r="C1209" t="str">
            <v>Keratan sulfate I, degradation product 9</v>
          </cell>
        </row>
        <row r="1210">
          <cell r="A1210" t="str">
            <v>ksii_core2_deg6_l</v>
          </cell>
          <cell r="B1210" t="str">
            <v>ksii_core2_deg6</v>
          </cell>
          <cell r="C1210" t="str">
            <v>Keratan sulfate II (core 2-linked), degradation product 6</v>
          </cell>
        </row>
        <row r="1211">
          <cell r="A1211" t="str">
            <v>ksii_core2_deg8_l</v>
          </cell>
          <cell r="B1211" t="str">
            <v>ksii_core2_deg8</v>
          </cell>
          <cell r="C1211" t="str">
            <v>Keratan sulfate II (core 2-linked), degradation product 8</v>
          </cell>
        </row>
        <row r="1212">
          <cell r="A1212" t="str">
            <v>ksii_core2_deg9_l</v>
          </cell>
          <cell r="B1212" t="str">
            <v>ksii_core2_deg9</v>
          </cell>
          <cell r="C1212" t="str">
            <v>Keratan sulfate II (core 2-linked), degradation product 9</v>
          </cell>
        </row>
        <row r="1213">
          <cell r="A1213" t="str">
            <v>ksii_core4_l</v>
          </cell>
          <cell r="B1213" t="str">
            <v>ksii_core4</v>
          </cell>
          <cell r="C1213" t="str">
            <v>Keratan sulfate II (core 4-linked)</v>
          </cell>
        </row>
        <row r="1214">
          <cell r="A1214" t="str">
            <v>ksii_core4_deg1_l</v>
          </cell>
          <cell r="B1214" t="str">
            <v>ksii_core4_deg1</v>
          </cell>
          <cell r="C1214" t="str">
            <v>Keratan sulfate II (core 4-linked), degradation product 1</v>
          </cell>
        </row>
        <row r="1215">
          <cell r="A1215" t="str">
            <v>ksii_core4_deg3_l</v>
          </cell>
          <cell r="B1215" t="str">
            <v>ksii_core4_deg3</v>
          </cell>
          <cell r="C1215" t="str">
            <v>Keratan sulfate II (core 4-linked), degradation product 3</v>
          </cell>
        </row>
        <row r="1216">
          <cell r="A1216" t="str">
            <v>man_l</v>
          </cell>
          <cell r="B1216" t="str">
            <v>man</v>
          </cell>
          <cell r="C1216" t="str">
            <v>D-Mannose</v>
          </cell>
        </row>
        <row r="1217">
          <cell r="A1217" t="str">
            <v>n2m2nm_l</v>
          </cell>
          <cell r="B1217" t="str">
            <v>n2m2nm</v>
          </cell>
          <cell r="C1217" t="str">
            <v>N2m2nmasn (w/o peptide linkage)</v>
          </cell>
        </row>
        <row r="1218">
          <cell r="A1218" t="str">
            <v>pro__D_l</v>
          </cell>
          <cell r="B1218" t="str">
            <v>pro__D</v>
          </cell>
          <cell r="C1218" t="str">
            <v>D-Proline</v>
          </cell>
        </row>
        <row r="1219">
          <cell r="A1219" t="str">
            <v>sgalside_hs_l</v>
          </cell>
          <cell r="B1219" t="str">
            <v>sgalside_hs</v>
          </cell>
          <cell r="C1219" t="str">
            <v>Sulfatide galactocerebroside (homo sapiens)</v>
          </cell>
        </row>
        <row r="1220">
          <cell r="A1220" t="str">
            <v>thf_l</v>
          </cell>
          <cell r="B1220" t="str">
            <v>thf</v>
          </cell>
          <cell r="C1220" t="str">
            <v>5,6,7,8-Tetrahydrofolate</v>
          </cell>
        </row>
        <row r="1221">
          <cell r="A1221" t="str">
            <v>xyl__D_l</v>
          </cell>
          <cell r="B1221" t="str">
            <v>xyl__D</v>
          </cell>
          <cell r="C1221" t="str">
            <v>D-Xylose</v>
          </cell>
        </row>
        <row r="1222">
          <cell r="A1222" t="str">
            <v>10fthf5glu_m</v>
          </cell>
          <cell r="B1222" t="str">
            <v>10fthf5glu</v>
          </cell>
          <cell r="C1222" t="str">
            <v>10-formyltetrahydrofolate-[Glu](5)</v>
          </cell>
        </row>
        <row r="1223">
          <cell r="A1223" t="str">
            <v>11docrtsl_m</v>
          </cell>
          <cell r="B1223" t="str">
            <v>11docrtsl</v>
          </cell>
          <cell r="C1223" t="str">
            <v>11docrtsl c</v>
          </cell>
        </row>
        <row r="1224">
          <cell r="A1224" t="str">
            <v>1a2425thvitd3_m</v>
          </cell>
          <cell r="B1224" t="str">
            <v>1a2425thvitd3</v>
          </cell>
          <cell r="C1224" t="str">
            <v>1-alpha,24R,25-Trihydroxyvitamin D3</v>
          </cell>
        </row>
        <row r="1225">
          <cell r="A1225" t="str">
            <v>20ahchsterol_m</v>
          </cell>
          <cell r="B1225" t="str">
            <v>20ahchsterol</v>
          </cell>
          <cell r="C1225" t="str">
            <v>20alpha-hydroxy cholesterol</v>
          </cell>
        </row>
        <row r="1226">
          <cell r="A1226" t="str">
            <v>2425dhvitd2_m</v>
          </cell>
          <cell r="B1226" t="str">
            <v>2425dhvitd2</v>
          </cell>
          <cell r="C1226" t="str">
            <v>24R,25-Dihyoxyvitamin D2</v>
          </cell>
        </row>
        <row r="1227">
          <cell r="A1227" t="str">
            <v>2dp6mep_m</v>
          </cell>
          <cell r="B1227" t="str">
            <v>2dp6mep</v>
          </cell>
          <cell r="C1227" t="str">
            <v>2-Decaprenyl-6-methoxyphenol</v>
          </cell>
        </row>
        <row r="1228">
          <cell r="A1228" t="str">
            <v>2dp6mobq_m</v>
          </cell>
          <cell r="B1228" t="str">
            <v>2dp6mobq</v>
          </cell>
          <cell r="C1228" t="str">
            <v>2-Decaprenyl-6-methoxy-1,4-benzoquinone</v>
          </cell>
        </row>
        <row r="1229">
          <cell r="A1229" t="str">
            <v>3aib_m</v>
          </cell>
          <cell r="B1229" t="str">
            <v>3aib</v>
          </cell>
          <cell r="C1229" t="str">
            <v>L-3-Amino-isobutanoate</v>
          </cell>
        </row>
        <row r="1230">
          <cell r="A1230" t="str">
            <v>3hibutcoa_m</v>
          </cell>
          <cell r="B1230" t="str">
            <v>3hibutcoa</v>
          </cell>
          <cell r="C1230" t="str">
            <v>(S)-3-Hydroxyisobutyryl-CoA</v>
          </cell>
        </row>
        <row r="1231">
          <cell r="A1231" t="str">
            <v>3mb2coa_m</v>
          </cell>
          <cell r="B1231" t="str">
            <v>3mb2coa</v>
          </cell>
          <cell r="C1231" t="str">
            <v>3-Methylbut-2-enoyl-CoA</v>
          </cell>
        </row>
        <row r="1232">
          <cell r="A1232" t="str">
            <v>3mgcoa_m</v>
          </cell>
          <cell r="B1232" t="str">
            <v>3mgcoa</v>
          </cell>
          <cell r="C1232" t="str">
            <v>3-Methylglutaconyl-CoA</v>
          </cell>
        </row>
        <row r="1233">
          <cell r="A1233" t="str">
            <v>3sala_m</v>
          </cell>
          <cell r="B1233" t="str">
            <v>3sala</v>
          </cell>
          <cell r="C1233" t="str">
            <v>3-Sulfino-L-alanine</v>
          </cell>
        </row>
        <row r="1234">
          <cell r="A1234" t="str">
            <v>3snpyr_m</v>
          </cell>
          <cell r="B1234" t="str">
            <v>3snpyr</v>
          </cell>
          <cell r="C1234" t="str">
            <v>3-Sulfinopyruvate</v>
          </cell>
        </row>
        <row r="1235">
          <cell r="A1235" t="str">
            <v>4tmeabut_m</v>
          </cell>
          <cell r="B1235" t="str">
            <v>4tmeabut</v>
          </cell>
          <cell r="C1235" t="str">
            <v>4-Trimethylammoniobutanal</v>
          </cell>
        </row>
        <row r="1236">
          <cell r="A1236" t="str">
            <v>5hoxindoa_m</v>
          </cell>
          <cell r="B1236" t="str">
            <v>5hoxindoa</v>
          </cell>
          <cell r="C1236" t="str">
            <v>5-Hydroxyindoleacetate</v>
          </cell>
        </row>
        <row r="1237">
          <cell r="A1237" t="str">
            <v>7dhf_m</v>
          </cell>
          <cell r="B1237" t="str">
            <v>7dhf</v>
          </cell>
          <cell r="C1237" t="str">
            <v>Heptaglutamyl folate (DHF)</v>
          </cell>
        </row>
        <row r="1238">
          <cell r="A1238" t="str">
            <v>7thf_m</v>
          </cell>
          <cell r="B1238" t="str">
            <v>7thf</v>
          </cell>
          <cell r="C1238" t="str">
            <v>Heptaglutamyl folate (THF)</v>
          </cell>
        </row>
        <row r="1239">
          <cell r="A1239" t="str">
            <v>L2aadp_m</v>
          </cell>
          <cell r="B1239" t="str">
            <v>L2aadp</v>
          </cell>
          <cell r="C1239" t="str">
            <v>L 2 Aminoadipate C6H10NO4</v>
          </cell>
        </row>
        <row r="1240">
          <cell r="A1240" t="str">
            <v>aact_m</v>
          </cell>
          <cell r="B1240" t="str">
            <v>aact</v>
          </cell>
          <cell r="C1240" t="str">
            <v>Aminoacetone</v>
          </cell>
        </row>
        <row r="1241">
          <cell r="A1241" t="str">
            <v>acac_m</v>
          </cell>
          <cell r="B1241" t="str">
            <v>acac</v>
          </cell>
          <cell r="C1241" t="str">
            <v>Acetoacetate</v>
          </cell>
        </row>
        <row r="1242">
          <cell r="A1242" t="str">
            <v>aldstrn_m</v>
          </cell>
          <cell r="B1242" t="str">
            <v>aldstrn</v>
          </cell>
          <cell r="C1242" t="str">
            <v>Aldstrn c</v>
          </cell>
        </row>
        <row r="1243">
          <cell r="A1243" t="str">
            <v>alpa_hs_m</v>
          </cell>
          <cell r="B1243" t="str">
            <v>alpa_hs</v>
          </cell>
          <cell r="C1243" t="str">
            <v>Lysophosphatidic acid (homo sapiens)</v>
          </cell>
        </row>
        <row r="1244">
          <cell r="A1244" t="str">
            <v>apoC_m</v>
          </cell>
          <cell r="B1244" t="str">
            <v>apoC</v>
          </cell>
          <cell r="C1244" t="str">
            <v>Apocarboxlase (no lys residue)</v>
          </cell>
        </row>
        <row r="1245">
          <cell r="A1245" t="str">
            <v>apoC_Lys_btn_m</v>
          </cell>
          <cell r="B1245" t="str">
            <v>apoC_Lys_btn</v>
          </cell>
          <cell r="C1245" t="str">
            <v>Holocarboxylase (biotin covalent bound to Lys residue of apoC)</v>
          </cell>
        </row>
        <row r="1246">
          <cell r="A1246" t="str">
            <v>arachdcoa_m</v>
          </cell>
          <cell r="B1246" t="str">
            <v>arachdcoa</v>
          </cell>
          <cell r="C1246" t="str">
            <v>C20:4-CoA</v>
          </cell>
        </row>
        <row r="1247">
          <cell r="A1247" t="str">
            <v>btamp_m</v>
          </cell>
          <cell r="B1247" t="str">
            <v>btamp</v>
          </cell>
          <cell r="C1247" t="str">
            <v>Biotinyl 5  AMP C20H27N7O9PS</v>
          </cell>
        </row>
        <row r="1248">
          <cell r="A1248" t="str">
            <v>cbl1_m</v>
          </cell>
          <cell r="B1248" t="str">
            <v>cbl1</v>
          </cell>
          <cell r="C1248" t="str">
            <v>Cob(I)alamin</v>
          </cell>
        </row>
        <row r="1249">
          <cell r="A1249" t="str">
            <v>cdpdag_hs_m</v>
          </cell>
          <cell r="B1249" t="str">
            <v>cdpdag_hs</v>
          </cell>
          <cell r="C1249" t="str">
            <v>CDP diacylglycerol (homo sapiens)</v>
          </cell>
        </row>
        <row r="1250">
          <cell r="A1250" t="str">
            <v>chol_m</v>
          </cell>
          <cell r="B1250" t="str">
            <v>chol</v>
          </cell>
          <cell r="C1250" t="str">
            <v>Choline C5H14NO</v>
          </cell>
        </row>
        <row r="1251">
          <cell r="A1251" t="str">
            <v>citr__L_m</v>
          </cell>
          <cell r="B1251" t="str">
            <v>citr__L</v>
          </cell>
          <cell r="C1251" t="str">
            <v>L-Citrulline</v>
          </cell>
        </row>
        <row r="1252">
          <cell r="A1252" t="str">
            <v>clpndcrn_m</v>
          </cell>
          <cell r="B1252" t="str">
            <v>clpndcrn</v>
          </cell>
          <cell r="C1252" t="str">
            <v>Clupanodonyl carnitine</v>
          </cell>
        </row>
        <row r="1253">
          <cell r="A1253" t="str">
            <v>cyan_m</v>
          </cell>
          <cell r="B1253" t="str">
            <v>cyan</v>
          </cell>
          <cell r="C1253" t="str">
            <v>Hydrogen cyanide</v>
          </cell>
        </row>
        <row r="1254">
          <cell r="A1254" t="str">
            <v>dctp_m</v>
          </cell>
          <cell r="B1254" t="str">
            <v>dctp</v>
          </cell>
          <cell r="C1254" t="str">
            <v>DCTP C9H12N3O13P3</v>
          </cell>
        </row>
        <row r="1255">
          <cell r="A1255" t="str">
            <v>dd2coa_m</v>
          </cell>
          <cell r="B1255" t="str">
            <v>dd2coa</v>
          </cell>
          <cell r="C1255" t="str">
            <v>Trans-Dodec-2-enoyl-CoA</v>
          </cell>
        </row>
        <row r="1256">
          <cell r="A1256" t="str">
            <v>decdp_m</v>
          </cell>
          <cell r="B1256" t="str">
            <v>decdp</v>
          </cell>
          <cell r="C1256" t="str">
            <v>All trans Decaprenyl diphosphate</v>
          </cell>
        </row>
        <row r="1257">
          <cell r="A1257" t="str">
            <v>dgsn_m</v>
          </cell>
          <cell r="B1257" t="str">
            <v>dgsn</v>
          </cell>
          <cell r="C1257" t="str">
            <v>Deoxyguanosine</v>
          </cell>
        </row>
        <row r="1258">
          <cell r="A1258" t="str">
            <v>dhcholestanate_m</v>
          </cell>
          <cell r="B1258" t="str">
            <v>dhcholestanate</v>
          </cell>
          <cell r="C1258" t="str">
            <v>3alpha,7alpha-Dihydroxy-5beta-cholestanate</v>
          </cell>
        </row>
        <row r="1259">
          <cell r="A1259" t="str">
            <v>dmhptcoa_m</v>
          </cell>
          <cell r="B1259" t="str">
            <v>dmhptcoa</v>
          </cell>
          <cell r="C1259" t="str">
            <v>2,6 dimethylheptanoyl-CoA</v>
          </cell>
        </row>
        <row r="1260">
          <cell r="A1260" t="str">
            <v>dmnoncoa_m</v>
          </cell>
          <cell r="B1260" t="str">
            <v>dmnoncoa</v>
          </cell>
          <cell r="C1260" t="str">
            <v>4,8 dimethylnonanoyl-CoA</v>
          </cell>
        </row>
        <row r="1261">
          <cell r="A1261" t="str">
            <v>dtdp_m</v>
          </cell>
          <cell r="B1261" t="str">
            <v>dtdp</v>
          </cell>
          <cell r="C1261" t="str">
            <v>DTDP C10H13N2O11P2</v>
          </cell>
        </row>
        <row r="1262">
          <cell r="A1262" t="str">
            <v>eicostetcoa_m</v>
          </cell>
          <cell r="B1262" t="str">
            <v>eicostetcoa</v>
          </cell>
          <cell r="C1262" t="str">
            <v>Eicosatetranoyl coenzyme A</v>
          </cell>
        </row>
        <row r="1263">
          <cell r="A1263" t="str">
            <v>glac_m</v>
          </cell>
          <cell r="B1263" t="str">
            <v>glac</v>
          </cell>
          <cell r="C1263" t="str">
            <v>D-glucurono-6,3-lactone</v>
          </cell>
        </row>
        <row r="1264">
          <cell r="A1264" t="str">
            <v>gmp_m</v>
          </cell>
          <cell r="B1264" t="str">
            <v>gmp</v>
          </cell>
          <cell r="C1264" t="str">
            <v>GMP C10H12N5O8P</v>
          </cell>
        </row>
        <row r="1265">
          <cell r="A1265" t="str">
            <v>hdd2crn_m</v>
          </cell>
          <cell r="B1265" t="str">
            <v>hdd2crn</v>
          </cell>
          <cell r="C1265" t="str">
            <v>Trans-Hexadec-2-enoyl carnitine</v>
          </cell>
        </row>
        <row r="1266">
          <cell r="A1266" t="str">
            <v>ibcoa_m</v>
          </cell>
          <cell r="B1266" t="str">
            <v>ibcoa</v>
          </cell>
          <cell r="C1266" t="str">
            <v>Isobutyryl-CoA</v>
          </cell>
        </row>
        <row r="1267">
          <cell r="A1267" t="str">
            <v>lneldccrn_m</v>
          </cell>
          <cell r="B1267" t="str">
            <v>lneldccrn</v>
          </cell>
          <cell r="C1267" t="str">
            <v>Linoelaidyl carnitine</v>
          </cell>
        </row>
        <row r="1268">
          <cell r="A1268" t="str">
            <v>mescon_m</v>
          </cell>
          <cell r="B1268" t="str">
            <v>mescon</v>
          </cell>
          <cell r="C1268" t="str">
            <v>Mesaconate;(E)-2-Methyl-2-butenedioic acid</v>
          </cell>
        </row>
        <row r="1269">
          <cell r="A1269" t="str">
            <v>n4abutn_m</v>
          </cell>
          <cell r="B1269" t="str">
            <v>n4abutn</v>
          </cell>
          <cell r="C1269" t="str">
            <v>N4 Acetylaminobutanal C6H11NO2</v>
          </cell>
        </row>
        <row r="1270">
          <cell r="A1270" t="str">
            <v>od2coa_m</v>
          </cell>
          <cell r="B1270" t="str">
            <v>od2coa</v>
          </cell>
          <cell r="C1270" t="str">
            <v>Trans-Octadec-2-enoyl-CoA</v>
          </cell>
        </row>
        <row r="1271">
          <cell r="A1271" t="str">
            <v>phpyr_m</v>
          </cell>
          <cell r="B1271" t="str">
            <v>phpyr</v>
          </cell>
          <cell r="C1271" t="str">
            <v>Phenylpyruvate</v>
          </cell>
        </row>
        <row r="1272">
          <cell r="A1272" t="str">
            <v>ppa_m</v>
          </cell>
          <cell r="B1272" t="str">
            <v>ppa</v>
          </cell>
          <cell r="C1272" t="str">
            <v>Propionate (n-C3:0)</v>
          </cell>
        </row>
        <row r="1273">
          <cell r="A1273" t="str">
            <v>pyam5p_m</v>
          </cell>
          <cell r="B1273" t="str">
            <v>pyam5p</v>
          </cell>
          <cell r="C1273" t="str">
            <v>Pyridoxamine 5'-phosphate</v>
          </cell>
        </row>
        <row r="1274">
          <cell r="A1274" t="str">
            <v>sl__L_m</v>
          </cell>
          <cell r="B1274" t="str">
            <v>sl__L</v>
          </cell>
          <cell r="C1274" t="str">
            <v>Sl  L c</v>
          </cell>
        </row>
        <row r="1275">
          <cell r="A1275" t="str">
            <v>so3_m</v>
          </cell>
          <cell r="B1275" t="str">
            <v>so3</v>
          </cell>
          <cell r="C1275" t="str">
            <v>Sulfite</v>
          </cell>
        </row>
        <row r="1276">
          <cell r="A1276" t="str">
            <v>stcrn_m</v>
          </cell>
          <cell r="B1276" t="str">
            <v>stcrn</v>
          </cell>
          <cell r="C1276" t="str">
            <v>Stearoylcarnitine</v>
          </cell>
        </row>
        <row r="1277">
          <cell r="A1277" t="str">
            <v>tetpent6coa_m</v>
          </cell>
          <cell r="B1277" t="str">
            <v>tetpent6coa</v>
          </cell>
          <cell r="C1277" t="str">
            <v>Tetracosapentaenoyl coenzyme A, n-6</v>
          </cell>
        </row>
        <row r="1278">
          <cell r="A1278" t="str">
            <v>tettet6crn_m</v>
          </cell>
          <cell r="B1278" t="str">
            <v>tettet6crn</v>
          </cell>
          <cell r="C1278" t="str">
            <v>Tetracosatetraenoyl carnitine</v>
          </cell>
        </row>
        <row r="1279">
          <cell r="A1279" t="str">
            <v>thm_m</v>
          </cell>
          <cell r="B1279" t="str">
            <v>thm</v>
          </cell>
          <cell r="C1279" t="str">
            <v>Thiamin</v>
          </cell>
        </row>
        <row r="1280">
          <cell r="A1280" t="str">
            <v>thmmp_m</v>
          </cell>
          <cell r="B1280" t="str">
            <v>thmmp</v>
          </cell>
          <cell r="C1280" t="str">
            <v>Thiamin monophosphate</v>
          </cell>
        </row>
        <row r="1281">
          <cell r="A1281" t="str">
            <v>tmndnccoa_m</v>
          </cell>
          <cell r="B1281" t="str">
            <v>tmndnccoa</v>
          </cell>
          <cell r="C1281" t="str">
            <v>Timnodonyl coenzyme A</v>
          </cell>
        </row>
        <row r="1282">
          <cell r="A1282" t="str">
            <v>tmndnccrn_m</v>
          </cell>
          <cell r="B1282" t="str">
            <v>tmndnccrn</v>
          </cell>
          <cell r="C1282" t="str">
            <v>Timnodonyl carnitine</v>
          </cell>
        </row>
        <row r="1283">
          <cell r="A1283" t="str">
            <v>tsul_m</v>
          </cell>
          <cell r="B1283" t="str">
            <v>tsul</v>
          </cell>
          <cell r="C1283" t="str">
            <v>Thiosulfate</v>
          </cell>
        </row>
        <row r="1284">
          <cell r="A1284" t="str">
            <v>vacccrn_m</v>
          </cell>
          <cell r="B1284" t="str">
            <v>vacccrn</v>
          </cell>
          <cell r="C1284" t="str">
            <v>Vaccenyl carnitine</v>
          </cell>
        </row>
        <row r="1285">
          <cell r="A1285" t="str">
            <v>vitd3_m</v>
          </cell>
          <cell r="B1285" t="str">
            <v>vitd3</v>
          </cell>
          <cell r="C1285" t="str">
            <v>Calciol; (+)-Vitamin D3</v>
          </cell>
        </row>
        <row r="1286">
          <cell r="A1286" t="str">
            <v>xol7ah2_m</v>
          </cell>
          <cell r="B1286" t="str">
            <v>xol7ah2</v>
          </cell>
          <cell r="C1286" t="str">
            <v>3alpha,7alpha-Dihydroxy-5beta-cholestane</v>
          </cell>
        </row>
        <row r="1287">
          <cell r="A1287" t="str">
            <v>6pthp_n</v>
          </cell>
          <cell r="B1287" t="str">
            <v>6pthp</v>
          </cell>
          <cell r="C1287" t="str">
            <v>6-Pyruvoyl-5,6,7,8-tetrahydropterin</v>
          </cell>
        </row>
        <row r="1288">
          <cell r="A1288" t="str">
            <v>Nmelys_n</v>
          </cell>
          <cell r="B1288" t="str">
            <v>Nmelys</v>
          </cell>
          <cell r="C1288" t="str">
            <v>Histone N6-methyl-L-lysine</v>
          </cell>
        </row>
        <row r="1289">
          <cell r="A1289" t="str">
            <v>ach_n</v>
          </cell>
          <cell r="B1289" t="str">
            <v>ach</v>
          </cell>
          <cell r="C1289" t="str">
            <v>Acetylcholine</v>
          </cell>
        </row>
        <row r="1290">
          <cell r="A1290" t="str">
            <v>dag_hs_n</v>
          </cell>
          <cell r="B1290" t="str">
            <v>dag_hs</v>
          </cell>
          <cell r="C1290" t="str">
            <v>Diacylglycerol (homo sapiens)</v>
          </cell>
        </row>
        <row r="1291">
          <cell r="A1291" t="str">
            <v>dcmp_n</v>
          </cell>
          <cell r="B1291" t="str">
            <v>dcmp</v>
          </cell>
          <cell r="C1291" t="str">
            <v>DCMP C9H12N3O7P</v>
          </cell>
        </row>
        <row r="1292">
          <cell r="A1292" t="str">
            <v>didp_n</v>
          </cell>
          <cell r="B1292" t="str">
            <v>didp</v>
          </cell>
          <cell r="C1292" t="str">
            <v>DIDP; 2'-deoxyinosine-5'-diphosphate(3-)</v>
          </cell>
        </row>
        <row r="1293">
          <cell r="A1293" t="str">
            <v>dna_n</v>
          </cell>
          <cell r="B1293" t="str">
            <v>dna</v>
          </cell>
          <cell r="C1293" t="str">
            <v>DNA</v>
          </cell>
        </row>
        <row r="1294">
          <cell r="A1294" t="str">
            <v>for_n</v>
          </cell>
          <cell r="B1294" t="str">
            <v>for</v>
          </cell>
          <cell r="C1294" t="str">
            <v>Formate</v>
          </cell>
        </row>
        <row r="1295">
          <cell r="A1295" t="str">
            <v>gtp_n</v>
          </cell>
          <cell r="B1295" t="str">
            <v>gtp</v>
          </cell>
          <cell r="C1295" t="str">
            <v>GTP C10H12N5O14P3</v>
          </cell>
        </row>
        <row r="1296">
          <cell r="A1296" t="str">
            <v>mi1346p_n</v>
          </cell>
          <cell r="B1296" t="str">
            <v>mi1346p</v>
          </cell>
          <cell r="C1296" t="str">
            <v>1D-myo-Inositol 1,3,4,6-tetrakisphosphate</v>
          </cell>
        </row>
        <row r="1297">
          <cell r="A1297" t="str">
            <v>nadph_n</v>
          </cell>
          <cell r="B1297" t="str">
            <v>nadph</v>
          </cell>
          <cell r="C1297" t="str">
            <v>Nicotinamide adenine dinucleotide phosphate - reduced</v>
          </cell>
        </row>
        <row r="1298">
          <cell r="A1298" t="str">
            <v>nmn_n</v>
          </cell>
          <cell r="B1298" t="str">
            <v>nmn</v>
          </cell>
          <cell r="C1298" t="str">
            <v>NMN C11H14N2O8P</v>
          </cell>
        </row>
        <row r="1299">
          <cell r="A1299" t="str">
            <v>ppmi1346p_n</v>
          </cell>
          <cell r="B1299" t="str">
            <v>ppmi1346p</v>
          </cell>
          <cell r="C1299" t="str">
            <v>Diphosphoinositol tetrakisphosphate C6H7O24P6</v>
          </cell>
        </row>
        <row r="1300">
          <cell r="A1300" t="str">
            <v>retn_n</v>
          </cell>
          <cell r="B1300" t="str">
            <v>retn</v>
          </cell>
          <cell r="C1300" t="str">
            <v>Retinoate</v>
          </cell>
        </row>
        <row r="1301">
          <cell r="A1301" t="str">
            <v>thbpt_n</v>
          </cell>
          <cell r="B1301" t="str">
            <v>thbpt</v>
          </cell>
          <cell r="C1301" t="str">
            <v>Tetrahydrobiopterin</v>
          </cell>
        </row>
        <row r="1302">
          <cell r="A1302" t="str">
            <v>12harachd_r</v>
          </cell>
          <cell r="B1302" t="str">
            <v>12harachd</v>
          </cell>
          <cell r="C1302" t="str">
            <v>12 hydroxy arachidonic acid</v>
          </cell>
        </row>
        <row r="1303">
          <cell r="A1303" t="str">
            <v>17ahprgnlone_r</v>
          </cell>
          <cell r="B1303" t="str">
            <v>17ahprgnlone</v>
          </cell>
          <cell r="C1303" t="str">
            <v>17alpha-Hydroxypregnenolone</v>
          </cell>
        </row>
        <row r="1304">
          <cell r="A1304" t="str">
            <v>18harachd_r</v>
          </cell>
          <cell r="B1304" t="str">
            <v>18harachd</v>
          </cell>
          <cell r="C1304" t="str">
            <v>18 hydroxy arachidonic acid</v>
          </cell>
        </row>
        <row r="1305">
          <cell r="A1305" t="str">
            <v>44mctr_r</v>
          </cell>
          <cell r="B1305" t="str">
            <v>44mctr</v>
          </cell>
          <cell r="C1305" t="str">
            <v>4 4 dimethylcholesta 8 14 24 trienol C29H46O</v>
          </cell>
        </row>
        <row r="1306">
          <cell r="A1306" t="str">
            <v>4hpro_LT_r</v>
          </cell>
          <cell r="B1306" t="str">
            <v>4hpro_LT</v>
          </cell>
          <cell r="C1306" t="str">
            <v>Trans 4 Hydroxy L proline C5H9NO3</v>
          </cell>
        </row>
        <row r="1307">
          <cell r="A1307" t="str">
            <v>5adtststeroneglc_r</v>
          </cell>
          <cell r="B1307" t="str">
            <v>5adtststeroneglc</v>
          </cell>
          <cell r="C1307" t="str">
            <v>5alpha-Dihydrotestosterone glucuronide</v>
          </cell>
        </row>
        <row r="1308">
          <cell r="A1308" t="str">
            <v>6pgc_r</v>
          </cell>
          <cell r="B1308" t="str">
            <v>6pgc</v>
          </cell>
          <cell r="C1308" t="str">
            <v>6-Phospho-D-gluconate</v>
          </cell>
        </row>
        <row r="1309">
          <cell r="A1309" t="str">
            <v>Ser_Gly_Ala_X_Gly_r</v>
          </cell>
          <cell r="B1309" t="str">
            <v>Ser_Gly_Ala_X_Gly</v>
          </cell>
          <cell r="C1309" t="str">
            <v>Protein-linked serine residue (glycosaminoglycan attachment site)</v>
          </cell>
        </row>
        <row r="1310">
          <cell r="A1310" t="str">
            <v>acald_r</v>
          </cell>
          <cell r="B1310" t="str">
            <v>acald</v>
          </cell>
          <cell r="C1310" t="str">
            <v>Acetaldehyde</v>
          </cell>
        </row>
        <row r="1311">
          <cell r="A1311" t="str">
            <v>adp_r</v>
          </cell>
          <cell r="B1311" t="str">
            <v>adp</v>
          </cell>
          <cell r="C1311" t="str">
            <v>ADP C10H12N5O10P2</v>
          </cell>
        </row>
        <row r="1312">
          <cell r="A1312" t="str">
            <v>ahandrostanglc_r</v>
          </cell>
          <cell r="B1312" t="str">
            <v>ahandrostanglc</v>
          </cell>
          <cell r="C1312" t="str">
            <v>Etiocholan-3alpha-ol-17-one 3-glucuronide</v>
          </cell>
        </row>
        <row r="1313">
          <cell r="A1313" t="str">
            <v>akg_r</v>
          </cell>
          <cell r="B1313" t="str">
            <v>akg</v>
          </cell>
          <cell r="C1313" t="str">
            <v>2-Oxoglutarate</v>
          </cell>
        </row>
        <row r="1314">
          <cell r="A1314" t="str">
            <v>amet_r</v>
          </cell>
          <cell r="B1314" t="str">
            <v>amet</v>
          </cell>
          <cell r="C1314" t="str">
            <v>S-Adenosyl-L-methionine</v>
          </cell>
        </row>
        <row r="1315">
          <cell r="A1315" t="str">
            <v>andrstandn_r</v>
          </cell>
          <cell r="B1315" t="str">
            <v>andrstandn</v>
          </cell>
          <cell r="C1315" t="str">
            <v>5alpha-androstane-3,17-dione</v>
          </cell>
        </row>
        <row r="1316">
          <cell r="A1316" t="str">
            <v>bilglcur_r</v>
          </cell>
          <cell r="B1316" t="str">
            <v>bilglcur</v>
          </cell>
          <cell r="C1316" t="str">
            <v>Bilirubin monoglucuronide</v>
          </cell>
        </row>
        <row r="1317">
          <cell r="A1317" t="str">
            <v>crm_hs_r</v>
          </cell>
          <cell r="B1317" t="str">
            <v>crm_hs</v>
          </cell>
          <cell r="C1317" t="str">
            <v>Ceramide (homo sapiens)</v>
          </cell>
        </row>
        <row r="1318">
          <cell r="A1318" t="str">
            <v>crn_r</v>
          </cell>
          <cell r="B1318" t="str">
            <v>crn</v>
          </cell>
          <cell r="C1318" t="str">
            <v>L-Carnitine</v>
          </cell>
        </row>
        <row r="1319">
          <cell r="A1319" t="str">
            <v>dem2emgacpail_prot_hs_r</v>
          </cell>
          <cell r="B1319" t="str">
            <v>dem2emgacpail_prot_hs</v>
          </cell>
          <cell r="C1319" t="str">
            <v>Deacylated-(phosphoethanolaminyl-dimannosyl),(phosphoethanolaminyl)-mannosyl-glucosaminyl-acylphosphatidylinositol</v>
          </cell>
        </row>
        <row r="1320">
          <cell r="A1320" t="str">
            <v>dhcholoylcoa_r</v>
          </cell>
          <cell r="B1320" t="str">
            <v>dhcholoylcoa</v>
          </cell>
          <cell r="C1320" t="str">
            <v>3alpha,7alpha-Dihydroxy-5beta-cholest-24-enoyl-CoA</v>
          </cell>
        </row>
        <row r="1321">
          <cell r="A1321" t="str">
            <v>doldp_U_r</v>
          </cell>
          <cell r="B1321" t="str">
            <v>doldp_U</v>
          </cell>
          <cell r="C1321" t="str">
            <v>Dolichol diphosphate, human uterine homolog</v>
          </cell>
        </row>
        <row r="1322">
          <cell r="A1322" t="str">
            <v>dolichol_U_r</v>
          </cell>
          <cell r="B1322" t="str">
            <v>dolichol_U</v>
          </cell>
          <cell r="C1322" t="str">
            <v>Dolichol, human uterine homolog</v>
          </cell>
        </row>
        <row r="1323">
          <cell r="A1323" t="str">
            <v>ecgon_r</v>
          </cell>
          <cell r="B1323" t="str">
            <v>ecgon</v>
          </cell>
          <cell r="C1323" t="str">
            <v>Ecgon r</v>
          </cell>
        </row>
        <row r="1324">
          <cell r="A1324" t="str">
            <v>em2emgacpail_hs_r</v>
          </cell>
          <cell r="B1324" t="str">
            <v>em2emgacpail_hs</v>
          </cell>
          <cell r="C1324" t="str">
            <v>(phosphoethanolaminyl-dimannosyl),(phosphoethanolaminyl)-mannosyl-glucosaminyl-acylphosphatidylinositol (H7)</v>
          </cell>
        </row>
        <row r="1325">
          <cell r="A1325" t="str">
            <v>em3gacpail_hs_r</v>
          </cell>
          <cell r="B1325" t="str">
            <v>em3gacpail_hs</v>
          </cell>
          <cell r="C1325" t="str">
            <v>Phosphoethanolaminyl-trimannosyl-glucosaminyl-acylphosphatidylinositol (H6')</v>
          </cell>
        </row>
        <row r="1326">
          <cell r="A1326" t="str">
            <v>estriol_r</v>
          </cell>
          <cell r="B1326" t="str">
            <v>estriol</v>
          </cell>
          <cell r="C1326" t="str">
            <v>Estriol c</v>
          </cell>
        </row>
        <row r="1327">
          <cell r="A1327" t="str">
            <v>fad_r</v>
          </cell>
          <cell r="B1327" t="str">
            <v>fad</v>
          </cell>
          <cell r="C1327" t="str">
            <v>Flavin adenine dinucleotide oxidized</v>
          </cell>
        </row>
        <row r="1328">
          <cell r="A1328" t="str">
            <v>frdp_r</v>
          </cell>
          <cell r="B1328" t="str">
            <v>frdp</v>
          </cell>
          <cell r="C1328" t="str">
            <v>Farnesyl diphosphate</v>
          </cell>
        </row>
        <row r="1329">
          <cell r="A1329" t="str">
            <v>g1m6masnB1_r</v>
          </cell>
          <cell r="B1329" t="str">
            <v>g1m6masnB1</v>
          </cell>
          <cell r="C1329" t="str">
            <v>Glucosyl-(alpha-D-mannosyl)6-beta-D-mannosyl-diacetylchitobiosyl-L-asparagine (protein)</v>
          </cell>
        </row>
        <row r="1330">
          <cell r="A1330" t="str">
            <v>g2m8mpdol_U_r</v>
          </cell>
          <cell r="B1330" t="str">
            <v>g2m8mpdol_U</v>
          </cell>
          <cell r="C1330" t="str">
            <v>(alpha-D-Glucosyl)2-(alpha-D-mannosyl)8-beta-D-mannosyl-diacetylchitobiosyldiphosphodolichol, human uterine homolog</v>
          </cell>
        </row>
        <row r="1331">
          <cell r="A1331" t="str">
            <v>hdca_r</v>
          </cell>
          <cell r="B1331" t="str">
            <v>hdca</v>
          </cell>
          <cell r="C1331" t="str">
            <v>Hexadecanoate (n-C16:0)</v>
          </cell>
        </row>
        <row r="1332">
          <cell r="A1332" t="str">
            <v>hmgcoa_r</v>
          </cell>
          <cell r="B1332" t="str">
            <v>hmgcoa</v>
          </cell>
          <cell r="C1332" t="str">
            <v>Hydroxymethylglutaryl CoA C27H39N7O20P3S</v>
          </cell>
        </row>
        <row r="1333">
          <cell r="A1333" t="str">
            <v>leuktrB4_r</v>
          </cell>
          <cell r="B1333" t="str">
            <v>leuktrB4</v>
          </cell>
          <cell r="C1333" t="str">
            <v>Leukotriene B4(1-)</v>
          </cell>
        </row>
        <row r="1334">
          <cell r="A1334" t="str">
            <v>leuktrB4woh_r</v>
          </cell>
          <cell r="B1334" t="str">
            <v>leuktrB4woh</v>
          </cell>
          <cell r="C1334" t="str">
            <v>W-hydroxyl leukotriene B4</v>
          </cell>
        </row>
        <row r="1335">
          <cell r="A1335" t="str">
            <v>lthstrl_r</v>
          </cell>
          <cell r="B1335" t="str">
            <v>lthstrl</v>
          </cell>
          <cell r="C1335" t="str">
            <v>5alpha-Cholest-7-en-3beta-ol</v>
          </cell>
        </row>
        <row r="1336">
          <cell r="A1336" t="str">
            <v>m_em_3gacpail_hs_r</v>
          </cell>
          <cell r="B1336" t="str">
            <v>m_em_3gacpail_hs</v>
          </cell>
          <cell r="C1336" t="str">
            <v>M LPAREN em RPAREN 3gacpail hs r</v>
          </cell>
        </row>
        <row r="1337">
          <cell r="A1337" t="str">
            <v>m6mpdol_U_r</v>
          </cell>
          <cell r="B1337" t="str">
            <v>m6mpdol_U</v>
          </cell>
          <cell r="C1337" t="str">
            <v>(alpha-D-Mannosyl)6-beta-D-mannosyl-diacetylchitobiosyldiphosphodolichol, human uterine homolog</v>
          </cell>
        </row>
        <row r="1338">
          <cell r="A1338" t="str">
            <v>m7masnB_r</v>
          </cell>
          <cell r="B1338" t="str">
            <v>m7masnB</v>
          </cell>
          <cell r="C1338" t="str">
            <v>(alpha-D-mannosyl)7-beta-D-mannosyl-diacetylchitobiosyl-L-asparagine, isoform B (protein)</v>
          </cell>
        </row>
        <row r="1339">
          <cell r="A1339" t="str">
            <v>m7mpdol__L_r</v>
          </cell>
          <cell r="B1339" t="str">
            <v>m7mpdol__L</v>
          </cell>
          <cell r="C1339" t="str">
            <v>(alpha-D-Mannosyl)7-beta-D-mannosyl-diacetylchitobiosyldiphosphodolichol, human liver homolog</v>
          </cell>
        </row>
        <row r="1340">
          <cell r="A1340" t="str">
            <v>m8masn_r</v>
          </cell>
          <cell r="B1340" t="str">
            <v>m8masn</v>
          </cell>
          <cell r="C1340" t="str">
            <v>(alpha-D-mannosyl)8-beta-D-mannosyl-diacetylchitobiosyl-L-asparagine (protein)</v>
          </cell>
        </row>
        <row r="1341">
          <cell r="A1341" t="str">
            <v>mem2emgacpail_hs_r</v>
          </cell>
          <cell r="B1341" t="str">
            <v>mem2emgacpail_hs</v>
          </cell>
          <cell r="C1341" t="str">
            <v>({[(mannosyl),(phosphoethanolaminyl)]-dimannosyl},{phosphoethanolaminyl})-mannosyl-glucosaminyl-acylphosphatidylinositol (M4B)</v>
          </cell>
        </row>
        <row r="1342">
          <cell r="A1342" t="str">
            <v>pchol_hs_r</v>
          </cell>
          <cell r="B1342" t="str">
            <v>pchol_hs</v>
          </cell>
          <cell r="C1342" t="str">
            <v>Phosphatidylcholine (homo sapiens)</v>
          </cell>
        </row>
        <row r="1343">
          <cell r="A1343" t="str">
            <v>pecgoncoa_r</v>
          </cell>
          <cell r="B1343" t="str">
            <v>pecgoncoa</v>
          </cell>
          <cell r="C1343" t="str">
            <v>Pseudoecgonyl-CoA</v>
          </cell>
        </row>
        <row r="1344">
          <cell r="A1344" t="str">
            <v>pepslys_r</v>
          </cell>
          <cell r="B1344" t="str">
            <v>pepslys</v>
          </cell>
          <cell r="C1344" t="str">
            <v>Peptide sans lysine</v>
          </cell>
        </row>
        <row r="1345">
          <cell r="A1345" t="str">
            <v>pre_prot_r</v>
          </cell>
          <cell r="B1345" t="str">
            <v>pre_prot</v>
          </cell>
          <cell r="C1345" t="str">
            <v>Glycophosphatidylinositol (GPI)-anchored protein precursor</v>
          </cell>
        </row>
        <row r="1346">
          <cell r="A1346" t="str">
            <v>prgnlone_r</v>
          </cell>
          <cell r="B1346" t="str">
            <v>prgnlone</v>
          </cell>
          <cell r="C1346" t="str">
            <v>Prgnlone c</v>
          </cell>
        </row>
        <row r="1347">
          <cell r="A1347" t="str">
            <v>prgstrn_r</v>
          </cell>
          <cell r="B1347" t="str">
            <v>prgstrn</v>
          </cell>
          <cell r="C1347" t="str">
            <v>Prgstrn c</v>
          </cell>
        </row>
        <row r="1348">
          <cell r="A1348" t="str">
            <v>prostgd2_r</v>
          </cell>
          <cell r="B1348" t="str">
            <v>prostgd2</v>
          </cell>
          <cell r="C1348" t="str">
            <v>Prostaglandin D2</v>
          </cell>
        </row>
        <row r="1349">
          <cell r="A1349" t="str">
            <v>succ_r</v>
          </cell>
          <cell r="B1349" t="str">
            <v>succ</v>
          </cell>
          <cell r="C1349" t="str">
            <v>Succinate</v>
          </cell>
        </row>
        <row r="1350">
          <cell r="A1350" t="str">
            <v>thcholstoic_r</v>
          </cell>
          <cell r="B1350" t="str">
            <v>thcholstoic</v>
          </cell>
          <cell r="C1350" t="str">
            <v>3alpha,7alpha,12alpha-Trihydroxy-5beta-cholestanoate</v>
          </cell>
        </row>
        <row r="1351">
          <cell r="A1351" t="str">
            <v>tststerone_r</v>
          </cell>
          <cell r="B1351" t="str">
            <v>tststerone</v>
          </cell>
          <cell r="C1351" t="str">
            <v>Tststerone c</v>
          </cell>
        </row>
        <row r="1352">
          <cell r="A1352" t="str">
            <v>ump_r</v>
          </cell>
          <cell r="B1352" t="str">
            <v>ump</v>
          </cell>
          <cell r="C1352" t="str">
            <v>UMP C9H11N2O9P</v>
          </cell>
        </row>
        <row r="1353">
          <cell r="A1353" t="str">
            <v>xol27oh_r</v>
          </cell>
          <cell r="B1353" t="str">
            <v>xol27oh</v>
          </cell>
          <cell r="C1353" t="str">
            <v>27-Hydroxycholesterol</v>
          </cell>
        </row>
        <row r="1354">
          <cell r="A1354" t="str">
            <v>xol7a_r</v>
          </cell>
          <cell r="B1354" t="str">
            <v>xol7a</v>
          </cell>
          <cell r="C1354" t="str">
            <v>7 alpha-Hydroxycholesterol</v>
          </cell>
        </row>
        <row r="1355">
          <cell r="A1355" t="str">
            <v>xoltri27_r</v>
          </cell>
          <cell r="B1355" t="str">
            <v>xoltri27</v>
          </cell>
          <cell r="C1355" t="str">
            <v>7-alpha,27-Dihydroxycholesterol</v>
          </cell>
        </row>
        <row r="1356">
          <cell r="A1356" t="str">
            <v>3h26dm5coa_x</v>
          </cell>
          <cell r="B1356" t="str">
            <v>3h26dm5coa</v>
          </cell>
          <cell r="C1356" t="str">
            <v>3-Hydroxy-2,6-dimethyl-5-methylene-heptanoyl-CoA</v>
          </cell>
        </row>
        <row r="1357">
          <cell r="A1357" t="str">
            <v>3hpcoa_x</v>
          </cell>
          <cell r="B1357" t="str">
            <v>3hpcoa</v>
          </cell>
          <cell r="C1357" t="str">
            <v>3-Hydroxypropionyl-CoA</v>
          </cell>
        </row>
        <row r="1358">
          <cell r="A1358" t="str">
            <v>5dpmev_x</v>
          </cell>
          <cell r="B1358" t="str">
            <v>5dpmev</v>
          </cell>
          <cell r="C1358" t="str">
            <v xml:space="preserve"> R  5 Diphosphomevalonate C6H10O10P2</v>
          </cell>
        </row>
        <row r="1359">
          <cell r="A1359" t="str">
            <v>5g2oxpt_x</v>
          </cell>
          <cell r="B1359" t="str">
            <v>5g2oxpt</v>
          </cell>
          <cell r="C1359" t="str">
            <v>2-Oxoarginine</v>
          </cell>
        </row>
        <row r="1360">
          <cell r="A1360" t="str">
            <v>acald_x</v>
          </cell>
          <cell r="B1360" t="str">
            <v>acald</v>
          </cell>
          <cell r="C1360" t="str">
            <v>Acetaldehyde</v>
          </cell>
        </row>
        <row r="1361">
          <cell r="A1361" t="str">
            <v>adrn_x</v>
          </cell>
          <cell r="B1361" t="str">
            <v>adrn</v>
          </cell>
          <cell r="C1361" t="str">
            <v>Adrenic acid</v>
          </cell>
        </row>
        <row r="1362">
          <cell r="A1362" t="str">
            <v>akdhap_hs_x</v>
          </cell>
          <cell r="B1362" t="str">
            <v>akdhap_hs</v>
          </cell>
          <cell r="C1362" t="str">
            <v>1-alkyldihydroxyacetone phosphate</v>
          </cell>
        </row>
        <row r="1363">
          <cell r="A1363" t="str">
            <v>ala__L_x</v>
          </cell>
          <cell r="B1363" t="str">
            <v>ala__L</v>
          </cell>
          <cell r="C1363" t="str">
            <v>L-Alanine</v>
          </cell>
        </row>
        <row r="1364">
          <cell r="A1364" t="str">
            <v>asp__D_x</v>
          </cell>
          <cell r="B1364" t="str">
            <v>asp__D</v>
          </cell>
          <cell r="C1364" t="str">
            <v>D-Aspartate</v>
          </cell>
        </row>
        <row r="1365">
          <cell r="A1365" t="str">
            <v>cholcoa_x</v>
          </cell>
          <cell r="B1365" t="str">
            <v>cholcoa</v>
          </cell>
          <cell r="C1365" t="str">
            <v>Choloyl-CoA(4-)</v>
          </cell>
        </row>
        <row r="1366">
          <cell r="A1366" t="str">
            <v>cholcoaone_x</v>
          </cell>
          <cell r="B1366" t="str">
            <v>cholcoaone</v>
          </cell>
          <cell r="C1366" t="str">
            <v>3alpha,7alpha,12alpha-Trihydroxy-5beta-24-oxocholestanoyl-CoA</v>
          </cell>
        </row>
        <row r="1367">
          <cell r="A1367" t="str">
            <v>dhcholoylcoa_x</v>
          </cell>
          <cell r="B1367" t="str">
            <v>dhcholoylcoa</v>
          </cell>
          <cell r="C1367" t="str">
            <v>3alpha,7alpha-Dihydroxy-5beta-cholest-24-enoyl-CoA</v>
          </cell>
        </row>
        <row r="1368">
          <cell r="A1368" t="str">
            <v>dmnoncrn_x</v>
          </cell>
          <cell r="B1368" t="str">
            <v>dmnoncrn</v>
          </cell>
          <cell r="C1368" t="str">
            <v>4,8 dimethylnonanoyl carnitine</v>
          </cell>
        </row>
        <row r="1369">
          <cell r="A1369" t="str">
            <v>dmpp_x</v>
          </cell>
          <cell r="B1369" t="str">
            <v>dmpp</v>
          </cell>
          <cell r="C1369" t="str">
            <v>Dimethylallyl diphosphate</v>
          </cell>
        </row>
        <row r="1370">
          <cell r="A1370" t="str">
            <v>fad_x</v>
          </cell>
          <cell r="B1370" t="str">
            <v>fad</v>
          </cell>
          <cell r="C1370" t="str">
            <v>Flavin adenine dinucleotide oxidized</v>
          </cell>
        </row>
        <row r="1371">
          <cell r="A1371" t="str">
            <v>forcoa_x</v>
          </cell>
          <cell r="B1371" t="str">
            <v>forcoa</v>
          </cell>
          <cell r="C1371" t="str">
            <v>Formyl-CoA(4-)</v>
          </cell>
        </row>
        <row r="1372">
          <cell r="A1372" t="str">
            <v>frdp_x</v>
          </cell>
          <cell r="B1372" t="str">
            <v>frdp</v>
          </cell>
          <cell r="C1372" t="str">
            <v>Farnesyl diphosphate</v>
          </cell>
        </row>
        <row r="1373">
          <cell r="A1373" t="str">
            <v>gchola_x</v>
          </cell>
          <cell r="B1373" t="str">
            <v>gchola</v>
          </cell>
          <cell r="C1373" t="str">
            <v>Glycocholate</v>
          </cell>
        </row>
        <row r="1374">
          <cell r="A1374" t="str">
            <v>glyclt_x</v>
          </cell>
          <cell r="B1374" t="str">
            <v>glyclt</v>
          </cell>
          <cell r="C1374" t="str">
            <v>Glycolate C2H3O3</v>
          </cell>
        </row>
        <row r="1375">
          <cell r="A1375" t="str">
            <v>grdp_x</v>
          </cell>
          <cell r="B1375" t="str">
            <v>grdp</v>
          </cell>
          <cell r="C1375" t="str">
            <v>Geranyl diphosphate</v>
          </cell>
        </row>
        <row r="1376">
          <cell r="A1376" t="str">
            <v>hmgcoa_x</v>
          </cell>
          <cell r="B1376" t="str">
            <v>hmgcoa</v>
          </cell>
          <cell r="C1376" t="str">
            <v>Hydroxymethylglutaryl CoA C27H39N7O20P3S</v>
          </cell>
        </row>
        <row r="1377">
          <cell r="A1377" t="str">
            <v>hxan_x</v>
          </cell>
          <cell r="B1377" t="str">
            <v>hxan</v>
          </cell>
          <cell r="C1377" t="str">
            <v>Hypoxanthine</v>
          </cell>
        </row>
        <row r="1378">
          <cell r="A1378" t="str">
            <v>lnlncgcoa_x</v>
          </cell>
          <cell r="B1378" t="str">
            <v>lnlncgcoa</v>
          </cell>
          <cell r="C1378" t="str">
            <v>Gamma-linolenoyl-CoA</v>
          </cell>
        </row>
        <row r="1379">
          <cell r="A1379" t="str">
            <v>orn__D_x</v>
          </cell>
          <cell r="B1379" t="str">
            <v>orn__D</v>
          </cell>
          <cell r="C1379" t="str">
            <v>D-Ornithine</v>
          </cell>
        </row>
        <row r="1380">
          <cell r="A1380" t="str">
            <v>pcrn_x</v>
          </cell>
          <cell r="B1380" t="str">
            <v>pcrn</v>
          </cell>
          <cell r="C1380" t="str">
            <v>Propionyl-carnitine</v>
          </cell>
        </row>
        <row r="1381">
          <cell r="A1381" t="str">
            <v>phyt_x</v>
          </cell>
          <cell r="B1381" t="str">
            <v>phyt</v>
          </cell>
          <cell r="C1381" t="str">
            <v>Phytanic acid</v>
          </cell>
        </row>
        <row r="1382">
          <cell r="A1382" t="str">
            <v>prpncoa_x</v>
          </cell>
          <cell r="B1382" t="str">
            <v>prpncoa</v>
          </cell>
          <cell r="C1382" t="str">
            <v>Propenoyl-CoA</v>
          </cell>
        </row>
        <row r="1383">
          <cell r="A1383" t="str">
            <v>succ_x</v>
          </cell>
          <cell r="B1383" t="str">
            <v>succ</v>
          </cell>
          <cell r="C1383" t="str">
            <v>Succinate</v>
          </cell>
        </row>
        <row r="1384">
          <cell r="A1384" t="str">
            <v>thcholstoic_x</v>
          </cell>
          <cell r="B1384" t="str">
            <v>thcholstoic</v>
          </cell>
          <cell r="C1384" t="str">
            <v>3alpha,7alpha,12alpha-Trihydroxy-5beta-cholestanoate</v>
          </cell>
        </row>
        <row r="1385">
          <cell r="A1385" t="str">
            <v>xan_x</v>
          </cell>
          <cell r="B1385" t="str">
            <v>xan</v>
          </cell>
          <cell r="C1385" t="str">
            <v>Xanthine</v>
          </cell>
        </row>
        <row r="1386">
          <cell r="A1386" t="str">
            <v>7ohp_c</v>
          </cell>
          <cell r="B1386" t="str">
            <v>7ohp</v>
          </cell>
          <cell r="C1386" t="str">
            <v>7-oxoheptanoic acid</v>
          </cell>
        </row>
        <row r="1387">
          <cell r="A1387" t="str">
            <v>r5hbzi_c</v>
          </cell>
          <cell r="B1387" t="str">
            <v>r5hbzi</v>
          </cell>
          <cell r="C1387" t="str">
            <v>N1-(alpha-D-ribosyl)-5-hydroxybenzimidazole</v>
          </cell>
        </row>
        <row r="1388">
          <cell r="A1388" t="str">
            <v>Rh2cit_c</v>
          </cell>
          <cell r="B1388" t="str">
            <v>Rh2cit</v>
          </cell>
          <cell r="C1388" t="str">
            <v>(R)-(homo)2citrate</v>
          </cell>
        </row>
        <row r="1389">
          <cell r="A1389" t="str">
            <v>alac__S_e</v>
          </cell>
          <cell r="B1389" t="str">
            <v>alac__S</v>
          </cell>
          <cell r="C1389" t="str">
            <v>(S)-2-Acetolactate</v>
          </cell>
        </row>
        <row r="1390">
          <cell r="A1390" t="str">
            <v>dpgps_c</v>
          </cell>
          <cell r="B1390" t="str">
            <v>dpgps</v>
          </cell>
          <cell r="C1390" t="str">
            <v>2,3-O-phytanyl-sn-glycero-1-phosphoserine</v>
          </cell>
        </row>
        <row r="1391">
          <cell r="A1391" t="str">
            <v>dggpg_c</v>
          </cell>
          <cell r="B1391" t="str">
            <v>dggpg</v>
          </cell>
          <cell r="C1391" t="str">
            <v>2,3-di-O-geranyl-sn-glycerol-1-phospho-3'-sn-glycerol</v>
          </cell>
        </row>
        <row r="1392">
          <cell r="A1392" t="str">
            <v>dggpi_c</v>
          </cell>
          <cell r="B1392" t="str">
            <v>dggpi</v>
          </cell>
          <cell r="C1392" t="str">
            <v>2,3-di-O-geranyl-sn-glycero-1-phospho-myo-inositol</v>
          </cell>
        </row>
        <row r="1393">
          <cell r="A1393" t="str">
            <v>dgggps_c</v>
          </cell>
          <cell r="B1393" t="str">
            <v>dgggps</v>
          </cell>
          <cell r="C1393" t="str">
            <v>2,3-di-O-geranylgeranyl-sn-glyceroserine</v>
          </cell>
        </row>
        <row r="1394">
          <cell r="A1394" t="str">
            <v>nabl_c</v>
          </cell>
          <cell r="B1394" t="str">
            <v>nabl</v>
          </cell>
          <cell r="C1394" t="str">
            <v>N-epsilon-acetyl-beta-lysine</v>
          </cell>
        </row>
        <row r="1395">
          <cell r="A1395" t="str">
            <v>cbl1hbi_e</v>
          </cell>
          <cell r="B1395" t="str">
            <v>cbl1hbi</v>
          </cell>
          <cell r="C1395" t="str">
            <v>Cob(I)alamin-HBI</v>
          </cell>
        </row>
        <row r="1396">
          <cell r="A1396" t="str">
            <v>glyc1p_c</v>
          </cell>
          <cell r="B1396" t="str">
            <v>glyc1p</v>
          </cell>
          <cell r="C1396" t="str">
            <v>Glycerol 1-phosphate</v>
          </cell>
        </row>
        <row r="1397">
          <cell r="A1397" t="str">
            <v>3hdgggp_c</v>
          </cell>
          <cell r="B1397" t="str">
            <v>3hdgggp</v>
          </cell>
          <cell r="C1397" t="str">
            <v>2-O-(3'-hydroxy)geranyl-3-O-geranyl-sn-glycerol</v>
          </cell>
        </row>
        <row r="1398">
          <cell r="A1398" t="str">
            <v>cdpg_c</v>
          </cell>
          <cell r="B1398" t="str">
            <v>cdpg</v>
          </cell>
          <cell r="C1398" t="str">
            <v>Cyclic 2,3-bisphospho-D-glycerate</v>
          </cell>
        </row>
        <row r="1399">
          <cell r="A1399" t="str">
            <v>com_c</v>
          </cell>
          <cell r="B1399" t="str">
            <v>com</v>
          </cell>
          <cell r="C1399" t="str">
            <v>Coenzyme m</v>
          </cell>
        </row>
        <row r="1400">
          <cell r="A1400" t="str">
            <v>s_e</v>
          </cell>
          <cell r="B1400" t="str">
            <v>s</v>
          </cell>
          <cell r="C1400" t="str">
            <v>Sulfur</v>
          </cell>
        </row>
        <row r="1401">
          <cell r="A1401" t="str">
            <v>3hdggpg_c</v>
          </cell>
          <cell r="B1401" t="str">
            <v>3hdggpg</v>
          </cell>
          <cell r="C1401" t="str">
            <v>2-O-(3'-hydroxy)geranyl-3-O-geranyl-sn-glycerol-1-phospho-3'-sn-glycerol</v>
          </cell>
        </row>
        <row r="1402">
          <cell r="A1402" t="str">
            <v>unknown_cbl1deg_e</v>
          </cell>
          <cell r="B1402" t="str">
            <v>unknown_cbl1deg</v>
          </cell>
          <cell r="C1402" t="str">
            <v>Unknown degradation product of cbl1 for adocbl-HBI synthesis</v>
          </cell>
        </row>
        <row r="1403">
          <cell r="A1403" t="str">
            <v>f430p3_c</v>
          </cell>
          <cell r="B1403" t="str">
            <v>f430p3</v>
          </cell>
          <cell r="C1403" t="str">
            <v>Coenzyme f430 precursor 3</v>
          </cell>
        </row>
        <row r="1404">
          <cell r="A1404" t="str">
            <v>sf430a_c</v>
          </cell>
          <cell r="B1404" t="str">
            <v>sf430a</v>
          </cell>
          <cell r="C1404" t="str">
            <v>15,17-seco-F430-17-acid</v>
          </cell>
        </row>
        <row r="1405">
          <cell r="A1405" t="str">
            <v>mphenh2_c</v>
          </cell>
          <cell r="B1405" t="str">
            <v>mphenh2</v>
          </cell>
          <cell r="C1405" t="str">
            <v>Methanophenazine (reduced)</v>
          </cell>
        </row>
        <row r="1406">
          <cell r="A1406" t="str">
            <v>menylh4spt_c</v>
          </cell>
          <cell r="B1406" t="str">
            <v>menylh4spt</v>
          </cell>
          <cell r="C1406" t="str">
            <v>Methenyl-tetrahydrosarcinapterin</v>
          </cell>
        </row>
        <row r="1407">
          <cell r="A1407" t="str">
            <v>3hfrdp_c</v>
          </cell>
          <cell r="B1407" t="str">
            <v>3hfrdp</v>
          </cell>
          <cell r="C1407" t="str">
            <v>3-hydroxy-farnesyl diphosphate</v>
          </cell>
        </row>
        <row r="1408">
          <cell r="A1408" t="str">
            <v>f420_1_c</v>
          </cell>
          <cell r="B1408" t="str">
            <v>f420_1</v>
          </cell>
          <cell r="C1408" t="str">
            <v>Coenzyme ferredoxin 420-1</v>
          </cell>
        </row>
        <row r="1409">
          <cell r="A1409" t="str">
            <v>ptp_c</v>
          </cell>
          <cell r="B1409" t="str">
            <v>ptp</v>
          </cell>
          <cell r="C1409" t="str">
            <v>Triaminopyrimidine triphosphate</v>
          </cell>
        </row>
        <row r="1410">
          <cell r="A1410" t="str">
            <v>h2mpt_c</v>
          </cell>
          <cell r="B1410" t="str">
            <v>h2mpt</v>
          </cell>
          <cell r="C1410" t="str">
            <v>7,8-dihydromethanopterin</v>
          </cell>
        </row>
        <row r="1411">
          <cell r="A1411" t="str">
            <v>dhadrp_c</v>
          </cell>
          <cell r="B1411" t="str">
            <v>dhadrp</v>
          </cell>
          <cell r="C1411" t="str">
            <v>7,8-dihydropterin-6-ylmethyl-1-(4-aminophenyl)-1-deoxy-D-ribitol 5'-phosphate</v>
          </cell>
        </row>
        <row r="1412">
          <cell r="A1412" t="str">
            <v>dhadrpr_c</v>
          </cell>
          <cell r="B1412" t="str">
            <v>dhadrpr</v>
          </cell>
          <cell r="C1412" t="str">
            <v>7,8-dihydropterin-6-ylmethyl-1-(4-aminophenyl)-1-deoxy-5-[1-A-D-ribofuranosyl 5'-phosphate]-D-ribitol</v>
          </cell>
        </row>
        <row r="1413">
          <cell r="A1413" t="str">
            <v>Largn_c</v>
          </cell>
          <cell r="B1413" t="str">
            <v>Largn</v>
          </cell>
          <cell r="C1413" t="str">
            <v>L-Arogenate</v>
          </cell>
        </row>
        <row r="1414">
          <cell r="A1414" t="str">
            <v>aracheACP_c</v>
          </cell>
          <cell r="B1414" t="str">
            <v>aracheACP</v>
          </cell>
          <cell r="C1414" t="str">
            <v>Cis-eicosa-11-enoyl-[acyl-carrier protein] (n-C20:1)</v>
          </cell>
        </row>
        <row r="1415">
          <cell r="A1415" t="str">
            <v>behenACP_c</v>
          </cell>
          <cell r="B1415" t="str">
            <v>behenACP</v>
          </cell>
          <cell r="C1415" t="str">
            <v>Docosanoyl-ACP (n-C22:0)</v>
          </cell>
        </row>
        <row r="1416">
          <cell r="A1416" t="str">
            <v>cdp_inost_c</v>
          </cell>
          <cell r="B1416" t="str">
            <v>cdp_inost</v>
          </cell>
          <cell r="C1416" t="str">
            <v>CDP-Inositol</v>
          </cell>
        </row>
        <row r="1417">
          <cell r="A1417" t="str">
            <v>cell4_c</v>
          </cell>
          <cell r="B1417" t="str">
            <v>cell4</v>
          </cell>
          <cell r="C1417" t="str">
            <v>Cellulose (n=4 repeating units)</v>
          </cell>
        </row>
        <row r="1418">
          <cell r="A1418" t="str">
            <v>galman6_c</v>
          </cell>
          <cell r="B1418" t="str">
            <v>galman6</v>
          </cell>
          <cell r="C1418" t="str">
            <v>Galactomannan(n=6 repeat units mannose, alpha-1,4 man)</v>
          </cell>
        </row>
        <row r="1419">
          <cell r="A1419" t="str">
            <v>lmn2_c</v>
          </cell>
          <cell r="B1419" t="str">
            <v>lmn2</v>
          </cell>
          <cell r="C1419" t="str">
            <v>Laminaribiose</v>
          </cell>
        </row>
        <row r="1420">
          <cell r="A1420" t="str">
            <v>mantr_c</v>
          </cell>
          <cell r="B1420" t="str">
            <v>mantr</v>
          </cell>
          <cell r="C1420" t="str">
            <v>Mannotriose (beta-1,4)</v>
          </cell>
        </row>
        <row r="1421">
          <cell r="A1421" t="str">
            <v>manttr_c</v>
          </cell>
          <cell r="B1421" t="str">
            <v>manttr</v>
          </cell>
          <cell r="C1421" t="str">
            <v>Mannotetraose</v>
          </cell>
        </row>
        <row r="1422">
          <cell r="A1422" t="str">
            <v>pdip_d_d_c</v>
          </cell>
          <cell r="B1422" t="str">
            <v>pdip_d_d</v>
          </cell>
          <cell r="C1422" t="str">
            <v>Phospho-di-myo-inositol 1,1' phosphate</v>
          </cell>
        </row>
        <row r="1423">
          <cell r="A1423" t="str">
            <v>s2l2fn2m2masn_c</v>
          </cell>
          <cell r="B1423" t="str">
            <v>s2l2fn2m2masn</v>
          </cell>
          <cell r="C1423" t="str">
            <v>PA6</v>
          </cell>
        </row>
        <row r="1424">
          <cell r="A1424" t="str">
            <v>trpglcur_c</v>
          </cell>
          <cell r="B1424" t="str">
            <v>trpglcur</v>
          </cell>
          <cell r="C1424" t="str">
            <v>Tryptophanyl-beta-D-glucuronide</v>
          </cell>
        </row>
        <row r="1425">
          <cell r="A1425" t="str">
            <v>xyl4_c</v>
          </cell>
          <cell r="B1425" t="str">
            <v>xyl4</v>
          </cell>
          <cell r="C1425" t="str">
            <v>Xylotetraose</v>
          </cell>
        </row>
        <row r="1426">
          <cell r="A1426" t="str">
            <v>cell6_e</v>
          </cell>
          <cell r="B1426" t="str">
            <v>cell6</v>
          </cell>
          <cell r="C1426" t="str">
            <v>Cellulose (n=6 repeating units)</v>
          </cell>
        </row>
        <row r="1427">
          <cell r="A1427" t="str">
            <v>lmn30_e</v>
          </cell>
          <cell r="B1427" t="str">
            <v>lmn30</v>
          </cell>
          <cell r="C1427" t="str">
            <v>Laminarin (n=30 repeat units, beta -1,3 glc)</v>
          </cell>
        </row>
        <row r="1428">
          <cell r="A1428" t="str">
            <v>clpn140_c</v>
          </cell>
          <cell r="B1428" t="str">
            <v>clpn140</v>
          </cell>
          <cell r="C1428" t="str">
            <v>Cardiolipin (tetratetradecanoyl, n-C14:0)</v>
          </cell>
        </row>
        <row r="1429">
          <cell r="A1429" t="str">
            <v>ham_c</v>
          </cell>
          <cell r="B1429" t="str">
            <v>ham</v>
          </cell>
          <cell r="C1429" t="str">
            <v>Hydroxylamine</v>
          </cell>
        </row>
        <row r="1430">
          <cell r="A1430" t="str">
            <v>murein4px4p_e</v>
          </cell>
          <cell r="B1430" t="str">
            <v>murein4px4p</v>
          </cell>
          <cell r="C1430" t="str">
            <v>Two disacharide linked murein units, tetrapeptide corsslinked tetrapeptide (A2pm-&gt;D-ala) (middle of chain)</v>
          </cell>
        </row>
        <row r="1431">
          <cell r="A1431" t="str">
            <v>murein5p3p_e</v>
          </cell>
          <cell r="B1431" t="str">
            <v>murein5p3p</v>
          </cell>
          <cell r="C1431" t="str">
            <v>Two linked disacharide pentapeptide and tripeptide murein units (uncrosslinked, middle of chain)</v>
          </cell>
        </row>
        <row r="1432">
          <cell r="A1432" t="str">
            <v>12dgr160_h</v>
          </cell>
          <cell r="B1432" t="str">
            <v>12dgr160</v>
          </cell>
          <cell r="C1432" t="str">
            <v>1,2-Diacyl-sn-glycerol (dihexadecanoyl, n-C16:0)</v>
          </cell>
        </row>
        <row r="1433">
          <cell r="A1433" t="str">
            <v>12dgr1601819Z_h</v>
          </cell>
          <cell r="B1433" t="str">
            <v>12dgr1601819Z</v>
          </cell>
          <cell r="C1433" t="str">
            <v>1,2-Diacyl-sn-glycerol (1-hexadecanoyl,2-(9Z)-octadecenoyl, 16:0/18:1(9Z))</v>
          </cell>
        </row>
        <row r="1434">
          <cell r="A1434" t="str">
            <v>12dgr18111Z1819Z_c</v>
          </cell>
          <cell r="B1434" t="str">
            <v>12dgr18111Z1819Z</v>
          </cell>
          <cell r="C1434" t="str">
            <v>1,2-Diacyl-sn-glycerol (1-(11Z)-octadecenoyl,2-(9Z)-octadecenoyl, 18:1(11Z)/18:1(9Z))</v>
          </cell>
        </row>
        <row r="1435">
          <cell r="A1435" t="str">
            <v>12dgr1819Z160_h</v>
          </cell>
          <cell r="B1435" t="str">
            <v>12dgr1819Z160</v>
          </cell>
          <cell r="C1435" t="str">
            <v>1,2-Diacyl-sn-glycerol (1-(9Z)-octadecenoyl,2-hexadecanoyl, 18:1(9Z)/16:0)</v>
          </cell>
        </row>
        <row r="1436">
          <cell r="A1436" t="str">
            <v>12dgr1819Z1619Z_h</v>
          </cell>
          <cell r="B1436" t="str">
            <v>12dgr1819Z1619Z</v>
          </cell>
          <cell r="C1436" t="str">
            <v>1,2-Diacyl-sn-glycerol (1-(9Z)-octadecenoyl,2-(9Z)-hexadecenoyl, 18:1(9Z)/16:1(9Z))</v>
          </cell>
        </row>
        <row r="1437">
          <cell r="A1437" t="str">
            <v>12dgr1819Z18111Z_c</v>
          </cell>
          <cell r="B1437" t="str">
            <v>12dgr1819Z18111Z</v>
          </cell>
          <cell r="C1437" t="str">
            <v>1,2-Diacyl-sn-glycerol (1-(9Z)-octadecenoyl,2-(11Z)-octadecenoyl, 18:1(9Z)/18:1(11Z))</v>
          </cell>
        </row>
        <row r="1438">
          <cell r="A1438" t="str">
            <v>12dgr1819Z1819Z_h</v>
          </cell>
          <cell r="B1438" t="str">
            <v>12dgr1819Z1819Z</v>
          </cell>
          <cell r="C1438" t="str">
            <v>1,2-Diacyl-sn-glycerol (1,2-di-(9Z)-octadecenoyl, 18:1(9Z)/18:1(9Z))</v>
          </cell>
        </row>
        <row r="1439">
          <cell r="A1439" t="str">
            <v>13Shpocdcy1829Z11Ea_c</v>
          </cell>
          <cell r="B1439" t="str">
            <v>13Shpocdcy1829Z11Ea</v>
          </cell>
          <cell r="C1439" t="str">
            <v>(9Z,11E)-(13S)-13-Hydroperoxyoctadeca-9,11-dienoic acid</v>
          </cell>
        </row>
        <row r="1440">
          <cell r="A1440" t="str">
            <v>1agpe18111Z_c</v>
          </cell>
          <cell r="B1440" t="str">
            <v>1agpe18111Z</v>
          </cell>
          <cell r="C1440" t="str">
            <v>1-Acyl-sn-glycero-3-phosphoethanolamine (18:1(11Z))</v>
          </cell>
        </row>
        <row r="1441">
          <cell r="A1441" t="str">
            <v>1Dgali_h</v>
          </cell>
          <cell r="B1441" t="str">
            <v>1Dgali</v>
          </cell>
          <cell r="C1441" t="str">
            <v>1 alpha D Galactosyl myo inositol C12H22O11</v>
          </cell>
        </row>
        <row r="1442">
          <cell r="A1442" t="str">
            <v>1odecg3p_h</v>
          </cell>
          <cell r="B1442" t="str">
            <v>1odecg3p</v>
          </cell>
          <cell r="C1442" t="str">
            <v>1-octadecanoyl-sn-glycerol 3-phosphate</v>
          </cell>
        </row>
        <row r="1443">
          <cell r="A1443" t="str">
            <v>23dhmb_h</v>
          </cell>
          <cell r="B1443" t="str">
            <v>23dhmb</v>
          </cell>
          <cell r="C1443" t="str">
            <v>(R)-2,3-Dihydroxy-3-methylbutanoate</v>
          </cell>
        </row>
        <row r="1444">
          <cell r="A1444" t="str">
            <v>26dmani_e</v>
          </cell>
          <cell r="B1444" t="str">
            <v>26dmani</v>
          </cell>
          <cell r="C1444" t="str">
            <v>2,6-Dimethylaniline</v>
          </cell>
        </row>
        <row r="1445">
          <cell r="A1445" t="str">
            <v>2aobut_x</v>
          </cell>
          <cell r="B1445" t="str">
            <v>2aobut</v>
          </cell>
          <cell r="C1445" t="str">
            <v>L-2-Amino-3-oxobutanoate</v>
          </cell>
        </row>
        <row r="1446">
          <cell r="A1446" t="str">
            <v>2mbdhl_m</v>
          </cell>
          <cell r="B1446" t="str">
            <v>2mbdhl</v>
          </cell>
          <cell r="C1446" t="str">
            <v>S-(2-Methylbutanoyl)-dihydrolipoamide</v>
          </cell>
        </row>
        <row r="1447">
          <cell r="A1447" t="str">
            <v>2pglyc_x</v>
          </cell>
          <cell r="B1447" t="str">
            <v>2pglyc</v>
          </cell>
          <cell r="C1447" t="str">
            <v>2-Phosphoglycolate</v>
          </cell>
        </row>
        <row r="1448">
          <cell r="A1448" t="str">
            <v>34hpp_h</v>
          </cell>
          <cell r="B1448" t="str">
            <v>34hpp</v>
          </cell>
          <cell r="C1448" t="str">
            <v>3-(4-Hydroxyphenyl)pyruvate</v>
          </cell>
        </row>
        <row r="1449">
          <cell r="A1449" t="str">
            <v>3hhexACP_h</v>
          </cell>
          <cell r="B1449" t="str">
            <v>3hhexACP</v>
          </cell>
          <cell r="C1449" t="str">
            <v>(R)-3-Hydroxyhexanoyl-[acyl-carrier protein]</v>
          </cell>
        </row>
        <row r="1450">
          <cell r="A1450" t="str">
            <v>3hivcoa_m</v>
          </cell>
          <cell r="B1450" t="str">
            <v>3hivcoa</v>
          </cell>
          <cell r="C1450" t="str">
            <v>3-Hydroxyisovaleryl-CoA</v>
          </cell>
        </row>
        <row r="1451">
          <cell r="A1451" t="str">
            <v>3hlido_c</v>
          </cell>
          <cell r="B1451" t="str">
            <v>3hlido</v>
          </cell>
          <cell r="C1451" t="str">
            <v>3-Hydroxylidocaine</v>
          </cell>
        </row>
        <row r="1452">
          <cell r="A1452" t="str">
            <v>3hmrsACP_h</v>
          </cell>
          <cell r="B1452" t="str">
            <v>3hmrsACP</v>
          </cell>
          <cell r="C1452" t="str">
            <v>(R)-3-Hydroxytetradecanoyl-[acyl-carrier protein]</v>
          </cell>
        </row>
        <row r="1453">
          <cell r="A1453" t="str">
            <v>3hocoa_x</v>
          </cell>
          <cell r="B1453" t="str">
            <v>3hocoa</v>
          </cell>
          <cell r="C1453" t="str">
            <v>(S)-3-Hydroxyoctanoyl-CoA</v>
          </cell>
        </row>
        <row r="1454">
          <cell r="A1454" t="str">
            <v>3oddcoa_m</v>
          </cell>
          <cell r="B1454" t="str">
            <v>3oddcoa</v>
          </cell>
          <cell r="C1454" t="str">
            <v>3-Oxododecanoyl-CoA</v>
          </cell>
        </row>
        <row r="1455">
          <cell r="A1455" t="str">
            <v>3odecACP_h</v>
          </cell>
          <cell r="B1455" t="str">
            <v>3odecACP</v>
          </cell>
          <cell r="C1455" t="str">
            <v>3-Oxodecanoyl-[acyl-carrier protein]</v>
          </cell>
        </row>
        <row r="1456">
          <cell r="A1456" t="str">
            <v>3ohcoa_x</v>
          </cell>
          <cell r="B1456" t="str">
            <v>3ohcoa</v>
          </cell>
          <cell r="C1456" t="str">
            <v>3-Oxohexanoyl-CoA</v>
          </cell>
        </row>
        <row r="1457">
          <cell r="A1457" t="str">
            <v>3omrsACP_h</v>
          </cell>
          <cell r="B1457" t="str">
            <v>3omrsACP</v>
          </cell>
          <cell r="C1457" t="str">
            <v>3-Oxotetradecanoyl-[acyl-carrier protein]</v>
          </cell>
        </row>
        <row r="1458">
          <cell r="A1458" t="str">
            <v>3oocoa_m</v>
          </cell>
          <cell r="B1458" t="str">
            <v>3oocoa</v>
          </cell>
          <cell r="C1458" t="str">
            <v>3-Oxooctanoyl-CoA</v>
          </cell>
        </row>
        <row r="1459">
          <cell r="A1459" t="str">
            <v>3ooctACP_h</v>
          </cell>
          <cell r="B1459" t="str">
            <v>3ooctACP</v>
          </cell>
          <cell r="C1459" t="str">
            <v>3-Oxooctanoyl-[acyl-carrier protein]</v>
          </cell>
        </row>
        <row r="1460">
          <cell r="A1460" t="str">
            <v>3pg_x</v>
          </cell>
          <cell r="B1460" t="str">
            <v>3pg</v>
          </cell>
          <cell r="C1460" t="str">
            <v>3-Phospho-D-glycerate</v>
          </cell>
        </row>
        <row r="1461">
          <cell r="A1461" t="str">
            <v>3php_h</v>
          </cell>
          <cell r="B1461" t="str">
            <v>3php</v>
          </cell>
          <cell r="C1461" t="str">
            <v>3-Phosphohydroxypyruvate</v>
          </cell>
        </row>
        <row r="1462">
          <cell r="A1462" t="str">
            <v>3psme_h</v>
          </cell>
          <cell r="B1462" t="str">
            <v>3psme</v>
          </cell>
          <cell r="C1462" t="str">
            <v>5-O-(1-Carboxyvinyl)-3-phosphoshikimate</v>
          </cell>
        </row>
        <row r="1463">
          <cell r="A1463" t="str">
            <v>3sala_h</v>
          </cell>
          <cell r="B1463" t="str">
            <v>3sala</v>
          </cell>
          <cell r="C1463" t="str">
            <v>3-Sulfino-L-alanine</v>
          </cell>
        </row>
        <row r="1464">
          <cell r="A1464" t="str">
            <v>3snpyr_h</v>
          </cell>
          <cell r="B1464" t="str">
            <v>3snpyr</v>
          </cell>
          <cell r="C1464" t="str">
            <v>3-Sulfinopyruvate</v>
          </cell>
        </row>
        <row r="1465">
          <cell r="A1465" t="str">
            <v>4abut_h</v>
          </cell>
          <cell r="B1465" t="str">
            <v>4abut</v>
          </cell>
          <cell r="C1465" t="str">
            <v>4-Aminobutanoate</v>
          </cell>
        </row>
        <row r="1466">
          <cell r="A1466" t="str">
            <v>4c2me_h</v>
          </cell>
          <cell r="B1466" t="str">
            <v>4c2me</v>
          </cell>
          <cell r="C1466" t="str">
            <v>4-(cytidine 5'-diphospho)-2-C-methyl-D-erythritol</v>
          </cell>
        </row>
        <row r="1467">
          <cell r="A1467" t="str">
            <v>4hproara_g</v>
          </cell>
          <cell r="B1467" t="str">
            <v>4hproara</v>
          </cell>
          <cell r="C1467" t="str">
            <v>Hyp(4-b1)Ara</v>
          </cell>
        </row>
        <row r="1468">
          <cell r="A1468" t="str">
            <v>4hproaraaraaragal_g</v>
          </cell>
          <cell r="B1468" t="str">
            <v>4hproaraaraaragal</v>
          </cell>
          <cell r="C1468" t="str">
            <v>Hyp(4-b1)Ara(2-b1)Ara(2-b1)Ara(2-a1)Gal</v>
          </cell>
        </row>
        <row r="1469">
          <cell r="A1469" t="str">
            <v>4hproaraaragalara_g</v>
          </cell>
          <cell r="B1469" t="str">
            <v>4hproaraaragalara</v>
          </cell>
          <cell r="C1469" t="str">
            <v>Hyp(4-b1)Ara(2-b1)Ara(2-a1)Gal(5-b1)Ara</v>
          </cell>
        </row>
        <row r="1470">
          <cell r="A1470" t="str">
            <v>4hproaraaragalmeara_g</v>
          </cell>
          <cell r="B1470" t="str">
            <v>4hproaraaragalmeara</v>
          </cell>
          <cell r="C1470" t="str">
            <v>Hyp(4-b1)Ara(2-b1)Ara(2-a1)Gal(5-b1)MeAra</v>
          </cell>
        </row>
        <row r="1471">
          <cell r="A1471" t="str">
            <v>4hproaraara_ara_gal_g</v>
          </cell>
          <cell r="B1471" t="str">
            <v>4hproaraara_ara_gal</v>
          </cell>
          <cell r="C1471" t="str">
            <v>Hyp(4-b1)Ara(2-b1)Ara[(2-b1)Ara](3-a1)Gal</v>
          </cell>
        </row>
        <row r="1472">
          <cell r="A1472" t="str">
            <v>4hproaraara_gal_gal_g</v>
          </cell>
          <cell r="B1472" t="str">
            <v>4hproaraara_gal_gal</v>
          </cell>
          <cell r="C1472" t="str">
            <v>Hyp(4-b1)Ara(2-b1)Ara[(2-a1)Gal](3-a1)Gal</v>
          </cell>
        </row>
        <row r="1473">
          <cell r="A1473" t="str">
            <v>4hproara_ara_gal_g</v>
          </cell>
          <cell r="B1473" t="str">
            <v>4hproara_ara_gal</v>
          </cell>
          <cell r="C1473" t="str">
            <v>Hyp(4-b1)Ara[(2-b1)Ara](3-a1)Gal</v>
          </cell>
        </row>
        <row r="1474">
          <cell r="A1474" t="str">
            <v>4hproara_ara_galara_g</v>
          </cell>
          <cell r="B1474" t="str">
            <v>4hproara_ara_galara</v>
          </cell>
          <cell r="C1474" t="str">
            <v>Hyp(4-b1)Ara[(2-b1)Ara](3-a1)Gal(2-b1)Ara</v>
          </cell>
        </row>
        <row r="1475">
          <cell r="A1475" t="str">
            <v>4mlacac_n</v>
          </cell>
          <cell r="B1475" t="str">
            <v>4mlacac</v>
          </cell>
          <cell r="C1475" t="str">
            <v>4 Maleylacetoacetate C8H6O6</v>
          </cell>
        </row>
        <row r="1476">
          <cell r="A1476" t="str">
            <v>4r5au_h</v>
          </cell>
          <cell r="B1476" t="str">
            <v>4r5au</v>
          </cell>
          <cell r="C1476" t="str">
            <v>4-(1-D-Ribitylamino)-5-aminouracil</v>
          </cell>
        </row>
        <row r="1477">
          <cell r="A1477" t="str">
            <v>acACP_h</v>
          </cell>
          <cell r="B1477" t="str">
            <v>acACP</v>
          </cell>
          <cell r="C1477" t="str">
            <v>Acetyl-ACP</v>
          </cell>
        </row>
        <row r="1478">
          <cell r="A1478" t="str">
            <v>accoa_s</v>
          </cell>
          <cell r="B1478" t="str">
            <v>accoa</v>
          </cell>
          <cell r="C1478" t="str">
            <v>Acetyl-CoA</v>
          </cell>
        </row>
        <row r="1479">
          <cell r="A1479" t="str">
            <v>achms_h</v>
          </cell>
          <cell r="B1479" t="str">
            <v>achms</v>
          </cell>
          <cell r="C1479" t="str">
            <v>O Acetyl L homoserine C6H11NO4</v>
          </cell>
        </row>
        <row r="1480">
          <cell r="A1480" t="str">
            <v>ACP_h</v>
          </cell>
          <cell r="B1480" t="str">
            <v>ACP</v>
          </cell>
          <cell r="C1480" t="str">
            <v>Acyl carrier protein</v>
          </cell>
        </row>
        <row r="1481">
          <cell r="A1481" t="str">
            <v>actACP_h</v>
          </cell>
          <cell r="B1481" t="str">
            <v>actACP</v>
          </cell>
          <cell r="C1481" t="str">
            <v>Acetoacetyl-ACP</v>
          </cell>
        </row>
        <row r="1482">
          <cell r="A1482" t="str">
            <v>ahcys_g</v>
          </cell>
          <cell r="B1482" t="str">
            <v>ahcys</v>
          </cell>
          <cell r="C1482" t="str">
            <v>S-Adenosyl-L-homocysteine</v>
          </cell>
        </row>
        <row r="1483">
          <cell r="A1483" t="str">
            <v>aicar_h</v>
          </cell>
          <cell r="B1483" t="str">
            <v>aicar</v>
          </cell>
          <cell r="C1483" t="str">
            <v>5-Amino-1-(5-Phospho-D-ribosyl)imidazole-4-carboxamide</v>
          </cell>
        </row>
        <row r="1484">
          <cell r="A1484" t="str">
            <v>allphn_m</v>
          </cell>
          <cell r="B1484" t="str">
            <v>allphn</v>
          </cell>
          <cell r="C1484" t="str">
            <v>Allophanate C2H3N2O3</v>
          </cell>
        </row>
        <row r="1485">
          <cell r="A1485" t="str">
            <v>alltn_m</v>
          </cell>
          <cell r="B1485" t="str">
            <v>alltn</v>
          </cell>
          <cell r="C1485" t="str">
            <v>Allantoin</v>
          </cell>
        </row>
        <row r="1486">
          <cell r="A1486" t="str">
            <v>ans_c</v>
          </cell>
          <cell r="B1486" t="str">
            <v>ans</v>
          </cell>
          <cell r="C1486" t="str">
            <v>Anserine</v>
          </cell>
        </row>
        <row r="1487">
          <cell r="A1487" t="str">
            <v>anth_h</v>
          </cell>
          <cell r="B1487" t="str">
            <v>anth</v>
          </cell>
          <cell r="C1487" t="str">
            <v>Anthranilate</v>
          </cell>
        </row>
        <row r="1488">
          <cell r="A1488" t="str">
            <v>apocytc_h</v>
          </cell>
          <cell r="B1488" t="str">
            <v>apocytc</v>
          </cell>
          <cell r="C1488" t="str">
            <v>Apocytochrome c</v>
          </cell>
        </row>
        <row r="1489">
          <cell r="A1489" t="str">
            <v>apocytc_m</v>
          </cell>
          <cell r="B1489" t="str">
            <v>apocytc</v>
          </cell>
          <cell r="C1489" t="str">
            <v>Apocytochrome c</v>
          </cell>
        </row>
        <row r="1490">
          <cell r="A1490" t="str">
            <v>aps_h</v>
          </cell>
          <cell r="B1490" t="str">
            <v>aps</v>
          </cell>
          <cell r="C1490" t="str">
            <v>Adenosine 5'-phosphosulfate</v>
          </cell>
        </row>
        <row r="1491">
          <cell r="A1491" t="str">
            <v>aps_m</v>
          </cell>
          <cell r="B1491" t="str">
            <v>aps</v>
          </cell>
          <cell r="C1491" t="str">
            <v>Adenosine 5'-phosphosulfate</v>
          </cell>
        </row>
        <row r="1492">
          <cell r="A1492" t="str">
            <v>asnglcnacglcnacman_man_manman_manman_manmanmanglc_c</v>
          </cell>
          <cell r="B1492" t="str">
            <v>asnglcnacglcnacman_man_manman_manman_manmanmanglc</v>
          </cell>
          <cell r="C1492" t="str">
            <v>Asn(-b1)GlcNAc(4-b1)GlcNAc(4-b1)Man[(6-a1)Man[(6-a1)Man(2-a1)Man](3-a1)Man(2-a1)Man](3-a1)Man(2-a1)Man(2-a1)Man(3-a1)Glc</v>
          </cell>
        </row>
        <row r="1493">
          <cell r="A1493" t="str">
            <v>asnglcnacglcnacman_man_manman_manman_manmanmanglcglcglc_c</v>
          </cell>
          <cell r="B1493" t="str">
            <v>asnglcnacglcnacman_man_manman_manman_manmanmanglcglcglc</v>
          </cell>
          <cell r="C1493" t="str">
            <v>Asn(-b1)GlcNAc(4-b1)GlcNAc(4-b1)Man[(6-a1)Man[(6-a1)Man(2-a1)Man](3-a1)Man(2-a1)Man](3-a1)Man(2-a1)Man(2-a1)Man(3-a1)Glc(3-a1)Glc(2-a1)Glc</v>
          </cell>
        </row>
        <row r="1494">
          <cell r="A1494" t="str">
            <v>asqdpa1819Z160_c</v>
          </cell>
          <cell r="B1494" t="str">
            <v>asqdpa1819Z160</v>
          </cell>
          <cell r="C1494" t="str">
            <v>2'-O-all-cis-5,9,12-octadecatrienoyl-sulfoquinovosyldiacylglycerol (2'-18:3(5,9,12)/18:1(9Z)/16:0)</v>
          </cell>
        </row>
        <row r="1495">
          <cell r="A1495" t="str">
            <v>btcoa_x</v>
          </cell>
          <cell r="B1495" t="str">
            <v>btcoa</v>
          </cell>
          <cell r="C1495" t="str">
            <v>Butanoyl-CoA</v>
          </cell>
        </row>
        <row r="1496">
          <cell r="A1496" t="str">
            <v>btnCCP_h</v>
          </cell>
          <cell r="B1496" t="str">
            <v>btnCCP</v>
          </cell>
          <cell r="C1496" t="str">
            <v>Holo-[carboxylase]</v>
          </cell>
        </row>
        <row r="1497">
          <cell r="A1497" t="str">
            <v>but2eACP_h</v>
          </cell>
          <cell r="B1497" t="str">
            <v>but2eACP</v>
          </cell>
          <cell r="C1497" t="str">
            <v>But-2-enoyl-[acyl-carrier protein]</v>
          </cell>
        </row>
        <row r="1498">
          <cell r="A1498" t="str">
            <v>butACP_h</v>
          </cell>
          <cell r="B1498" t="str">
            <v>butACP</v>
          </cell>
          <cell r="C1498" t="str">
            <v>Butyryl-ACP (n-C4:0ACP)</v>
          </cell>
        </row>
        <row r="1499">
          <cell r="A1499" t="str">
            <v>camp_n</v>
          </cell>
          <cell r="B1499" t="str">
            <v>camp</v>
          </cell>
          <cell r="C1499" t="str">
            <v>CAMP C10H11N5O6P</v>
          </cell>
        </row>
        <row r="1500">
          <cell r="A1500" t="str">
            <v>cat_c</v>
          </cell>
          <cell r="B1500" t="str">
            <v>cat</v>
          </cell>
          <cell r="C1500" t="str">
            <v>Calcitriol</v>
          </cell>
        </row>
        <row r="1501">
          <cell r="A1501" t="str">
            <v>cbtnCCP_h</v>
          </cell>
          <cell r="B1501" t="str">
            <v>cbtnCCP</v>
          </cell>
          <cell r="C1501" t="str">
            <v>Carboxybiotin-carboxyl-carrier protein</v>
          </cell>
        </row>
        <row r="1502">
          <cell r="A1502" t="str">
            <v>cdp12dgr18111Z160_h</v>
          </cell>
          <cell r="B1502" t="str">
            <v>cdp12dgr18111Z160</v>
          </cell>
          <cell r="C1502" t="str">
            <v>CDP-1-(9Z)-octadecenoyl,2-hexadecanoyl-sn-glycerol</v>
          </cell>
        </row>
        <row r="1503">
          <cell r="A1503" t="str">
            <v>cholphya_u</v>
          </cell>
          <cell r="B1503" t="str">
            <v>cholphya</v>
          </cell>
          <cell r="C1503" t="str">
            <v>Chlorophyll a</v>
          </cell>
        </row>
        <row r="1504">
          <cell r="A1504" t="str">
            <v>chlld_h</v>
          </cell>
          <cell r="B1504" t="str">
            <v>chlld</v>
          </cell>
          <cell r="C1504" t="str">
            <v>Chlorophyllide a</v>
          </cell>
        </row>
        <row r="1505">
          <cell r="A1505" t="str">
            <v>cital_c</v>
          </cell>
          <cell r="B1505" t="str">
            <v>cital</v>
          </cell>
          <cell r="C1505" t="str">
            <v>Citalopram</v>
          </cell>
        </row>
        <row r="1506">
          <cell r="A1506" t="str">
            <v>citr__L_h</v>
          </cell>
          <cell r="B1506" t="str">
            <v>citr__L</v>
          </cell>
          <cell r="C1506" t="str">
            <v>L-Citrulline</v>
          </cell>
        </row>
        <row r="1507">
          <cell r="A1507" t="str">
            <v>co_h</v>
          </cell>
          <cell r="B1507" t="str">
            <v>co</v>
          </cell>
          <cell r="C1507" t="str">
            <v>Carbon monoxide</v>
          </cell>
        </row>
        <row r="1508">
          <cell r="A1508" t="str">
            <v>co2_h</v>
          </cell>
          <cell r="B1508" t="str">
            <v>co2</v>
          </cell>
          <cell r="C1508" t="str">
            <v>CO2 CO2</v>
          </cell>
        </row>
        <row r="1509">
          <cell r="A1509" t="str">
            <v>coa_s</v>
          </cell>
          <cell r="B1509" t="str">
            <v>coa</v>
          </cell>
          <cell r="C1509" t="str">
            <v>Coenzyme A</v>
          </cell>
        </row>
        <row r="1510">
          <cell r="A1510" t="str">
            <v>cpppg3_h</v>
          </cell>
          <cell r="B1510" t="str">
            <v>cpppg3</v>
          </cell>
          <cell r="C1510" t="str">
            <v>Coproporphyrinogen III</v>
          </cell>
        </row>
        <row r="1511">
          <cell r="A1511" t="str">
            <v>cytc_h</v>
          </cell>
          <cell r="B1511" t="str">
            <v>cytc</v>
          </cell>
          <cell r="C1511" t="str">
            <v>Cytochrome c</v>
          </cell>
        </row>
        <row r="1512">
          <cell r="A1512" t="str">
            <v>cytc_m</v>
          </cell>
          <cell r="B1512" t="str">
            <v>cytc</v>
          </cell>
          <cell r="C1512" t="str">
            <v>Cytochrome c</v>
          </cell>
        </row>
        <row r="1513">
          <cell r="A1513" t="str">
            <v>cytP450o_h</v>
          </cell>
          <cell r="B1513" t="str">
            <v>cytP450o</v>
          </cell>
          <cell r="C1513" t="str">
            <v>Oxidized flavoprotein (cytochrome P-450)</v>
          </cell>
        </row>
        <row r="1514">
          <cell r="A1514" t="str">
            <v>ddcaACP_h</v>
          </cell>
          <cell r="B1514" t="str">
            <v>ddcaACP</v>
          </cell>
          <cell r="C1514" t="str">
            <v>Dodecanoyl-ACP (n-C12:0ACP)</v>
          </cell>
        </row>
        <row r="1515">
          <cell r="A1515" t="str">
            <v>dgdg1819Z1617Z_h</v>
          </cell>
          <cell r="B1515" t="str">
            <v>dgdg1819Z1617Z</v>
          </cell>
          <cell r="C1515" t="str">
            <v>Digalactosyldiacylglycerol (1-(9Z)-octadecenoyl,2-(7Z)-hexadecenoyl, 18:1(9Z)/16:1(7Z))</v>
          </cell>
        </row>
        <row r="1516">
          <cell r="A1516" t="str">
            <v>dgdg1819Z1637Z10Z13Z_h</v>
          </cell>
          <cell r="B1516" t="str">
            <v>dgdg1819Z1637Z10Z13Z</v>
          </cell>
          <cell r="C1516" t="str">
            <v>Digalactosyldiacylglycerol (1-(9Z)-octadecenoyl,2-(7Z,10Z,13Z)-hexadecatrienoyl, 18:1(9Z)/16:3(7Z,10Z,13Z))</v>
          </cell>
        </row>
        <row r="1517">
          <cell r="A1517" t="str">
            <v>dgdg1829Z12Z160_h</v>
          </cell>
          <cell r="B1517" t="str">
            <v>dgdg1829Z12Z160</v>
          </cell>
          <cell r="C1517" t="str">
            <v>Digalactosyldiacylglycerol (1-(9Z,12Z)-octadecadienoyl,2-hexadecanoyl, 18:2(9Z,12Z)/16:0)</v>
          </cell>
        </row>
        <row r="1518">
          <cell r="A1518" t="str">
            <v>dgdg1829Z12Z1627Z10Z_h</v>
          </cell>
          <cell r="B1518" t="str">
            <v>dgdg1829Z12Z1627Z10Z</v>
          </cell>
          <cell r="C1518" t="str">
            <v>Digalactosyldiacylglycerol (1-(9Z,12Z)-octadecadienoyl,2-(7Z,10Z)-hexadecadienoyl, 18:2(9Z,12Z)/16:2(7Z,10Z))</v>
          </cell>
        </row>
        <row r="1519">
          <cell r="A1519" t="str">
            <v>dgts1601829Z12Z_c</v>
          </cell>
          <cell r="B1519" t="str">
            <v>dgts1601829Z12Z</v>
          </cell>
          <cell r="C1519" t="str">
            <v>Diacylglyceryl-N,N,N-trimethylhomoserine (16:0/18:2(9Z,12Z))</v>
          </cell>
        </row>
        <row r="1520">
          <cell r="A1520" t="str">
            <v>dgts1601845Z9Z12Z15Z_c</v>
          </cell>
          <cell r="B1520" t="str">
            <v>dgts1601845Z9Z12Z15Z</v>
          </cell>
          <cell r="C1520" t="str">
            <v>Diacylglyceryl-N,N,N-trimethylhomoserine (16:0/18:4(5Z,9Z,12Z,15Z))</v>
          </cell>
        </row>
        <row r="1521">
          <cell r="A1521" t="str">
            <v>dgts18111Z1829Z12Z_c</v>
          </cell>
          <cell r="B1521" t="str">
            <v>dgts18111Z1829Z12Z</v>
          </cell>
          <cell r="C1521" t="str">
            <v>Diacylglyceryl-N,N,N-trimethylhomoserine (18:1(11Z)/18:2(9Z,12Z))</v>
          </cell>
        </row>
        <row r="1522">
          <cell r="A1522" t="str">
            <v>dgts1819Z1845Z9Z12Z15Z_c</v>
          </cell>
          <cell r="B1522" t="str">
            <v>dgts1819Z1845Z9Z12Z15Z</v>
          </cell>
          <cell r="C1522" t="str">
            <v>Diacylglyceryl-N,N,N-trimethylhomoserine (18:1(9Z)/18:4(5Z,9Z,12Z,15Z))</v>
          </cell>
        </row>
        <row r="1523">
          <cell r="A1523" t="str">
            <v>dgts1829Z12Z18111Z_c</v>
          </cell>
          <cell r="B1523" t="str">
            <v>dgts1829Z12Z18111Z</v>
          </cell>
          <cell r="C1523" t="str">
            <v>Diacylglyceryl-N,N,N-trimethylhomoserine (18:2(9Z,12Z)/18:1(11Z))</v>
          </cell>
        </row>
        <row r="1524">
          <cell r="A1524" t="str">
            <v>dgts1829Z12Z1829Z12Z_c</v>
          </cell>
          <cell r="B1524" t="str">
            <v>dgts1829Z12Z1829Z12Z</v>
          </cell>
          <cell r="C1524" t="str">
            <v>Diacylglyceryl-N,N,N-trimethylhomoserine (18:2(9Z,12Z)/18:2(9Z,12Z))</v>
          </cell>
        </row>
        <row r="1525">
          <cell r="A1525" t="str">
            <v>dgts1829Z12Z1845Z9Z12Z15Z_c</v>
          </cell>
          <cell r="B1525" t="str">
            <v>dgts1829Z12Z1845Z9Z12Z15Z</v>
          </cell>
          <cell r="C1525" t="str">
            <v>Diacylglyceryl-N,N,N-trimethylhomoserine (18:2(9Z,12Z)/18:4(5Z,9Z,12Z,15Z))</v>
          </cell>
        </row>
        <row r="1526">
          <cell r="A1526" t="str">
            <v>dgts1839Z12Z15Z1819Z_c</v>
          </cell>
          <cell r="B1526" t="str">
            <v>dgts1839Z12Z15Z1819Z</v>
          </cell>
          <cell r="C1526" t="str">
            <v>Diacylglyceryl-N,N,N-trimethylhomoserine (18:3(9Z,12Z,15Z)/18:1(9Z))</v>
          </cell>
        </row>
        <row r="1527">
          <cell r="A1527" t="str">
            <v>dgts1839Z12Z15Z1835Z9Z12Z_c</v>
          </cell>
          <cell r="B1527" t="str">
            <v>dgts1839Z12Z15Z1835Z9Z12Z</v>
          </cell>
          <cell r="C1527" t="str">
            <v>Diacylglyceryl-N,N,N-trimethylhomoserine (18:3(9Z,12Z,15Z)/18:3(5Z,9Z,12Z))</v>
          </cell>
        </row>
        <row r="1528">
          <cell r="A1528" t="str">
            <v>dhdascb_u</v>
          </cell>
          <cell r="B1528" t="str">
            <v>dhdascb</v>
          </cell>
          <cell r="C1528" t="str">
            <v>Dehydroascorbate</v>
          </cell>
        </row>
        <row r="1529">
          <cell r="A1529" t="str">
            <v>dhlam_h</v>
          </cell>
          <cell r="B1529" t="str">
            <v>dhlam</v>
          </cell>
          <cell r="C1529" t="str">
            <v>Dihydrolipoamide C8H17NOS2</v>
          </cell>
        </row>
        <row r="1530">
          <cell r="A1530" t="str">
            <v>dmcital_c</v>
          </cell>
          <cell r="B1530" t="str">
            <v>dmcital</v>
          </cell>
          <cell r="C1530" t="str">
            <v>Demethylcitalopram</v>
          </cell>
        </row>
        <row r="1531">
          <cell r="A1531" t="str">
            <v>dnad_h</v>
          </cell>
          <cell r="B1531" t="str">
            <v>dnad</v>
          </cell>
          <cell r="C1531" t="str">
            <v>Deamino-NAD+</v>
          </cell>
        </row>
        <row r="1532">
          <cell r="A1532" t="str">
            <v>doldp_c</v>
          </cell>
          <cell r="B1532" t="str">
            <v>doldp</v>
          </cell>
          <cell r="C1532" t="str">
            <v>Dolichyl diphosphate</v>
          </cell>
        </row>
        <row r="1533">
          <cell r="A1533" t="str">
            <v>doldpglcnacglcnacman_man_manman_manman_manmanmanglc_c</v>
          </cell>
          <cell r="B1533" t="str">
            <v>doldpglcnacglcnacman_man_manman_manman_manmanmanglc</v>
          </cell>
          <cell r="C1533" t="str">
            <v>PP-Dol(-a1)GlcNAc(4-b1)GlcNAc(4-b1)Man[(6-a1)Man[(6-a1)Man(2-a1)Man](3-a1)Man(2-a1)Man](3-a1)Man(2-a1)Man(2-a1)Man(3-a1)Glc</v>
          </cell>
        </row>
        <row r="1534">
          <cell r="A1534" t="str">
            <v>doldpglcnacglcnacman_man_manman_manman_manmanmanglcglc_c</v>
          </cell>
          <cell r="B1534" t="str">
            <v>doldpglcnacglcnacman_man_manman_manman_manmanmanglcglc</v>
          </cell>
          <cell r="C1534" t="str">
            <v>PP-Dol(-a1)GlcNAc(4-b1)GlcNAc(4-b1)Man[(6-a1)Man[(6-a1)Man(2-a1)Man](3-a1)Man(2-a1)Man](3-a1)Man(2-a1)Man(2-a1)Man(3-a1)Glc(3-a1)Glc</v>
          </cell>
        </row>
        <row r="1535">
          <cell r="A1535" t="str">
            <v>doldpglcnacglcnacman_man_manman_manman_manmanmanglcglcglc_c</v>
          </cell>
          <cell r="B1535" t="str">
            <v>doldpglcnacglcnacman_man_manman_manman_manmanmanglcglcglc</v>
          </cell>
          <cell r="C1535" t="str">
            <v>PP-Dol(-a1)GlcNAc(4-b1)GlcNAc(4-b1)Man[(6-a1)Man[(6-a1)Man(2-a1)Man](3-a1)Man(2-a1)Man](3-a1)Man(2-a1)Man(2-a1)Man(3-a1)Glc(3-a1)Glc(2-a1)Glc</v>
          </cell>
        </row>
        <row r="1536">
          <cell r="A1536" t="str">
            <v>doldpglcnacglcnacman_manmanman_manmanman_c</v>
          </cell>
          <cell r="B1536" t="str">
            <v>doldpglcnacglcnacman_manmanman_manmanman</v>
          </cell>
          <cell r="C1536" t="str">
            <v>PP-Dol(-a1)GlcNAc(4-b1)GlcNAc(4-b1)Man[(6-a1)Man(3-a1)Man(2-a1)Man](3-a1)Man(2-a1)Man(2-a1)Man</v>
          </cell>
        </row>
        <row r="1537">
          <cell r="A1537" t="str">
            <v>doldpglcnacglcnacman_man_manmanman_c</v>
          </cell>
          <cell r="B1537" t="str">
            <v>doldpglcnacglcnacman_man_manmanman</v>
          </cell>
          <cell r="C1537" t="str">
            <v>PP-Dol(-a1)GlcNAc(4-b1)GlcNAc(4-b1)Man[(6-a1)Man](3-a1)Man(2-a1)Man(2-a1)Man</v>
          </cell>
        </row>
        <row r="1538">
          <cell r="A1538" t="str">
            <v>dolpglc_c</v>
          </cell>
          <cell r="B1538" t="str">
            <v>dolpglc</v>
          </cell>
          <cell r="C1538" t="str">
            <v>Dolichyl beta-D-glucosyl phosphate</v>
          </cell>
        </row>
        <row r="1539">
          <cell r="A1539" t="str">
            <v>dtocophe_h</v>
          </cell>
          <cell r="B1539" t="str">
            <v>dtocophe</v>
          </cell>
          <cell r="C1539" t="str">
            <v>Delta-Tocopherol</v>
          </cell>
        </row>
        <row r="1540">
          <cell r="A1540" t="str">
            <v>dxyl5p_h</v>
          </cell>
          <cell r="B1540" t="str">
            <v>dxyl5p</v>
          </cell>
          <cell r="C1540" t="str">
            <v>1-deoxy-D-xylulose 5-phosphate</v>
          </cell>
        </row>
        <row r="1541">
          <cell r="A1541" t="str">
            <v>echin_u</v>
          </cell>
          <cell r="B1541" t="str">
            <v>echin</v>
          </cell>
          <cell r="C1541" t="str">
            <v>Echinenone</v>
          </cell>
        </row>
        <row r="1542">
          <cell r="A1542" t="str">
            <v>f2p_h</v>
          </cell>
          <cell r="B1542" t="str">
            <v>f2p</v>
          </cell>
          <cell r="C1542" t="str">
            <v>Beta-D-fructose 2-phosphate</v>
          </cell>
        </row>
        <row r="1543">
          <cell r="A1543" t="str">
            <v>fdxrd_u</v>
          </cell>
          <cell r="B1543" t="str">
            <v>fdxrd</v>
          </cell>
          <cell r="C1543" t="str">
            <v>Reduced ferredoxin</v>
          </cell>
        </row>
        <row r="1544">
          <cell r="A1544" t="str">
            <v>focytb5_c</v>
          </cell>
          <cell r="B1544" t="str">
            <v>focytb5</v>
          </cell>
          <cell r="C1544" t="str">
            <v>Ferrocytochrome b5</v>
          </cell>
        </row>
        <row r="1545">
          <cell r="A1545" t="str">
            <v>focytc_h</v>
          </cell>
          <cell r="B1545" t="str">
            <v>focytc</v>
          </cell>
          <cell r="C1545" t="str">
            <v>Ferrocytochrome c C42H53FeN8O6S2</v>
          </cell>
        </row>
        <row r="1546">
          <cell r="A1546" t="str">
            <v>gal_n</v>
          </cell>
          <cell r="B1546" t="str">
            <v>gal</v>
          </cell>
          <cell r="C1546" t="str">
            <v>D-Galactose</v>
          </cell>
        </row>
        <row r="1547">
          <cell r="A1547" t="str">
            <v>galctn__D_n</v>
          </cell>
          <cell r="B1547" t="str">
            <v>galctn__D</v>
          </cell>
          <cell r="C1547" t="str">
            <v>D-Galactonate</v>
          </cell>
        </row>
        <row r="1548">
          <cell r="A1548" t="str">
            <v>gcarote_h</v>
          </cell>
          <cell r="B1548" t="str">
            <v>gcarote</v>
          </cell>
          <cell r="C1548" t="str">
            <v>Gamma-Carotene</v>
          </cell>
        </row>
        <row r="1549">
          <cell r="A1549" t="str">
            <v>ggdp_u</v>
          </cell>
          <cell r="B1549" t="str">
            <v>ggdp</v>
          </cell>
          <cell r="C1549" t="str">
            <v>Geranylgeranyl diphosphate C20H33O7P2</v>
          </cell>
        </row>
        <row r="1550">
          <cell r="A1550" t="str">
            <v>glucys_h</v>
          </cell>
          <cell r="B1550" t="str">
            <v>glucys</v>
          </cell>
          <cell r="C1550" t="str">
            <v>Gamma-L-Glutamyl-L-cysteine</v>
          </cell>
        </row>
        <row r="1551">
          <cell r="A1551" t="str">
            <v>gly_h</v>
          </cell>
          <cell r="B1551" t="str">
            <v>gly</v>
          </cell>
          <cell r="C1551" t="str">
            <v>Glycine</v>
          </cell>
        </row>
        <row r="1552">
          <cell r="A1552" t="str">
            <v>glyc3p_h</v>
          </cell>
          <cell r="B1552" t="str">
            <v>glyc3p</v>
          </cell>
          <cell r="C1552" t="str">
            <v>Glycerol 3-phosphate</v>
          </cell>
        </row>
        <row r="1553">
          <cell r="A1553" t="str">
            <v>gthox_u</v>
          </cell>
          <cell r="B1553" t="str">
            <v>gthox</v>
          </cell>
          <cell r="C1553" t="str">
            <v>Oxidized glutathione</v>
          </cell>
        </row>
        <row r="1554">
          <cell r="A1554" t="str">
            <v>gthrd_h</v>
          </cell>
          <cell r="B1554" t="str">
            <v>gthrd</v>
          </cell>
          <cell r="C1554" t="str">
            <v>Reduced glutathione</v>
          </cell>
        </row>
        <row r="1555">
          <cell r="A1555" t="str">
            <v>hgentis_h</v>
          </cell>
          <cell r="B1555" t="str">
            <v>hgentis</v>
          </cell>
          <cell r="C1555" t="str">
            <v>Homogentisate C8H7O4</v>
          </cell>
        </row>
        <row r="1556">
          <cell r="A1556" t="str">
            <v>hisp_h</v>
          </cell>
          <cell r="B1556" t="str">
            <v>hisp</v>
          </cell>
          <cell r="C1556" t="str">
            <v>L-Histidinol phosphate</v>
          </cell>
        </row>
        <row r="1557">
          <cell r="A1557" t="str">
            <v>so3_h</v>
          </cell>
          <cell r="B1557" t="str">
            <v>so3</v>
          </cell>
          <cell r="C1557" t="str">
            <v>Sulfite</v>
          </cell>
        </row>
        <row r="1558">
          <cell r="A1558" t="str">
            <v>inost_h</v>
          </cell>
          <cell r="B1558" t="str">
            <v>inost</v>
          </cell>
          <cell r="C1558" t="str">
            <v>Myo-Inositol</v>
          </cell>
        </row>
        <row r="1559">
          <cell r="A1559" t="str">
            <v>ipdp_h</v>
          </cell>
          <cell r="B1559" t="str">
            <v>ipdp</v>
          </cell>
          <cell r="C1559" t="str">
            <v>Isopentenyl diphosphate</v>
          </cell>
        </row>
        <row r="1560">
          <cell r="A1560" t="str">
            <v>leu__L_h</v>
          </cell>
          <cell r="B1560" t="str">
            <v>leu__L</v>
          </cell>
          <cell r="C1560" t="str">
            <v>L-Leucine</v>
          </cell>
        </row>
        <row r="1561">
          <cell r="A1561" t="str">
            <v>lthstrl_c</v>
          </cell>
          <cell r="B1561" t="str">
            <v>lthstrl</v>
          </cell>
          <cell r="C1561" t="str">
            <v>5alpha-Cholest-7-en-3beta-ol</v>
          </cell>
        </row>
        <row r="1562">
          <cell r="A1562" t="str">
            <v>lumirhodopsin_s</v>
          </cell>
          <cell r="B1562" t="str">
            <v>lumirhodopsin</v>
          </cell>
          <cell r="C1562" t="str">
            <v>Lumirhodopsin</v>
          </cell>
        </row>
        <row r="1563">
          <cell r="A1563" t="str">
            <v>malACP_h</v>
          </cell>
          <cell r="B1563" t="str">
            <v>malACP</v>
          </cell>
          <cell r="C1563" t="str">
            <v>Malonyl-[acyl-carrier protein]</v>
          </cell>
        </row>
        <row r="1564">
          <cell r="A1564" t="str">
            <v>malcoa_h</v>
          </cell>
          <cell r="B1564" t="str">
            <v>malcoa</v>
          </cell>
          <cell r="C1564" t="str">
            <v>Malonyl CoA C24H33N7O19P3S</v>
          </cell>
        </row>
        <row r="1565">
          <cell r="A1565" t="str">
            <v>man_h</v>
          </cell>
          <cell r="B1565" t="str">
            <v>man</v>
          </cell>
          <cell r="C1565" t="str">
            <v>D-Mannose</v>
          </cell>
        </row>
        <row r="1566">
          <cell r="A1566" t="str">
            <v>melib_h</v>
          </cell>
          <cell r="B1566" t="str">
            <v>melib</v>
          </cell>
          <cell r="C1566" t="str">
            <v>Melibiose C12H22O11</v>
          </cell>
        </row>
        <row r="1567">
          <cell r="A1567" t="str">
            <v>mfecostrl_c</v>
          </cell>
          <cell r="B1567" t="str">
            <v>mfecostrl</v>
          </cell>
          <cell r="C1567" t="str">
            <v>4alpha-Methylfecosterol</v>
          </cell>
        </row>
        <row r="1568">
          <cell r="A1568" t="str">
            <v>mg2_u</v>
          </cell>
          <cell r="B1568" t="str">
            <v>mg2</v>
          </cell>
          <cell r="C1568" t="str">
            <v>Magnesium</v>
          </cell>
        </row>
        <row r="1569">
          <cell r="A1569" t="str">
            <v>mgdg1819Z1617Z_h</v>
          </cell>
          <cell r="B1569" t="str">
            <v>mgdg1819Z1617Z</v>
          </cell>
          <cell r="C1569" t="str">
            <v>Monogalactosyldiacylglycerol (1-(9Z)-octadecenoyl,2-(7Z)-hexadecenoyl, 18:1(9Z)/16:1(7Z))</v>
          </cell>
        </row>
        <row r="1570">
          <cell r="A1570" t="str">
            <v>mgdg1819Z1644Z7Z10Z13Z_h</v>
          </cell>
          <cell r="B1570" t="str">
            <v>mgdg1819Z1644Z7Z10Z13Z</v>
          </cell>
          <cell r="C1570" t="str">
            <v>Monogalactosyldiacylglycerol (1-(9Z)-octadecenoyl,2-(4Z,7Z,10Z,13Z)-hexadecatetraenoyl, 18:1(9Z)/16:4(4Z,7Z,10Z,13Z))</v>
          </cell>
        </row>
        <row r="1571">
          <cell r="A1571" t="str">
            <v>mgdg1829Z12Z1619Z_h</v>
          </cell>
          <cell r="B1571" t="str">
            <v>mgdg1829Z12Z1619Z</v>
          </cell>
          <cell r="C1571" t="str">
            <v>Monogalactosyldiacylglycerol (1-(9Z,12Z)-octadecadienoyl,2-(9Z)-hexadecenoyl, 18:2(9Z,12Z)/16:1(9Z))</v>
          </cell>
        </row>
        <row r="1572">
          <cell r="A1572" t="str">
            <v>mgdg1829Z12Z1627Z10Z_h</v>
          </cell>
          <cell r="B1572" t="str">
            <v>mgdg1829Z12Z1627Z10Z</v>
          </cell>
          <cell r="C1572" t="str">
            <v>Monogalactosyldiacylglycerol (1-(9Z,12Z)-octadecadienoyl,2-(7Z,10Z)-hexadecadienoyl, 18:2(9Z,12Z)/16:2(7Z,10Z))</v>
          </cell>
        </row>
        <row r="1573">
          <cell r="A1573" t="str">
            <v>mgdg1829Z12Z1637Z10Z13Z_h</v>
          </cell>
          <cell r="B1573" t="str">
            <v>mgdg1829Z12Z1637Z10Z13Z</v>
          </cell>
          <cell r="C1573" t="str">
            <v>Monogalactosyldiacylglycerol (1-(9Z,12Z)-octadecadienoyl,2-(7Z,10Z,13Z)-hexadecatrienoyl, 18:2(9Z,12Z)/16:3(7Z,10Z,13Z))</v>
          </cell>
        </row>
        <row r="1574">
          <cell r="A1574" t="str">
            <v>mgdg1829Z12Z1644Z7Z10Z13Z_h</v>
          </cell>
          <cell r="B1574" t="str">
            <v>mgdg1829Z12Z1644Z7Z10Z13Z</v>
          </cell>
          <cell r="C1574" t="str">
            <v>Monogalactosyldiacylglycerol (1-(9Z,12Z)-octadecadienoyl,2-(4Z,7Z,10Z,13Z)-hexadecatetraenoyl, 18:2(9Z,12Z)/16:4(4Z,7Z,10Z,13Z))</v>
          </cell>
        </row>
        <row r="1575">
          <cell r="A1575" t="str">
            <v>mgdg1839Z12Z15Z1627Z10Z_h</v>
          </cell>
          <cell r="B1575" t="str">
            <v>mgdg1839Z12Z15Z1627Z10Z</v>
          </cell>
          <cell r="C1575" t="str">
            <v>Monogalactosyldiacylglycerol (1-(9Z,12Z,15Z)-octadecatrienoyl,2-(7Z,10Z)-hexadecadienoyl, 18:3(9Z,12Z,15Z)/16:2(7Z,10Z))</v>
          </cell>
        </row>
        <row r="1576">
          <cell r="A1576" t="str">
            <v>mi34p_n</v>
          </cell>
          <cell r="B1576" t="str">
            <v>mi34p</v>
          </cell>
          <cell r="C1576" t="str">
            <v>1D-myo-Inositol 3,4-bisphosphate</v>
          </cell>
        </row>
        <row r="1577">
          <cell r="A1577" t="str">
            <v>mi3p__D_n</v>
          </cell>
          <cell r="B1577" t="str">
            <v>mi3p__D</v>
          </cell>
          <cell r="C1577" t="str">
            <v>1D-myo-Inositol 3-phosphate</v>
          </cell>
        </row>
        <row r="1578">
          <cell r="A1578" t="str">
            <v>mmtsa_m</v>
          </cell>
          <cell r="B1578" t="str">
            <v>mmtsa</v>
          </cell>
          <cell r="C1578" t="str">
            <v>(S)-Methylmalonate semialdehyde</v>
          </cell>
        </row>
        <row r="1579">
          <cell r="A1579" t="str">
            <v>mnt_h</v>
          </cell>
          <cell r="B1579" t="str">
            <v>mnt</v>
          </cell>
          <cell r="C1579" t="str">
            <v>Manninotriose</v>
          </cell>
        </row>
        <row r="1580">
          <cell r="A1580" t="str">
            <v>mppp9_h</v>
          </cell>
          <cell r="B1580" t="str">
            <v>mppp9</v>
          </cell>
          <cell r="C1580" t="str">
            <v>Magnesium protoporphyrin</v>
          </cell>
        </row>
        <row r="1581">
          <cell r="A1581" t="str">
            <v>nadh_s</v>
          </cell>
          <cell r="B1581" t="str">
            <v>nadh</v>
          </cell>
          <cell r="C1581" t="str">
            <v>Nicotinamide adenine dinucleotide - reduced</v>
          </cell>
        </row>
        <row r="1582">
          <cell r="A1582" t="str">
            <v>nadp_f</v>
          </cell>
          <cell r="B1582" t="str">
            <v>nadp</v>
          </cell>
          <cell r="C1582" t="str">
            <v>Nicotinamide adenine dinucleotide phosphate</v>
          </cell>
        </row>
        <row r="1583">
          <cell r="A1583" t="str">
            <v>nadp_h</v>
          </cell>
          <cell r="B1583" t="str">
            <v>nadp</v>
          </cell>
          <cell r="C1583" t="str">
            <v>Nicotinamide adenine dinucleotide phosphate</v>
          </cell>
        </row>
        <row r="1584">
          <cell r="A1584" t="str">
            <v>nh4_h</v>
          </cell>
          <cell r="B1584" t="str">
            <v>nh4</v>
          </cell>
          <cell r="C1584" t="str">
            <v>Ammonium</v>
          </cell>
        </row>
        <row r="1585">
          <cell r="A1585" t="str">
            <v>no_h</v>
          </cell>
          <cell r="B1585" t="str">
            <v>no</v>
          </cell>
          <cell r="C1585" t="str">
            <v>Nitric oxide</v>
          </cell>
        </row>
        <row r="1586">
          <cell r="A1586" t="str">
            <v>o2_h</v>
          </cell>
          <cell r="B1586" t="str">
            <v>o2</v>
          </cell>
          <cell r="C1586" t="str">
            <v>O2 O2</v>
          </cell>
        </row>
        <row r="1587">
          <cell r="A1587" t="str">
            <v>ocdca_h</v>
          </cell>
          <cell r="B1587" t="str">
            <v>ocdca</v>
          </cell>
          <cell r="C1587" t="str">
            <v>Octadecanoate (n-C18:0)</v>
          </cell>
        </row>
        <row r="1588">
          <cell r="A1588" t="str">
            <v>ocdcaACP_h</v>
          </cell>
          <cell r="B1588" t="str">
            <v>ocdcaACP</v>
          </cell>
          <cell r="C1588" t="str">
            <v>Octadecanoyl-ACP (n-C18:0ACP)</v>
          </cell>
        </row>
        <row r="1589">
          <cell r="A1589" t="str">
            <v>ocdccoa_c</v>
          </cell>
          <cell r="B1589" t="str">
            <v>ocdccoa</v>
          </cell>
          <cell r="C1589" t="str">
            <v>Octadecanoyl-coa</v>
          </cell>
        </row>
        <row r="1590">
          <cell r="A1590" t="str">
            <v>octe9ACP_h</v>
          </cell>
          <cell r="B1590" t="str">
            <v>octe9ACP</v>
          </cell>
          <cell r="C1590" t="str">
            <v>Cis-octadec-9-enoyl-[acyl-carrier protein] ((9Z)-n-C18:1)</v>
          </cell>
        </row>
        <row r="1591">
          <cell r="A1591" t="str">
            <v>orn_h</v>
          </cell>
          <cell r="B1591" t="str">
            <v>orn</v>
          </cell>
          <cell r="C1591" t="str">
            <v>Ornithine</v>
          </cell>
        </row>
        <row r="1592">
          <cell r="A1592" t="str">
            <v>pa1601819Z_c</v>
          </cell>
          <cell r="B1592" t="str">
            <v>pa1601819Z</v>
          </cell>
          <cell r="C1592" t="str">
            <v>1-hexadecanoyl,2-(9Z)-octadecenoyl-sn-glycerol 3-phosphate</v>
          </cell>
        </row>
        <row r="1593">
          <cell r="A1593" t="str">
            <v>pa18111Z1819Z_h</v>
          </cell>
          <cell r="B1593" t="str">
            <v>pa18111Z1819Z</v>
          </cell>
          <cell r="C1593" t="str">
            <v>1-(11Z)-octadecenoyl,2-(9Z)-octadecenoyl-sn-glycerol 3-phosphate</v>
          </cell>
        </row>
        <row r="1594">
          <cell r="A1594" t="str">
            <v>pa18111Z1835Z9Z12Z_c</v>
          </cell>
          <cell r="B1594" t="str">
            <v>pa18111Z1835Z9Z12Z</v>
          </cell>
          <cell r="C1594" t="str">
            <v>1-(11Z)-octadecenoyl,2-(5Z,9Z,12Z)-octadecatrienoyl-sn-glycerol 3-phosphate</v>
          </cell>
        </row>
        <row r="1595">
          <cell r="A1595" t="str">
            <v>pa18111Z1845Z9Z12Z15Z_c</v>
          </cell>
          <cell r="B1595" t="str">
            <v>pa18111Z1845Z9Z12Z15Z</v>
          </cell>
          <cell r="C1595" t="str">
            <v>1-(11Z)-octadecenoyl,2-(5Z,9Z,12Z,15Z)-octadecatetraenoyl-sn-glycerol 3-phosphate</v>
          </cell>
        </row>
        <row r="1596">
          <cell r="A1596" t="str">
            <v>pa1819Z160_h</v>
          </cell>
          <cell r="B1596" t="str">
            <v>pa1819Z160</v>
          </cell>
          <cell r="C1596" t="str">
            <v>1-(9Z)-octadecenoyl,2-hexadecanoyl-sn-glycerol 3-phosphate</v>
          </cell>
        </row>
        <row r="1597">
          <cell r="A1597" t="str">
            <v>pa1819Z18111Z_c</v>
          </cell>
          <cell r="B1597" t="str">
            <v>pa1819Z18111Z</v>
          </cell>
          <cell r="C1597" t="str">
            <v>1-(9Z)-octadecenoyl,2-(11Z)-octadecenoyl-sn-glycerol 3-phosphate</v>
          </cell>
        </row>
        <row r="1598">
          <cell r="A1598" t="str">
            <v>pa1819Z1819Z_c</v>
          </cell>
          <cell r="B1598" t="str">
            <v>pa1819Z1819Z</v>
          </cell>
          <cell r="C1598" t="str">
            <v>1,2-di-(9Z)-octadecenoyl-sn-glycerol 3-phosphate</v>
          </cell>
        </row>
        <row r="1599">
          <cell r="A1599" t="str">
            <v>pacoa_c</v>
          </cell>
          <cell r="B1599" t="str">
            <v>pacoa</v>
          </cell>
          <cell r="C1599" t="str">
            <v>Pinolenyl-coa</v>
          </cell>
        </row>
        <row r="1600">
          <cell r="A1600" t="str">
            <v>pail1819Z160_c</v>
          </cell>
          <cell r="B1600" t="str">
            <v>pail1819Z160</v>
          </cell>
          <cell r="C1600" t="str">
            <v>1-Phosphatidyl-D-myo-inositol (1-(9Z)-octadecenoyl,2-hexadecanoyl, 18:1(9Z)/16:0)</v>
          </cell>
        </row>
        <row r="1601">
          <cell r="A1601" t="str">
            <v>pap_h</v>
          </cell>
          <cell r="B1601" t="str">
            <v>pap</v>
          </cell>
          <cell r="C1601" t="str">
            <v>Adenosine 3',5'-bisphosphate</v>
          </cell>
        </row>
        <row r="1602">
          <cell r="A1602" t="str">
            <v>2p4c2me_h</v>
          </cell>
          <cell r="B1602" t="str">
            <v>2p4c2me</v>
          </cell>
          <cell r="C1602" t="str">
            <v>2-phospho-4-(cytidine 5'-diphospho)-2-C-methyl-D-erythritol</v>
          </cell>
        </row>
        <row r="1603">
          <cell r="A1603" t="str">
            <v>pe1801819Z_e</v>
          </cell>
          <cell r="B1603" t="str">
            <v>pe1801819Z</v>
          </cell>
          <cell r="C1603" t="str">
            <v>Phosphatidylethanolamine (18:0/18:1(9Z))</v>
          </cell>
        </row>
        <row r="1604">
          <cell r="A1604" t="str">
            <v>pe1801829Z12Z_e</v>
          </cell>
          <cell r="B1604" t="str">
            <v>pe1801829Z12Z</v>
          </cell>
          <cell r="C1604" t="str">
            <v>Phosphatidylethanolamine (18:0/18:2(9Z,12Z))</v>
          </cell>
        </row>
        <row r="1605">
          <cell r="A1605" t="str">
            <v>pe1801845Z9Z12Z15Z_e</v>
          </cell>
          <cell r="B1605" t="str">
            <v>pe1801845Z9Z12Z15Z</v>
          </cell>
          <cell r="C1605" t="str">
            <v>Phosphatidylethanolamine (18:0/18:4(5Z,9Z,12Z,15Z))</v>
          </cell>
        </row>
        <row r="1606">
          <cell r="A1606" t="str">
            <v>pe18111Z1819Z_e</v>
          </cell>
          <cell r="B1606" t="str">
            <v>pe18111Z1819Z</v>
          </cell>
          <cell r="C1606" t="str">
            <v>Phosphatidylethanolamine (18:1(11Z)/18:1(9Z))</v>
          </cell>
        </row>
        <row r="1607">
          <cell r="A1607" t="str">
            <v>pe1819Z1819Z_e</v>
          </cell>
          <cell r="B1607" t="str">
            <v>pe1819Z1819Z</v>
          </cell>
          <cell r="C1607" t="str">
            <v>Phosphatidylethanolamine (18:1(9Z)/18:1(9Z))</v>
          </cell>
        </row>
        <row r="1608">
          <cell r="A1608" t="str">
            <v>pe1819Z1829Z12Z_e</v>
          </cell>
          <cell r="B1608" t="str">
            <v>pe1819Z1829Z12Z</v>
          </cell>
          <cell r="C1608" t="str">
            <v>Phosphatidylethanolamine (18:1(9Z)/18:2(9Z,12Z))</v>
          </cell>
        </row>
        <row r="1609">
          <cell r="A1609" t="str">
            <v>pe1819Z1835Z9Z12Z_c</v>
          </cell>
          <cell r="B1609" t="str">
            <v>pe1819Z1835Z9Z12Z</v>
          </cell>
          <cell r="C1609" t="str">
            <v>Phosphatidylethanolamine (18:1(9Z)/18:3(5Z,9Z,12Z))</v>
          </cell>
        </row>
        <row r="1610">
          <cell r="A1610" t="str">
            <v>pg18111Z1613E_h</v>
          </cell>
          <cell r="B1610" t="str">
            <v>pg18111Z1613E</v>
          </cell>
          <cell r="C1610" t="str">
            <v>Phosphatidylglycerol (1-(11Z)-octadecenoyl,2-(3E)-hexadecenoyl, 18:1(11Z)/16:1(3E))</v>
          </cell>
        </row>
        <row r="1611">
          <cell r="A1611" t="str">
            <v>pg1839Z12Z15Z160_h</v>
          </cell>
          <cell r="B1611" t="str">
            <v>pg1839Z12Z15Z160</v>
          </cell>
          <cell r="C1611" t="str">
            <v>Phosphatidylglycerol (1-(9Z,12Z,15Z)-octadecatrienoyl,2-hexadecanoyl, 18:3(9Z,12Z,15Z)/16:0)</v>
          </cell>
        </row>
        <row r="1612">
          <cell r="A1612" t="str">
            <v>pgp18111Z160_h</v>
          </cell>
          <cell r="B1612" t="str">
            <v>pgp18111Z160</v>
          </cell>
          <cell r="C1612" t="str">
            <v>Phosphatidylglycerophosphate (1-(11Z)-octadecenoyl,2-hexadecanoyl, 18:1(11Z)/16:0)</v>
          </cell>
        </row>
        <row r="1613">
          <cell r="A1613" t="str">
            <v>pgp1819Z160_e</v>
          </cell>
          <cell r="B1613" t="str">
            <v>pgp1819Z160</v>
          </cell>
          <cell r="C1613" t="str">
            <v>Phosphatidylglycerophosphate (1-(9Z)-octadecenoyl,2-hexadecanoyl, 18:1(9Z)/16:0)</v>
          </cell>
        </row>
        <row r="1614">
          <cell r="A1614" t="str">
            <v>pheme_h</v>
          </cell>
          <cell r="B1614" t="str">
            <v>pheme</v>
          </cell>
          <cell r="C1614" t="str">
            <v>Protoheme C34H30FeN4O4</v>
          </cell>
        </row>
        <row r="1615">
          <cell r="A1615" t="str">
            <v>photon437_u</v>
          </cell>
          <cell r="B1615" t="str">
            <v>photon437</v>
          </cell>
          <cell r="C1615" t="str">
            <v>Photon (406 to 454 nm, indigo/blue)</v>
          </cell>
        </row>
        <row r="1616">
          <cell r="A1616" t="str">
            <v>phpyr_h</v>
          </cell>
          <cell r="B1616" t="str">
            <v>phpyr</v>
          </cell>
          <cell r="C1616" t="str">
            <v>Phenylpyruvate</v>
          </cell>
        </row>
        <row r="1617">
          <cell r="A1617" t="str">
            <v>phyto_h</v>
          </cell>
          <cell r="B1617" t="str">
            <v>phyto</v>
          </cell>
          <cell r="C1617" t="str">
            <v>All-trans-Phytoene</v>
          </cell>
        </row>
        <row r="1618">
          <cell r="A1618" t="str">
            <v>phytol_h</v>
          </cell>
          <cell r="B1618" t="str">
            <v>phytol</v>
          </cell>
          <cell r="C1618" t="str">
            <v>Phytol</v>
          </cell>
        </row>
        <row r="1619">
          <cell r="A1619" t="str">
            <v>pmtcoa_s</v>
          </cell>
          <cell r="B1619" t="str">
            <v>pmtcoa</v>
          </cell>
          <cell r="C1619" t="str">
            <v>Palmitoyl-CoA (n-C16:0CoA)</v>
          </cell>
        </row>
        <row r="1620">
          <cell r="A1620" t="str">
            <v>ppa_h</v>
          </cell>
          <cell r="B1620" t="str">
            <v>ppa</v>
          </cell>
          <cell r="C1620" t="str">
            <v>Propionate (n-C3:0)</v>
          </cell>
        </row>
        <row r="1621">
          <cell r="A1621" t="str">
            <v>ppad_m</v>
          </cell>
          <cell r="B1621" t="str">
            <v>ppad</v>
          </cell>
          <cell r="C1621" t="str">
            <v>Propionyladenylate</v>
          </cell>
        </row>
        <row r="1622">
          <cell r="A1622" t="str">
            <v>ppcoa_h</v>
          </cell>
          <cell r="B1622" t="str">
            <v>ppcoa</v>
          </cell>
          <cell r="C1622" t="str">
            <v>Propanoyl-CoA</v>
          </cell>
        </row>
        <row r="1623">
          <cell r="A1623" t="str">
            <v>pram_h</v>
          </cell>
          <cell r="B1623" t="str">
            <v>pram</v>
          </cell>
          <cell r="C1623" t="str">
            <v>5-Phospho-beta-D-ribosylamine</v>
          </cell>
        </row>
        <row r="1624">
          <cell r="A1624" t="str">
            <v>pran_h</v>
          </cell>
          <cell r="B1624" t="str">
            <v>pran</v>
          </cell>
          <cell r="C1624" t="str">
            <v>N-(5-Phospho-D-ribosyl)anthranilate</v>
          </cell>
        </row>
        <row r="1625">
          <cell r="A1625" t="str">
            <v>prbamp_h</v>
          </cell>
          <cell r="B1625" t="str">
            <v>prbamp</v>
          </cell>
          <cell r="C1625" t="str">
            <v>1-(5-Phosphoribosyl)-AMP</v>
          </cell>
        </row>
        <row r="1626">
          <cell r="A1626" t="str">
            <v>prbatp_h</v>
          </cell>
          <cell r="B1626" t="str">
            <v>prbatp</v>
          </cell>
          <cell r="C1626" t="str">
            <v>1-(5-Phosphoribosyl)-ATP</v>
          </cell>
        </row>
        <row r="1627">
          <cell r="A1627" t="str">
            <v>protds_h</v>
          </cell>
          <cell r="B1627" t="str">
            <v>protds</v>
          </cell>
          <cell r="C1627" t="str">
            <v>Protein disulfide</v>
          </cell>
        </row>
        <row r="1628">
          <cell r="A1628" t="str">
            <v>protdt_h</v>
          </cell>
          <cell r="B1628" t="str">
            <v>protdt</v>
          </cell>
          <cell r="C1628" t="str">
            <v>Protein dithiol</v>
          </cell>
        </row>
        <row r="1629">
          <cell r="A1629" t="str">
            <v>prpncoa_c</v>
          </cell>
          <cell r="B1629" t="str">
            <v>prpncoa</v>
          </cell>
          <cell r="C1629" t="str">
            <v>Propenoyl-CoA</v>
          </cell>
        </row>
        <row r="1630">
          <cell r="A1630" t="str">
            <v>pyphphbda_h</v>
          </cell>
          <cell r="B1630" t="str">
            <v>pyphphbda</v>
          </cell>
          <cell r="C1630" t="str">
            <v>Pyropheophorbide a</v>
          </cell>
        </row>
        <row r="1631">
          <cell r="A1631" t="str">
            <v>raffin_h</v>
          </cell>
          <cell r="B1631" t="str">
            <v>raffin</v>
          </cell>
          <cell r="C1631" t="str">
            <v>Raffinose C18H32O16</v>
          </cell>
        </row>
        <row r="1632">
          <cell r="A1632" t="str">
            <v>rb15bp_h</v>
          </cell>
          <cell r="B1632" t="str">
            <v>rb15bp</v>
          </cell>
          <cell r="C1632" t="str">
            <v>D-Ribulose 1,5-bisphosphate</v>
          </cell>
        </row>
        <row r="1633">
          <cell r="A1633" t="str">
            <v>retinal_h</v>
          </cell>
          <cell r="B1633" t="str">
            <v>retinal</v>
          </cell>
          <cell r="C1633" t="str">
            <v>All-trans-Retinal</v>
          </cell>
        </row>
        <row r="1634">
          <cell r="A1634" t="str">
            <v>retpalm_s</v>
          </cell>
          <cell r="B1634" t="str">
            <v>retpalm</v>
          </cell>
          <cell r="C1634" t="str">
            <v>All-trans-Retinyl palmitate</v>
          </cell>
        </row>
        <row r="1635">
          <cell r="A1635" t="str">
            <v>rhodopsin_s</v>
          </cell>
          <cell r="B1635" t="str">
            <v>rhodopsin</v>
          </cell>
          <cell r="C1635" t="str">
            <v>Rhodopsin</v>
          </cell>
        </row>
        <row r="1636">
          <cell r="A1636" t="str">
            <v>ru5p__D_h</v>
          </cell>
          <cell r="B1636" t="str">
            <v>ru5p__D</v>
          </cell>
          <cell r="C1636" t="str">
            <v>D-Ribulose 5-phosphate</v>
          </cell>
        </row>
        <row r="1637">
          <cell r="A1637" t="str">
            <v>scl_h</v>
          </cell>
          <cell r="B1637" t="str">
            <v>scl</v>
          </cell>
          <cell r="C1637" t="str">
            <v>Sirohydrochlorin</v>
          </cell>
        </row>
        <row r="1638">
          <cell r="A1638" t="str">
            <v>sectrna_m</v>
          </cell>
          <cell r="B1638" t="str">
            <v>sectrna</v>
          </cell>
          <cell r="C1638" t="str">
            <v>L-Selenocysteinyl-tRNA(Sec)</v>
          </cell>
        </row>
        <row r="1639">
          <cell r="A1639" t="str">
            <v>selcys_h</v>
          </cell>
          <cell r="B1639" t="str">
            <v>selcys</v>
          </cell>
          <cell r="C1639" t="str">
            <v>Selenocysteine</v>
          </cell>
        </row>
        <row r="1640">
          <cell r="A1640" t="str">
            <v>selcys_m</v>
          </cell>
          <cell r="B1640" t="str">
            <v>selcys</v>
          </cell>
          <cell r="C1640" t="str">
            <v>Selenocysteine</v>
          </cell>
        </row>
        <row r="1641">
          <cell r="A1641" t="str">
            <v>slnt_m</v>
          </cell>
          <cell r="B1641" t="str">
            <v>slnt</v>
          </cell>
          <cell r="C1641" t="str">
            <v>Selenite</v>
          </cell>
        </row>
        <row r="1642">
          <cell r="A1642" t="str">
            <v>skm_h</v>
          </cell>
          <cell r="B1642" t="str">
            <v>skm</v>
          </cell>
          <cell r="C1642" t="str">
            <v>Shikimate</v>
          </cell>
        </row>
        <row r="1643">
          <cell r="A1643" t="str">
            <v>sqdg1819Z160_h</v>
          </cell>
          <cell r="B1643" t="str">
            <v>sqdg1819Z160</v>
          </cell>
          <cell r="C1643" t="str">
            <v>Sulfoquinovosyldiacylglycerol (1-(9Z)-octadecenoyl,2-hexadecanoyl, 18:1(9Z)/16:0)</v>
          </cell>
        </row>
        <row r="1644">
          <cell r="A1644" t="str">
            <v>sqdg1839Z12Z15Z160_h</v>
          </cell>
          <cell r="B1644" t="str">
            <v>sqdg1839Z12Z15Z160</v>
          </cell>
          <cell r="C1644" t="str">
            <v>Sulfoquinovosyldiacylglycerol (1-(9Z,12Z,15Z)-octadecatrienoyl,2-hexadecanoyl, 18:3(9Z,12Z,15Z)/16:0)</v>
          </cell>
        </row>
        <row r="1645">
          <cell r="A1645" t="str">
            <v>tag1601819Z160_c</v>
          </cell>
          <cell r="B1645" t="str">
            <v>tag1601819Z160</v>
          </cell>
          <cell r="C1645" t="str">
            <v>Triacylglycerol (16:0/18:1(9Z)/16:0)</v>
          </cell>
        </row>
        <row r="1646">
          <cell r="A1646" t="str">
            <v>tag1601819Z1819Z_c</v>
          </cell>
          <cell r="B1646" t="str">
            <v>tag1601819Z1819Z</v>
          </cell>
          <cell r="C1646" t="str">
            <v>Triacylglycerol (16:0/18:1(9Z)/18:1(9Z))</v>
          </cell>
        </row>
        <row r="1647">
          <cell r="A1647" t="str">
            <v>tag1801819Z1819Z_c</v>
          </cell>
          <cell r="B1647" t="str">
            <v>tag1801819Z1819Z</v>
          </cell>
          <cell r="C1647" t="str">
            <v>Triacylglycerol (18:0/18:1(9Z)/18:1(9Z))</v>
          </cell>
        </row>
        <row r="1648">
          <cell r="A1648" t="str">
            <v>tag18111Z18111Z18111Z_c</v>
          </cell>
          <cell r="B1648" t="str">
            <v>tag18111Z18111Z18111Z</v>
          </cell>
          <cell r="C1648" t="str">
            <v>Triacylglycerol (18:1(11Z)/18:1(11Z)/18:1(11Z))</v>
          </cell>
        </row>
        <row r="1649">
          <cell r="A1649" t="str">
            <v>tag18111Z1819Z1819Z_c</v>
          </cell>
          <cell r="B1649" t="str">
            <v>tag18111Z1819Z1819Z</v>
          </cell>
          <cell r="C1649" t="str">
            <v>Triacylglycerol (18:1(11Z)/18:1(9Z)/18:1(9Z))</v>
          </cell>
        </row>
        <row r="1650">
          <cell r="A1650" t="str">
            <v>tag1819Z18111Z1835Z9Z12Z_c</v>
          </cell>
          <cell r="B1650" t="str">
            <v>tag1819Z18111Z1835Z9Z12Z</v>
          </cell>
          <cell r="C1650" t="str">
            <v>Triacylglycerol (18:1(9Z)/18:1(11Z)/18:3(5Z,9Z,12Z))</v>
          </cell>
        </row>
        <row r="1651">
          <cell r="A1651" t="str">
            <v>tag1819Z18111Z1845Z9Z12Z15Z_c</v>
          </cell>
          <cell r="B1651" t="str">
            <v>tag1819Z18111Z1845Z9Z12Z15Z</v>
          </cell>
          <cell r="C1651" t="str">
            <v>Triacylglycerol (18:1(9Z)/18:1(11Z)/18:4(5Z,9Z,12Z,15Z))</v>
          </cell>
        </row>
        <row r="1652">
          <cell r="A1652" t="str">
            <v>tag1819Z1819Z160_c</v>
          </cell>
          <cell r="B1652" t="str">
            <v>tag1819Z1819Z160</v>
          </cell>
          <cell r="C1652" t="str">
            <v>Triacylglycerol (18:1(9Z)/18:1(9Z)/16:0)</v>
          </cell>
        </row>
        <row r="1653">
          <cell r="A1653" t="str">
            <v>tag1819Z1819Z1819Z_c</v>
          </cell>
          <cell r="B1653" t="str">
            <v>tag1819Z1819Z1819Z</v>
          </cell>
          <cell r="C1653" t="str">
            <v>Triacylglycerol (18:1(9Z)/18:1(9Z)/18:1(9Z))</v>
          </cell>
        </row>
        <row r="1654">
          <cell r="A1654" t="str">
            <v>tfenfe3_h</v>
          </cell>
          <cell r="B1654" t="str">
            <v>tfenfe3</v>
          </cell>
          <cell r="C1654" t="str">
            <v>Transferrin[Fe(III)]2</v>
          </cell>
        </row>
        <row r="1655">
          <cell r="A1655" t="str">
            <v>tgua_e</v>
          </cell>
          <cell r="B1655" t="str">
            <v>tgua</v>
          </cell>
          <cell r="C1655" t="str">
            <v>Thioguanine</v>
          </cell>
        </row>
        <row r="1656">
          <cell r="A1656" t="str">
            <v>thcys_h</v>
          </cell>
          <cell r="B1656" t="str">
            <v>thcys</v>
          </cell>
          <cell r="C1656" t="str">
            <v>Thiocysteine</v>
          </cell>
        </row>
        <row r="1657">
          <cell r="A1657" t="str">
            <v>thf_h</v>
          </cell>
          <cell r="B1657" t="str">
            <v>thf</v>
          </cell>
          <cell r="C1657" t="str">
            <v>5,6,7,8-Tetrahydrofolate</v>
          </cell>
        </row>
        <row r="1658">
          <cell r="A1658" t="str">
            <v>thmpp_h</v>
          </cell>
          <cell r="B1658" t="str">
            <v>thmpp</v>
          </cell>
          <cell r="C1658" t="str">
            <v>Thiamine diphosphate</v>
          </cell>
        </row>
        <row r="1659">
          <cell r="A1659" t="str">
            <v>tmrs2eACP_h</v>
          </cell>
          <cell r="B1659" t="str">
            <v>tmrs2eACP</v>
          </cell>
          <cell r="C1659" t="str">
            <v>Trans-Tetradec-2-enoyl-[acyl-carrier protein]</v>
          </cell>
        </row>
        <row r="1660">
          <cell r="A1660" t="str">
            <v>tpalm2eACP_h</v>
          </cell>
          <cell r="B1660" t="str">
            <v>tpalm2eACP</v>
          </cell>
          <cell r="C1660" t="str">
            <v>Trans-Hexadec-2-enoyl-[acyl-carrier protein]</v>
          </cell>
        </row>
        <row r="1661">
          <cell r="A1661" t="str">
            <v>tre6p_n</v>
          </cell>
          <cell r="B1661" t="str">
            <v>tre6p</v>
          </cell>
          <cell r="C1661" t="str">
            <v>Alpha,alpha'-Trehalose 6-phosphate</v>
          </cell>
        </row>
        <row r="1662">
          <cell r="A1662" t="str">
            <v>trnaala_m</v>
          </cell>
          <cell r="B1662" t="str">
            <v>trnaala</v>
          </cell>
          <cell r="C1662" t="str">
            <v>TRNA(Ala)</v>
          </cell>
        </row>
        <row r="1663">
          <cell r="A1663" t="str">
            <v>tsul_h</v>
          </cell>
          <cell r="B1663" t="str">
            <v>tsul</v>
          </cell>
          <cell r="C1663" t="str">
            <v>Thiosulfate</v>
          </cell>
        </row>
        <row r="1664">
          <cell r="A1664" t="str">
            <v>udg_m</v>
          </cell>
          <cell r="B1664" t="str">
            <v>udg</v>
          </cell>
          <cell r="C1664" t="str">
            <v>Ureidoglycine</v>
          </cell>
        </row>
        <row r="1665">
          <cell r="A1665" t="str">
            <v>udparab_g</v>
          </cell>
          <cell r="B1665" t="str">
            <v>udparab</v>
          </cell>
          <cell r="C1665" t="str">
            <v>UDP-L-arabinose</v>
          </cell>
        </row>
        <row r="1666">
          <cell r="A1666" t="str">
            <v>udpsq_h</v>
          </cell>
          <cell r="B1666" t="str">
            <v>udpsq</v>
          </cell>
          <cell r="C1666" t="str">
            <v>UDP-6-sulfoquinovose</v>
          </cell>
        </row>
        <row r="1667">
          <cell r="A1667" t="str">
            <v>upp1_h</v>
          </cell>
          <cell r="B1667" t="str">
            <v>upp1</v>
          </cell>
          <cell r="C1667" t="str">
            <v>Uroporphyrin I</v>
          </cell>
        </row>
        <row r="1668">
          <cell r="A1668" t="str">
            <v>whddca_h</v>
          </cell>
          <cell r="B1668" t="str">
            <v>whddca</v>
          </cell>
          <cell r="C1668" t="str">
            <v>Omega hydroxy dodecanoate (n-C12:0)</v>
          </cell>
        </row>
        <row r="1669">
          <cell r="A1669" t="str">
            <v>2hxmp_c</v>
          </cell>
          <cell r="B1669" t="str">
            <v>2hxmp</v>
          </cell>
          <cell r="C1669" t="str">
            <v>2  Hydroxymethyl phenol C7H8O2</v>
          </cell>
        </row>
        <row r="1670">
          <cell r="A1670" t="str">
            <v>3amba_c</v>
          </cell>
          <cell r="B1670" t="str">
            <v>3amba</v>
          </cell>
          <cell r="C1670" t="str">
            <v>3 aminobutanoic acid C4H9NO2</v>
          </cell>
        </row>
        <row r="1671">
          <cell r="A1671" t="str">
            <v>3amp_c</v>
          </cell>
          <cell r="B1671" t="str">
            <v>3amp</v>
          </cell>
          <cell r="C1671" t="str">
            <v>3  AMP C10H12N5O7P</v>
          </cell>
        </row>
        <row r="1672">
          <cell r="A1672" t="str">
            <v>DPA_c</v>
          </cell>
          <cell r="B1672" t="str">
            <v>DPA</v>
          </cell>
          <cell r="C1672" t="str">
            <v>Dipicolinate C7H3NO4</v>
          </cell>
        </row>
        <row r="1673">
          <cell r="A1673" t="str">
            <v>L_alagly_e</v>
          </cell>
          <cell r="B1673" t="str">
            <v>L_alagly</v>
          </cell>
          <cell r="C1673" t="str">
            <v>L alanylglycine C5H10N2O3</v>
          </cell>
        </row>
        <row r="1674">
          <cell r="A1674" t="str">
            <v>L_sergly_c</v>
          </cell>
          <cell r="B1674" t="str">
            <v>L_sergly</v>
          </cell>
          <cell r="C1674" t="str">
            <v>L Serylglycine C5H10N2O4</v>
          </cell>
        </row>
        <row r="1675">
          <cell r="A1675" t="str">
            <v>abt__L_e</v>
          </cell>
          <cell r="B1675" t="str">
            <v>abt__L</v>
          </cell>
          <cell r="C1675" t="str">
            <v>L Arabinitol C5H12O5</v>
          </cell>
        </row>
        <row r="1676">
          <cell r="A1676" t="str">
            <v>ala_L_Thr__L_e</v>
          </cell>
          <cell r="B1676" t="str">
            <v>ala_L_Thr__L</v>
          </cell>
          <cell r="C1676" t="str">
            <v>Ala L Thr L C7H14N2O4</v>
          </cell>
        </row>
        <row r="1677">
          <cell r="A1677" t="str">
            <v>ala_L_gln__L_c</v>
          </cell>
          <cell r="B1677" t="str">
            <v>ala_L_gln__L</v>
          </cell>
          <cell r="C1677" t="str">
            <v>Ala Gln C8H15N3O4</v>
          </cell>
        </row>
        <row r="1678">
          <cell r="A1678" t="str">
            <v>ala_L_glu__L_c</v>
          </cell>
          <cell r="B1678" t="str">
            <v>ala_L_glu__L</v>
          </cell>
          <cell r="C1678" t="str">
            <v>Ala L glu L C8H13N2O5</v>
          </cell>
        </row>
        <row r="1679">
          <cell r="A1679" t="str">
            <v>ala_L_ile__L_c</v>
          </cell>
          <cell r="B1679" t="str">
            <v>ala_L_ile__L</v>
          </cell>
          <cell r="C1679" t="str">
            <v>Ala Ile C9H18N2O3</v>
          </cell>
        </row>
        <row r="1680">
          <cell r="A1680" t="str">
            <v>ala_L_ser__L_c</v>
          </cell>
          <cell r="B1680" t="str">
            <v>ala_L_ser__L</v>
          </cell>
          <cell r="C1680" t="str">
            <v>Ala Ser C6H12N2O4</v>
          </cell>
        </row>
        <row r="1681">
          <cell r="A1681" t="str">
            <v>ala_L_trp__L_c</v>
          </cell>
          <cell r="B1681" t="str">
            <v>ala_L_trp__L</v>
          </cell>
          <cell r="C1681" t="str">
            <v>Ala Trp C14H17N3O3</v>
          </cell>
        </row>
        <row r="1682">
          <cell r="A1682" t="str">
            <v>antim_e</v>
          </cell>
          <cell r="B1682" t="str">
            <v>antim</v>
          </cell>
          <cell r="C1682" t="str">
            <v>Antimonite Sb</v>
          </cell>
        </row>
        <row r="1683">
          <cell r="A1683" t="str">
            <v>arsenb_e</v>
          </cell>
          <cell r="B1683" t="str">
            <v>arsenb</v>
          </cell>
          <cell r="C1683" t="str">
            <v>ARSENOBETAINE C5H11AsO2</v>
          </cell>
        </row>
        <row r="1684">
          <cell r="A1684" t="str">
            <v>cbl2_e</v>
          </cell>
          <cell r="B1684" t="str">
            <v>cbl2</v>
          </cell>
          <cell r="C1684" t="str">
            <v>Cob II alamin C62H88CoN13O14P</v>
          </cell>
        </row>
        <row r="1685">
          <cell r="A1685" t="str">
            <v>chitob_c</v>
          </cell>
          <cell r="B1685" t="str">
            <v>chitob</v>
          </cell>
          <cell r="C1685" t="str">
            <v>Chitobiose C16H28N2O11</v>
          </cell>
        </row>
        <row r="1686">
          <cell r="A1686" t="str">
            <v>ctbt_e</v>
          </cell>
          <cell r="B1686" t="str">
            <v>ctbt</v>
          </cell>
          <cell r="C1686" t="str">
            <v>Crotonobetaine</v>
          </cell>
        </row>
        <row r="1687">
          <cell r="A1687" t="str">
            <v>ddcal_c</v>
          </cell>
          <cell r="B1687" t="str">
            <v>ddcal</v>
          </cell>
          <cell r="C1687" t="str">
            <v>Dodecanal C12H24O</v>
          </cell>
        </row>
        <row r="1688">
          <cell r="A1688" t="str">
            <v>diala__L_c</v>
          </cell>
          <cell r="B1688" t="str">
            <v>diala__L</v>
          </cell>
          <cell r="C1688" t="str">
            <v>Ala Ala C6H12N2O3</v>
          </cell>
        </row>
        <row r="1689">
          <cell r="A1689" t="str">
            <v>fa3coa_c</v>
          </cell>
          <cell r="B1689" t="str">
            <v>fa3coa</v>
          </cell>
          <cell r="C1689" t="str">
            <v>Iso C150 CoA C36H60N7O17P3S1</v>
          </cell>
        </row>
        <row r="1690">
          <cell r="A1690" t="str">
            <v>ferrich_e</v>
          </cell>
          <cell r="B1690" t="str">
            <v>ferrich</v>
          </cell>
          <cell r="C1690" t="str">
            <v>Ferrichrome C24H38FeN9O11</v>
          </cell>
        </row>
        <row r="1691">
          <cell r="A1691" t="str">
            <v>ferxa_e</v>
          </cell>
          <cell r="B1691" t="str">
            <v>ferxa</v>
          </cell>
          <cell r="C1691" t="str">
            <v>Ferroxamine C25H46FeN6O8</v>
          </cell>
        </row>
        <row r="1692">
          <cell r="A1692" t="str">
            <v>fmnRD_c</v>
          </cell>
          <cell r="B1692" t="str">
            <v>fmnRD</v>
          </cell>
          <cell r="C1692" t="str">
            <v>Flavin mononucleotide reduced C17H21N4O9P</v>
          </cell>
        </row>
        <row r="1693">
          <cell r="A1693" t="str">
            <v>g15lac_c</v>
          </cell>
          <cell r="B1693" t="str">
            <v>g15lac</v>
          </cell>
          <cell r="C1693" t="str">
            <v>D Glucono 1 5 lactone C6H10O6</v>
          </cell>
        </row>
        <row r="1694">
          <cell r="A1694" t="str">
            <v>g16bp_c</v>
          </cell>
          <cell r="B1694" t="str">
            <v>g16bp</v>
          </cell>
          <cell r="C1694" t="str">
            <v>D Glucose 1 6 bisphosphate C6H10O12P2</v>
          </cell>
        </row>
        <row r="1695">
          <cell r="A1695" t="str">
            <v>galctr__D_c</v>
          </cell>
          <cell r="B1695" t="str">
            <v>galctr__D</v>
          </cell>
          <cell r="C1695" t="str">
            <v>D Galactarate C6H8O8</v>
          </cell>
        </row>
        <row r="1696">
          <cell r="A1696" t="str">
            <v>glcurn_c</v>
          </cell>
          <cell r="B1696" t="str">
            <v>glcurn</v>
          </cell>
          <cell r="C1696" t="str">
            <v>D Glucurone C6H8O6</v>
          </cell>
        </row>
        <row r="1697">
          <cell r="A1697" t="str">
            <v>gly_asn__L_c</v>
          </cell>
          <cell r="B1697" t="str">
            <v>gly_asn__L</v>
          </cell>
          <cell r="C1697" t="str">
            <v>Gly asn L C6H11N3O4</v>
          </cell>
        </row>
        <row r="1698">
          <cell r="A1698" t="str">
            <v>gly_gln__L_e</v>
          </cell>
          <cell r="B1698" t="str">
            <v>gly_gln__L</v>
          </cell>
          <cell r="C1698" t="str">
            <v>Gly Gln C7H13N3O4</v>
          </cell>
        </row>
        <row r="1699">
          <cell r="A1699" t="str">
            <v>gly_glu__L_e</v>
          </cell>
          <cell r="B1699" t="str">
            <v>gly_glu__L</v>
          </cell>
          <cell r="C1699" t="str">
            <v>Gly glu L C7H11N2O5</v>
          </cell>
        </row>
        <row r="1700">
          <cell r="A1700" t="str">
            <v>gly_phe__L_c</v>
          </cell>
          <cell r="B1700" t="str">
            <v>gly_phe__L</v>
          </cell>
          <cell r="C1700" t="str">
            <v>Gly Phe C11H14N2O3</v>
          </cell>
        </row>
        <row r="1701">
          <cell r="A1701" t="str">
            <v>gly_tyr__L_c</v>
          </cell>
          <cell r="B1701" t="str">
            <v>gly_tyr__L</v>
          </cell>
          <cell r="C1701" t="str">
            <v>Gly Try C11H14N2O4</v>
          </cell>
        </row>
        <row r="1702">
          <cell r="A1702" t="str">
            <v>glycogen_e</v>
          </cell>
          <cell r="B1702" t="str">
            <v>glycogen</v>
          </cell>
          <cell r="C1702" t="str">
            <v>Glycogen C6H10O5</v>
          </cell>
        </row>
        <row r="1703">
          <cell r="A1703" t="str">
            <v>hemeD_c</v>
          </cell>
          <cell r="B1703" t="str">
            <v>hemeD</v>
          </cell>
          <cell r="C1703" t="str">
            <v>Heme D C34H30FeN4O6</v>
          </cell>
        </row>
        <row r="1704">
          <cell r="A1704" t="str">
            <v>hexs_c</v>
          </cell>
          <cell r="B1704" t="str">
            <v>hexs</v>
          </cell>
          <cell r="C1704" t="str">
            <v>Hexanesulfonate C6H13O3S</v>
          </cell>
        </row>
        <row r="1705">
          <cell r="A1705" t="str">
            <v>hibcoa_c</v>
          </cell>
          <cell r="B1705" t="str">
            <v>hibcoa</v>
          </cell>
          <cell r="C1705" t="str">
            <v xml:space="preserve"> S  3 Hydroxyisobutyryl CoA C25H38N7O18P3S</v>
          </cell>
        </row>
        <row r="1706">
          <cell r="A1706" t="str">
            <v>hqn_e</v>
          </cell>
          <cell r="B1706" t="str">
            <v>hqn</v>
          </cell>
          <cell r="C1706" t="str">
            <v>Hydroquinone</v>
          </cell>
        </row>
        <row r="1707">
          <cell r="A1707" t="str">
            <v>lanth_c</v>
          </cell>
          <cell r="B1707" t="str">
            <v>lanth</v>
          </cell>
          <cell r="C1707" t="str">
            <v>Lanthionine C6H12N2O4S</v>
          </cell>
        </row>
        <row r="1708">
          <cell r="A1708" t="str">
            <v>m12dg_BS_c</v>
          </cell>
          <cell r="B1708" t="str">
            <v>m12dg_BS</v>
          </cell>
          <cell r="C1708" t="str">
            <v>Monoglucosyl 1 2 diacylglycerol C4036H7672O1000</v>
          </cell>
        </row>
        <row r="1709">
          <cell r="A1709" t="str">
            <v>man1p_e</v>
          </cell>
          <cell r="B1709" t="str">
            <v>man1p</v>
          </cell>
          <cell r="C1709" t="str">
            <v>D-Mannose 1-phosphate</v>
          </cell>
        </row>
        <row r="1710">
          <cell r="A1710" t="str">
            <v>met_L_his__L_c</v>
          </cell>
          <cell r="B1710" t="str">
            <v>met_L_his__L</v>
          </cell>
          <cell r="C1710" t="str">
            <v>Met His C11H18N4O3S</v>
          </cell>
        </row>
        <row r="1711">
          <cell r="A1711" t="str">
            <v>met_L_met__L_c</v>
          </cell>
          <cell r="B1711" t="str">
            <v>met_L_met__L</v>
          </cell>
          <cell r="C1711" t="str">
            <v>Met Met C10H20N2O3S2</v>
          </cell>
        </row>
        <row r="1712">
          <cell r="A1712" t="str">
            <v>mql7_c</v>
          </cell>
          <cell r="B1712" t="str">
            <v>mql7</v>
          </cell>
          <cell r="C1712" t="str">
            <v>Menaquinol 7 C46H66O2</v>
          </cell>
        </row>
        <row r="1713">
          <cell r="A1713" t="str">
            <v>mqn7_c</v>
          </cell>
          <cell r="B1713" t="str">
            <v>mqn7</v>
          </cell>
          <cell r="C1713" t="str">
            <v>Menaquinone 7 C46H64O2</v>
          </cell>
        </row>
        <row r="1714">
          <cell r="A1714" t="str">
            <v>nonal_c</v>
          </cell>
          <cell r="B1714" t="str">
            <v>nonal</v>
          </cell>
          <cell r="C1714" t="str">
            <v>Nonanal C9H18O</v>
          </cell>
        </row>
        <row r="1715">
          <cell r="A1715" t="str">
            <v>ocdcal_c</v>
          </cell>
          <cell r="B1715" t="str">
            <v>ocdcal</v>
          </cell>
          <cell r="C1715" t="str">
            <v>Octadecanal C18H36O</v>
          </cell>
        </row>
        <row r="1716">
          <cell r="A1716" t="str">
            <v>orn__L_e</v>
          </cell>
          <cell r="B1716" t="str">
            <v>orn__L</v>
          </cell>
          <cell r="C1716" t="str">
            <v>L Ornithine C5H13N2O2</v>
          </cell>
        </row>
        <row r="1717">
          <cell r="A1717" t="str">
            <v>pala_c</v>
          </cell>
          <cell r="B1717" t="str">
            <v>pala</v>
          </cell>
          <cell r="C1717" t="str">
            <v>Palatinose C12H22O11</v>
          </cell>
        </row>
        <row r="1718">
          <cell r="A1718" t="str">
            <v>prolb_e</v>
          </cell>
          <cell r="B1718" t="str">
            <v>prolb</v>
          </cell>
          <cell r="C1718" t="str">
            <v>Proline betaine C7H13NO2</v>
          </cell>
        </row>
        <row r="1719">
          <cell r="A1719" t="str">
            <v>ps_BS_c</v>
          </cell>
          <cell r="B1719" t="str">
            <v>ps_BS</v>
          </cell>
          <cell r="C1719" t="str">
            <v>Phosphatidylserine  B subtilis  C3736H7172N100O1000P100</v>
          </cell>
        </row>
        <row r="1720">
          <cell r="A1720" t="str">
            <v>pur_c</v>
          </cell>
          <cell r="B1720" t="str">
            <v>pur</v>
          </cell>
          <cell r="C1720" t="str">
            <v>Puromycin C22H30N7O5</v>
          </cell>
        </row>
        <row r="1721">
          <cell r="A1721" t="str">
            <v>quc_c</v>
          </cell>
          <cell r="B1721" t="str">
            <v>quc</v>
          </cell>
          <cell r="C1721" t="str">
            <v>Quercetin C15H7O7</v>
          </cell>
        </row>
        <row r="1722">
          <cell r="A1722" t="str">
            <v>ribflvRD_c</v>
          </cell>
          <cell r="B1722" t="str">
            <v>ribflvRD</v>
          </cell>
          <cell r="C1722" t="str">
            <v>Reduced riboflavin C17H22N4O6</v>
          </cell>
        </row>
        <row r="1723">
          <cell r="A1723" t="str">
            <v>starch_e</v>
          </cell>
          <cell r="B1723" t="str">
            <v>starch</v>
          </cell>
          <cell r="C1723" t="str">
            <v>Starch C12H20O10</v>
          </cell>
        </row>
        <row r="1724">
          <cell r="A1724" t="str">
            <v>subtilisin_e</v>
          </cell>
          <cell r="B1724" t="str">
            <v>subtilisin</v>
          </cell>
          <cell r="C1724" t="str">
            <v>Mature Bacillus subtilis subtilisin C1588H2486N436O518S6</v>
          </cell>
        </row>
        <row r="1725">
          <cell r="A1725" t="str">
            <v>tcggrpp_c</v>
          </cell>
          <cell r="B1725" t="str">
            <v>tcggrpp</v>
          </cell>
          <cell r="C1725" t="str">
            <v>Trans trans cis Geranylgeranyl pyrophosphate C20H33O7P2</v>
          </cell>
        </row>
        <row r="1726">
          <cell r="A1726" t="str">
            <v>thiog_c</v>
          </cell>
          <cell r="B1726" t="str">
            <v>thiog</v>
          </cell>
          <cell r="C1726" t="str">
            <v>Thioglycolate C2H3O2S</v>
          </cell>
        </row>
        <row r="1727">
          <cell r="A1727" t="str">
            <v>udcal_c</v>
          </cell>
          <cell r="B1727" t="str">
            <v>udcal</v>
          </cell>
          <cell r="C1727" t="str">
            <v>Undecanal C11H22O</v>
          </cell>
        </row>
        <row r="1728">
          <cell r="A1728" t="str">
            <v>chsterols_r</v>
          </cell>
          <cell r="B1728" t="str">
            <v>chsterols</v>
          </cell>
          <cell r="C1728" t="str">
            <v>Cholesterol sulfate</v>
          </cell>
        </row>
        <row r="1729">
          <cell r="A1729" t="str">
            <v>retpalm_e</v>
          </cell>
          <cell r="B1729" t="str">
            <v>retpalm</v>
          </cell>
          <cell r="C1729" t="str">
            <v>All-trans-Retinyl palmitate</v>
          </cell>
        </row>
        <row r="1730">
          <cell r="A1730" t="str">
            <v>dag_hs_18_2_20_4_c</v>
          </cell>
          <cell r="B1730" t="str">
            <v>dag_hs_18_2_20_4</v>
          </cell>
          <cell r="C1730" t="str">
            <v>Dag hs 18 2 20 4[c]</v>
          </cell>
        </row>
        <row r="1731">
          <cell r="A1731" t="str">
            <v>pa_hs_18_2_18_2_c</v>
          </cell>
          <cell r="B1731" t="str">
            <v>pa_hs_18_2_18_2</v>
          </cell>
          <cell r="C1731" t="str">
            <v>Pa hs 18 2 18 2[c]</v>
          </cell>
        </row>
        <row r="1732">
          <cell r="A1732" t="str">
            <v>lpchol_hs_18_2_c</v>
          </cell>
          <cell r="B1732" t="str">
            <v>lpchol_hs_18_2</v>
          </cell>
          <cell r="C1732" t="str">
            <v>Lysophosphatidylcholine (homo sapiens, C18:2)</v>
          </cell>
        </row>
        <row r="1733">
          <cell r="A1733" t="str">
            <v>pe_hs_18_2_18_2_c</v>
          </cell>
          <cell r="B1733" t="str">
            <v>pe_hs_18_2_18_2</v>
          </cell>
          <cell r="C1733" t="str">
            <v>Pe hs 18 2 18 2[c]</v>
          </cell>
        </row>
        <row r="1734">
          <cell r="A1734" t="str">
            <v>pail34p_hs_18_1_20_4_c</v>
          </cell>
          <cell r="B1734" t="str">
            <v>pail34p_hs_18_1_20_4</v>
          </cell>
          <cell r="C1734" t="str">
            <v>Pail34p hs 18 1 20 4[c]</v>
          </cell>
        </row>
        <row r="1735">
          <cell r="A1735" t="str">
            <v>cdpdag_hs_18_1_20_4_c</v>
          </cell>
          <cell r="B1735" t="str">
            <v>cdpdag_hs_18_1_20_4</v>
          </cell>
          <cell r="C1735" t="str">
            <v>Cdpdag hs 18 1 20 4[c]</v>
          </cell>
        </row>
        <row r="1736">
          <cell r="A1736" t="str">
            <v>pa_hs_18_1_20_4_c</v>
          </cell>
          <cell r="B1736" t="str">
            <v>pa_hs_18_1_20_4</v>
          </cell>
          <cell r="C1736" t="str">
            <v>Pa hs 18 1 20 4[c]</v>
          </cell>
        </row>
        <row r="1737">
          <cell r="A1737" t="str">
            <v>pe_hs_18_1_20_4_c</v>
          </cell>
          <cell r="B1737" t="str">
            <v>pe_hs_18_1_20_4</v>
          </cell>
          <cell r="C1737" t="str">
            <v>Pe hs 18 1 20 4[c]</v>
          </cell>
        </row>
        <row r="1738">
          <cell r="A1738" t="str">
            <v>pail34p_hs_18_1_18_2_c</v>
          </cell>
          <cell r="B1738" t="str">
            <v>pail34p_hs_18_1_18_2</v>
          </cell>
          <cell r="C1738" t="str">
            <v>Pail34p hs 18 1 18 2[c]</v>
          </cell>
        </row>
        <row r="1739">
          <cell r="A1739" t="str">
            <v>pail_hs_18_1_18_1_c</v>
          </cell>
          <cell r="B1739" t="str">
            <v>pail_hs_18_1_18_1</v>
          </cell>
          <cell r="C1739" t="str">
            <v>Phosphatidylinositol (homo sapiens, C18:1, C18:1)</v>
          </cell>
        </row>
        <row r="1740">
          <cell r="A1740" t="str">
            <v>pa_hs_18_1_18_1_c</v>
          </cell>
          <cell r="B1740" t="str">
            <v>pa_hs_18_1_18_1</v>
          </cell>
          <cell r="C1740" t="str">
            <v>Phosphatidic acid (homo sapiens, C18:1, C18:1)</v>
          </cell>
        </row>
        <row r="1741">
          <cell r="A1741" t="str">
            <v>ps_hs_18_1_18_1_c</v>
          </cell>
          <cell r="B1741" t="str">
            <v>ps_hs_18_1_18_1</v>
          </cell>
          <cell r="C1741" t="str">
            <v>Ps hs 18 1 18 1[c]</v>
          </cell>
        </row>
        <row r="1742">
          <cell r="A1742" t="str">
            <v>pail_hs_18_0_20_4_c</v>
          </cell>
          <cell r="B1742" t="str">
            <v>pail_hs_18_0_20_4</v>
          </cell>
          <cell r="C1742" t="str">
            <v>Phosphatidylinositol (homo sapiens, C18:0, C20:4) cytosol</v>
          </cell>
        </row>
        <row r="1743">
          <cell r="A1743" t="str">
            <v>dag_hs_18_0_18_2_c</v>
          </cell>
          <cell r="B1743" t="str">
            <v>dag_hs_18_0_18_2</v>
          </cell>
          <cell r="C1743" t="str">
            <v>Dag hs 18 0 18 2[c]</v>
          </cell>
        </row>
        <row r="1744">
          <cell r="A1744" t="str">
            <v>pail4p_hs_18_0_18_2_c</v>
          </cell>
          <cell r="B1744" t="str">
            <v>pail4p_hs_18_0_18_2</v>
          </cell>
          <cell r="C1744" t="str">
            <v>Pail4p hs 18 0 18 2[c]</v>
          </cell>
        </row>
        <row r="1745">
          <cell r="A1745" t="str">
            <v>pail_hs_18_0_18_2_c</v>
          </cell>
          <cell r="B1745" t="str">
            <v>pail_hs_18_0_18_2</v>
          </cell>
          <cell r="C1745" t="str">
            <v>Pail hs 18 0 18 2[c]</v>
          </cell>
        </row>
        <row r="1746">
          <cell r="A1746" t="str">
            <v>cdpdag_hs_18_0_18_2_c</v>
          </cell>
          <cell r="B1746" t="str">
            <v>cdpdag_hs_18_0_18_2</v>
          </cell>
          <cell r="C1746" t="str">
            <v>Cdpdag hs 18 0 18 2[c]</v>
          </cell>
        </row>
        <row r="1747">
          <cell r="A1747" t="str">
            <v>pail4p_hs_18_0_18_1_c</v>
          </cell>
          <cell r="B1747" t="str">
            <v>pail4p_hs_18_0_18_1</v>
          </cell>
          <cell r="C1747" t="str">
            <v>Pail4p hs 18 0 18 1[c]</v>
          </cell>
        </row>
        <row r="1748">
          <cell r="A1748" t="str">
            <v>dag_hs_18_0_18_0_c</v>
          </cell>
          <cell r="B1748" t="str">
            <v>dag_hs_18_0_18_0</v>
          </cell>
          <cell r="C1748" t="str">
            <v>Dag hs 18 0 18 0[c]</v>
          </cell>
        </row>
        <row r="1749">
          <cell r="A1749" t="str">
            <v>pail_hs_18_0_18_0_c</v>
          </cell>
          <cell r="B1749" t="str">
            <v>pail_hs_18_0_18_0</v>
          </cell>
          <cell r="C1749" t="str">
            <v>Pail hs 18 0 18 0[c]</v>
          </cell>
        </row>
        <row r="1750">
          <cell r="A1750" t="str">
            <v>cdpdag_hs_18_0_18_0_c</v>
          </cell>
          <cell r="B1750" t="str">
            <v>cdpdag_hs_18_0_18_0</v>
          </cell>
          <cell r="C1750" t="str">
            <v>Cdpdag hs 18 0 18 0[c]</v>
          </cell>
        </row>
        <row r="1751">
          <cell r="A1751" t="str">
            <v>pail345p_hs_16_0_20_4_c</v>
          </cell>
          <cell r="B1751" t="str">
            <v>pail345p_hs_16_0_20_4</v>
          </cell>
          <cell r="C1751" t="str">
            <v>Pail345p hs 16 0 20 4[c]</v>
          </cell>
        </row>
        <row r="1752">
          <cell r="A1752" t="str">
            <v>pail_hs_16_0_20_4_c</v>
          </cell>
          <cell r="B1752" t="str">
            <v>pail_hs_16_0_20_4</v>
          </cell>
          <cell r="C1752" t="str">
            <v>Pail hs 16 0 20 4[c]</v>
          </cell>
        </row>
        <row r="1753">
          <cell r="A1753" t="str">
            <v>pa_hs_16_0_20_4_c</v>
          </cell>
          <cell r="B1753" t="str">
            <v>pa_hs_16_0_20_4</v>
          </cell>
          <cell r="C1753" t="str">
            <v>Pa hs 16 0 20 4[c]</v>
          </cell>
        </row>
        <row r="1754">
          <cell r="A1754" t="str">
            <v>alpha_hs_16_0_c</v>
          </cell>
          <cell r="B1754" t="str">
            <v>alpha_hs_16_0</v>
          </cell>
          <cell r="C1754" t="str">
            <v>Alpha hs 16 0[c]</v>
          </cell>
        </row>
        <row r="1755">
          <cell r="A1755" t="str">
            <v>pail345p_hs_16_0_18_2_c</v>
          </cell>
          <cell r="B1755" t="str">
            <v>pail345p_hs_16_0_18_2</v>
          </cell>
          <cell r="C1755" t="str">
            <v>Pail345p hs 16 0 18 2[c]</v>
          </cell>
        </row>
        <row r="1756">
          <cell r="A1756" t="str">
            <v>pa_hs_16_0_18_2_c</v>
          </cell>
          <cell r="B1756" t="str">
            <v>pa_hs_16_0_18_2</v>
          </cell>
          <cell r="C1756" t="str">
            <v>Phosphatidic acid (homo sapiens, C16:0, C18:2)</v>
          </cell>
        </row>
        <row r="1757">
          <cell r="A1757" t="str">
            <v>pchol_hs_16_0_18_2_c</v>
          </cell>
          <cell r="B1757" t="str">
            <v>pchol_hs_16_0_18_2</v>
          </cell>
          <cell r="C1757" t="str">
            <v>Phosphatidylcholine (homo sapiens, C16:0, C18:2)</v>
          </cell>
        </row>
        <row r="1758">
          <cell r="A1758" t="str">
            <v>ps_hs_16_0_18_2_c</v>
          </cell>
          <cell r="B1758" t="str">
            <v>ps_hs_16_0_18_2</v>
          </cell>
          <cell r="C1758" t="str">
            <v>Ps hs 16 0 18 2[c]</v>
          </cell>
        </row>
        <row r="1759">
          <cell r="A1759" t="str">
            <v>dag_hs_16_0_18_1_c</v>
          </cell>
          <cell r="B1759" t="str">
            <v>dag_hs_16_0_18_1</v>
          </cell>
          <cell r="C1759" t="str">
            <v>Diacylglycerol (homo sapiens, C16:0, C18:1) cytosol</v>
          </cell>
        </row>
        <row r="1760">
          <cell r="A1760" t="str">
            <v>pail34p_hs_16_0_18_1_c</v>
          </cell>
          <cell r="B1760" t="str">
            <v>pail34p_hs_16_0_18_1</v>
          </cell>
          <cell r="C1760" t="str">
            <v>Pail34p hs 16 0 18 1[c]</v>
          </cell>
        </row>
        <row r="1761">
          <cell r="A1761" t="str">
            <v>pail4p_hs_16_0_18_0_c</v>
          </cell>
          <cell r="B1761" t="str">
            <v>pail4p_hs_16_0_18_0</v>
          </cell>
          <cell r="C1761" t="str">
            <v>Pail4p hs 16 0 18 0[c]</v>
          </cell>
        </row>
        <row r="1762">
          <cell r="A1762" t="str">
            <v>pe_hs_20_4_20_4_c</v>
          </cell>
          <cell r="B1762" t="str">
            <v>pe_hs_20_4_20_4</v>
          </cell>
          <cell r="C1762" t="str">
            <v>Pe hs 20 4 20 4[c]</v>
          </cell>
        </row>
        <row r="1763">
          <cell r="A1763" t="str">
            <v>pail345p_hs_18_2_20_4_c</v>
          </cell>
          <cell r="B1763" t="str">
            <v>pail345p_hs_18_2_20_4</v>
          </cell>
          <cell r="C1763" t="str">
            <v>Pail345p hs 18 2 20 4[c]</v>
          </cell>
        </row>
        <row r="1764">
          <cell r="A1764" t="str">
            <v>pail4p_hs_18_2_20_4_c</v>
          </cell>
          <cell r="B1764" t="str">
            <v>pail4p_hs_18_2_20_4</v>
          </cell>
          <cell r="C1764" t="str">
            <v>Pail4p hs 18 2 20 4[c]</v>
          </cell>
        </row>
        <row r="1765">
          <cell r="A1765" t="str">
            <v>pail_hs_18_2_20_4_c</v>
          </cell>
          <cell r="B1765" t="str">
            <v>pail_hs_18_2_20_4</v>
          </cell>
          <cell r="C1765" t="str">
            <v>Pail hs 18 2 20 4[c]</v>
          </cell>
        </row>
        <row r="1766">
          <cell r="A1766" t="str">
            <v>pe_hs_18_2_20_4_c</v>
          </cell>
          <cell r="B1766" t="str">
            <v>pe_hs_18_2_20_4</v>
          </cell>
          <cell r="C1766" t="str">
            <v>Pe hs 18 2 20 4[c]</v>
          </cell>
        </row>
        <row r="1767">
          <cell r="A1767" t="str">
            <v>prostgg2_c</v>
          </cell>
          <cell r="B1767" t="str">
            <v>prostgg2</v>
          </cell>
          <cell r="C1767" t="str">
            <v>Prostaglandin G2 cytosol</v>
          </cell>
        </row>
        <row r="1768">
          <cell r="A1768" t="str">
            <v>cdpdag_hs_16_0_16_0_c</v>
          </cell>
          <cell r="B1768" t="str">
            <v>cdpdag_hs_16_0_16_0</v>
          </cell>
          <cell r="C1768" t="str">
            <v>CDP diacylglycerol (homo sapiens, C16:0, C16:0)</v>
          </cell>
        </row>
        <row r="1769">
          <cell r="A1769" t="str">
            <v>12harachd_c</v>
          </cell>
          <cell r="B1769" t="str">
            <v>12harachd</v>
          </cell>
          <cell r="C1769" t="str">
            <v>12 hydroxy arachidonic acid</v>
          </cell>
        </row>
        <row r="1770">
          <cell r="A1770" t="str">
            <v>alpa_hs_16_0_c</v>
          </cell>
          <cell r="B1770" t="str">
            <v>alpa_hs_16_0</v>
          </cell>
          <cell r="C1770" t="str">
            <v>Lysophosphatidic acid (homo sapiens, C16:0)</v>
          </cell>
        </row>
        <row r="1771">
          <cell r="A1771" t="str">
            <v>alpa_hs_18_1_c</v>
          </cell>
          <cell r="B1771" t="str">
            <v>alpa_hs_18_1</v>
          </cell>
          <cell r="C1771" t="str">
            <v>Lysophosphatidic acid (homo sapiens, C18:1)</v>
          </cell>
        </row>
        <row r="1772">
          <cell r="A1772" t="str">
            <v>pail45p_hs_18_2_18_1_c</v>
          </cell>
          <cell r="B1772" t="str">
            <v>pail45p_hs_18_2_18_1</v>
          </cell>
          <cell r="C1772" t="str">
            <v>Phosphatidylinositol 4,5-bisphosphate (homo sapiens, C18:2, C18:1)</v>
          </cell>
        </row>
        <row r="1773">
          <cell r="A1773" t="str">
            <v>pail4p_hs_18_2_16_0_c</v>
          </cell>
          <cell r="B1773" t="str">
            <v>pail4p_hs_18_2_16_0</v>
          </cell>
          <cell r="C1773" t="str">
            <v>1-Phosphatidyl-1D-myo-inositol 4-phosphate (homo sapiens, C18:2, C16:0)</v>
          </cell>
        </row>
        <row r="1774">
          <cell r="A1774" t="str">
            <v>pail4p_hs_18_2_18_1_c</v>
          </cell>
          <cell r="B1774" t="str">
            <v>pail4p_hs_18_2_18_1</v>
          </cell>
          <cell r="C1774" t="str">
            <v>1-Phosphatidyl-1D-myo-inositol 4-phosphate (homo sapiens, C18:2, C18:1)</v>
          </cell>
        </row>
        <row r="1775">
          <cell r="A1775" t="str">
            <v>pail_hs_18_2_18_1_c</v>
          </cell>
          <cell r="B1775" t="str">
            <v>pail_hs_18_2_18_1</v>
          </cell>
          <cell r="C1775" t="str">
            <v>Phosphatidylinositol (homo sapiens, C18:2, C18:1)</v>
          </cell>
        </row>
        <row r="1776">
          <cell r="A1776" t="str">
            <v>pchol_hs_18_2_18_1_c</v>
          </cell>
          <cell r="B1776" t="str">
            <v>pchol_hs_18_2_18_1</v>
          </cell>
          <cell r="C1776" t="str">
            <v>Phosphatidylcholine (homo sapiens, C18:2, C18:1)</v>
          </cell>
        </row>
        <row r="1777">
          <cell r="A1777" t="str">
            <v>pe_hs_18_2_18_1_c</v>
          </cell>
          <cell r="B1777" t="str">
            <v>pe_hs_18_2_18_1</v>
          </cell>
          <cell r="C1777" t="str">
            <v>Phosphatidylethanolamine (homo sapiens, C18:2, C18:1)</v>
          </cell>
        </row>
        <row r="1778">
          <cell r="A1778" t="str">
            <v>12HPET_n</v>
          </cell>
          <cell r="B1778" t="str">
            <v>12HPET</v>
          </cell>
          <cell r="C1778" t="str">
            <v>12-Hydroperoxyeicosa-5,8,10,14-tetraenoate</v>
          </cell>
        </row>
        <row r="1779">
          <cell r="A1779" t="str">
            <v>15HPET_r</v>
          </cell>
          <cell r="B1779" t="str">
            <v>15HPET</v>
          </cell>
          <cell r="C1779" t="str">
            <v>15-Hydroperoxyeicosatetraenoic acid</v>
          </cell>
        </row>
        <row r="1780">
          <cell r="A1780" t="str">
            <v>17ahprgstrn_m</v>
          </cell>
          <cell r="B1780" t="str">
            <v>17ahprgstrn</v>
          </cell>
          <cell r="C1780" t="str">
            <v>17alpha-Hydroxyprogesterone</v>
          </cell>
        </row>
        <row r="1781">
          <cell r="A1781" t="str">
            <v>1a25dhvitd3_c</v>
          </cell>
          <cell r="B1781" t="str">
            <v>1a25dhvitd3</v>
          </cell>
          <cell r="C1781" t="str">
            <v>1-alpha,25-Dihydroxyvitamin D3</v>
          </cell>
        </row>
        <row r="1782">
          <cell r="A1782" t="str">
            <v>1glyc_cho_e</v>
          </cell>
          <cell r="B1782" t="str">
            <v>1glyc_cho</v>
          </cell>
          <cell r="C1782" t="str">
            <v>1 acyl phosphoglycerol</v>
          </cell>
        </row>
        <row r="1783">
          <cell r="A1783" t="str">
            <v>34dhoxmand_m</v>
          </cell>
          <cell r="B1783" t="str">
            <v>34dhoxmand</v>
          </cell>
          <cell r="C1783" t="str">
            <v>3,4-Dihydroxymandelate</v>
          </cell>
        </row>
        <row r="1784">
          <cell r="A1784" t="str">
            <v>3ddcrn_c</v>
          </cell>
          <cell r="B1784" t="str">
            <v>3ddcrn</v>
          </cell>
          <cell r="C1784" t="str">
            <v>3-hydroxydodecanoylcarnitine</v>
          </cell>
        </row>
        <row r="1785">
          <cell r="A1785" t="str">
            <v>3deccrn_c</v>
          </cell>
          <cell r="B1785" t="str">
            <v>3deccrn</v>
          </cell>
          <cell r="C1785" t="str">
            <v>3-hydroxydecanoylcarnitine</v>
          </cell>
        </row>
        <row r="1786">
          <cell r="A1786" t="str">
            <v>3hexdcrn_e</v>
          </cell>
          <cell r="B1786" t="str">
            <v>3hexdcrn</v>
          </cell>
          <cell r="C1786" t="str">
            <v>3-hydroxyhexadecanoylcarnitine</v>
          </cell>
        </row>
        <row r="1787">
          <cell r="A1787" t="str">
            <v>42A3HP24DB_m</v>
          </cell>
          <cell r="B1787" t="str">
            <v>42A3HP24DB</v>
          </cell>
          <cell r="C1787" t="str">
            <v>4-(2-Amino-3-hydroxyphenyl)-2,4-dioxobutanoate</v>
          </cell>
        </row>
        <row r="1788">
          <cell r="A1788" t="str">
            <v>4aphdob_m</v>
          </cell>
          <cell r="B1788" t="str">
            <v>4aphdob</v>
          </cell>
          <cell r="C1788" t="str">
            <v>4-(2-Aminophenyl)-2,4-dioxobutanoate</v>
          </cell>
        </row>
        <row r="1789">
          <cell r="A1789" t="str">
            <v>4mop_e</v>
          </cell>
          <cell r="B1789" t="str">
            <v>4mop</v>
          </cell>
          <cell r="C1789" t="str">
            <v>4-Methyl-2-oxopentanoate</v>
          </cell>
        </row>
        <row r="1790">
          <cell r="A1790" t="str">
            <v>C01241_c</v>
          </cell>
          <cell r="B1790" t="str">
            <v>C01241</v>
          </cell>
          <cell r="C1790" t="str">
            <v>Phosphatidyl-N-methylethanolamine</v>
          </cell>
        </row>
        <row r="1791">
          <cell r="A1791" t="str">
            <v>C01241_r</v>
          </cell>
          <cell r="B1791" t="str">
            <v>C01241</v>
          </cell>
          <cell r="C1791" t="str">
            <v>Phosphatidyl-N-methylethanolamine</v>
          </cell>
        </row>
        <row r="1792">
          <cell r="A1792" t="str">
            <v>C01747_c</v>
          </cell>
          <cell r="B1792" t="str">
            <v>C01747</v>
          </cell>
          <cell r="C1792" t="str">
            <v>Psychosine(1+); Galactosylsphingosine</v>
          </cell>
        </row>
        <row r="1793">
          <cell r="A1793" t="str">
            <v>C01836_c</v>
          </cell>
          <cell r="B1793" t="str">
            <v>C01836</v>
          </cell>
          <cell r="C1793" t="str">
            <v>Neurotensin</v>
          </cell>
        </row>
        <row r="1794">
          <cell r="A1794" t="str">
            <v>C02470_c</v>
          </cell>
          <cell r="B1794" t="str">
            <v>C02470</v>
          </cell>
          <cell r="C1794" t="str">
            <v>Xanthurenic acid</v>
          </cell>
        </row>
        <row r="1795">
          <cell r="A1795" t="str">
            <v>C02712_m</v>
          </cell>
          <cell r="B1795" t="str">
            <v>C02712</v>
          </cell>
          <cell r="C1795" t="str">
            <v>N-Acetylmethionine</v>
          </cell>
        </row>
        <row r="1796">
          <cell r="A1796" t="str">
            <v>C03413_c</v>
          </cell>
          <cell r="B1796" t="str">
            <v>C03413</v>
          </cell>
          <cell r="C1796" t="str">
            <v>N(1),N(12)-diacetylsperminium(2+)</v>
          </cell>
        </row>
        <row r="1797">
          <cell r="A1797" t="str">
            <v>C03413_x</v>
          </cell>
          <cell r="B1797" t="str">
            <v>C03413</v>
          </cell>
          <cell r="C1797" t="str">
            <v>N(1),N(12)-diacetylsperminium(2+)</v>
          </cell>
        </row>
        <row r="1798">
          <cell r="A1798" t="str">
            <v>C04295_m</v>
          </cell>
          <cell r="B1798" t="str">
            <v>C04295</v>
          </cell>
          <cell r="C1798" t="str">
            <v>Androst-5-ene-3beta,17beta-diol</v>
          </cell>
        </row>
        <row r="1799">
          <cell r="A1799" t="str">
            <v>C04849_n</v>
          </cell>
          <cell r="B1799" t="str">
            <v>C04849</v>
          </cell>
          <cell r="C1799" t="str">
            <v>(5Z,9E,14Z)-(8xi,11R,12S)-11,12-epoxy-8-hydroxyicosa-5,9,14-trienoate</v>
          </cell>
        </row>
        <row r="1800">
          <cell r="A1800" t="str">
            <v>C05284_c</v>
          </cell>
          <cell r="B1800" t="str">
            <v>C05284</v>
          </cell>
          <cell r="C1800" t="str">
            <v>11beta-Hydroxyandrost-4-ene-3,17-dione</v>
          </cell>
        </row>
        <row r="1801">
          <cell r="A1801" t="str">
            <v>C05284_r</v>
          </cell>
          <cell r="B1801" t="str">
            <v>C05284</v>
          </cell>
          <cell r="C1801" t="str">
            <v>11beta-Hydroxyandrost-4-ene-3,17-dione</v>
          </cell>
        </row>
        <row r="1802">
          <cell r="A1802" t="str">
            <v>C05298_l</v>
          </cell>
          <cell r="B1802" t="str">
            <v>C05298</v>
          </cell>
          <cell r="C1802" t="str">
            <v>2-Hydroxyestrone</v>
          </cell>
        </row>
        <row r="1803">
          <cell r="A1803" t="str">
            <v>C05300_c</v>
          </cell>
          <cell r="B1803" t="str">
            <v>C05300</v>
          </cell>
          <cell r="C1803" t="str">
            <v>16alpha-Hydroxyestrone</v>
          </cell>
        </row>
        <row r="1804">
          <cell r="A1804" t="str">
            <v>C05300_r</v>
          </cell>
          <cell r="B1804" t="str">
            <v>C05300</v>
          </cell>
          <cell r="C1804" t="str">
            <v>16alpha-Hydroxyestrone</v>
          </cell>
        </row>
        <row r="1805">
          <cell r="A1805" t="str">
            <v>C05957_m</v>
          </cell>
          <cell r="B1805" t="str">
            <v>C05957</v>
          </cell>
          <cell r="C1805" t="str">
            <v>Prostaglandin J2</v>
          </cell>
        </row>
        <row r="1806">
          <cell r="A1806" t="str">
            <v>C06199_c</v>
          </cell>
          <cell r="B1806" t="str">
            <v>C06199</v>
          </cell>
          <cell r="C1806" t="str">
            <v>Hordenine</v>
          </cell>
        </row>
        <row r="1807">
          <cell r="A1807" t="str">
            <v>C09642_c</v>
          </cell>
          <cell r="B1807" t="str">
            <v>C09642</v>
          </cell>
          <cell r="C1807" t="str">
            <v>(-)-Salsolinol</v>
          </cell>
        </row>
        <row r="1808">
          <cell r="A1808" t="str">
            <v>C10164_c</v>
          </cell>
          <cell r="B1808" t="str">
            <v>C10164</v>
          </cell>
          <cell r="C1808" t="str">
            <v>Picolinic acid; pyridine-2-carboxylic acid</v>
          </cell>
        </row>
        <row r="1809">
          <cell r="A1809" t="str">
            <v>C11304_m</v>
          </cell>
          <cell r="B1809" t="str">
            <v>C11304</v>
          </cell>
          <cell r="C1809" t="str">
            <v>S-(PGA1)-glutathione</v>
          </cell>
        </row>
        <row r="1810">
          <cell r="A1810" t="str">
            <v>C13856_c</v>
          </cell>
          <cell r="B1810" t="str">
            <v>C13856</v>
          </cell>
          <cell r="C1810" t="str">
            <v>2-Arachidonoylglycerol</v>
          </cell>
        </row>
        <row r="1811">
          <cell r="A1811" t="str">
            <v>C13856_r</v>
          </cell>
          <cell r="B1811" t="str">
            <v>C13856</v>
          </cell>
          <cell r="C1811" t="str">
            <v>2-Arachidonoylglycerol</v>
          </cell>
        </row>
        <row r="1812">
          <cell r="A1812" t="str">
            <v>C14849_c</v>
          </cell>
          <cell r="B1812" t="str">
            <v>C14849</v>
          </cell>
          <cell r="C1812" t="str">
            <v>Benzo[a]pyrene-9,10-oxide</v>
          </cell>
        </row>
        <row r="1813">
          <cell r="A1813" t="str">
            <v>C14849_r</v>
          </cell>
          <cell r="B1813" t="str">
            <v>C14849</v>
          </cell>
          <cell r="C1813" t="str">
            <v>Benzo[a]pyrene-9,10-oxide</v>
          </cell>
        </row>
        <row r="1814">
          <cell r="A1814" t="str">
            <v>C14849_x</v>
          </cell>
          <cell r="B1814" t="str">
            <v>C14849</v>
          </cell>
          <cell r="C1814" t="str">
            <v>Benzo[a]pyrene-9,10-oxide</v>
          </cell>
        </row>
        <row r="1815">
          <cell r="A1815" t="str">
            <v>C14851_c</v>
          </cell>
          <cell r="B1815" t="str">
            <v>C14851</v>
          </cell>
          <cell r="C1815" t="str">
            <v>Benzo[a]pyrene-4,5-oxide</v>
          </cell>
        </row>
        <row r="1816">
          <cell r="A1816" t="str">
            <v>C14851_r</v>
          </cell>
          <cell r="B1816" t="str">
            <v>C14851</v>
          </cell>
          <cell r="C1816" t="str">
            <v>Benzo[a]pyrene-4,5-oxide</v>
          </cell>
        </row>
        <row r="1817">
          <cell r="A1817" t="str">
            <v>C14851_x</v>
          </cell>
          <cell r="B1817" t="str">
            <v>C14851</v>
          </cell>
          <cell r="C1817" t="str">
            <v>Benzo[a]pyrene-4,5-oxide</v>
          </cell>
        </row>
        <row r="1818">
          <cell r="A1818" t="str">
            <v>CE0347_n</v>
          </cell>
          <cell r="B1818" t="str">
            <v>CE0347</v>
          </cell>
          <cell r="C1818" t="str">
            <v>12-hydroxyeicosatetraenoate</v>
          </cell>
        </row>
        <row r="1819">
          <cell r="A1819" t="str">
            <v>CE0469_c</v>
          </cell>
          <cell r="B1819" t="str">
            <v>CE0469</v>
          </cell>
          <cell r="C1819" t="str">
            <v>Gama-L-glutamyl-L-alanine</v>
          </cell>
        </row>
        <row r="1820">
          <cell r="A1820" t="str">
            <v>CE0693_c</v>
          </cell>
          <cell r="B1820" t="str">
            <v>CE0693</v>
          </cell>
          <cell r="C1820" t="str">
            <v>3-oxolaur-6-cis-enoyl-CoA</v>
          </cell>
        </row>
        <row r="1821">
          <cell r="A1821" t="str">
            <v>CE0782_c</v>
          </cell>
          <cell r="B1821" t="str">
            <v>CE0782</v>
          </cell>
          <cell r="C1821" t="str">
            <v>3-oxomyrist-7-enoyl-CoA</v>
          </cell>
        </row>
        <row r="1822">
          <cell r="A1822" t="str">
            <v>CE1243_c</v>
          </cell>
          <cell r="B1822" t="str">
            <v>CE1243</v>
          </cell>
          <cell r="C1822" t="str">
            <v>12S-HHT</v>
          </cell>
        </row>
        <row r="1823">
          <cell r="A1823" t="str">
            <v>CE1277_c</v>
          </cell>
          <cell r="B1823" t="str">
            <v>CE1277</v>
          </cell>
          <cell r="C1823" t="str">
            <v>5beta-cholestane-3alpha,7alpha,12alpha,23,25-pentol</v>
          </cell>
        </row>
        <row r="1824">
          <cell r="A1824" t="str">
            <v>CE1277_r</v>
          </cell>
          <cell r="B1824" t="str">
            <v>CE1277</v>
          </cell>
          <cell r="C1824" t="str">
            <v>5beta-cholestane-3alpha,7alpha,12alpha,23,25-pentol</v>
          </cell>
        </row>
        <row r="1825">
          <cell r="A1825" t="str">
            <v>CE1292_c</v>
          </cell>
          <cell r="B1825" t="str">
            <v>CE1292</v>
          </cell>
          <cell r="C1825" t="str">
            <v>3beta-hydroxy-5-cholestene-27-oate</v>
          </cell>
        </row>
        <row r="1826">
          <cell r="A1826" t="str">
            <v>CE1293_c</v>
          </cell>
          <cell r="B1826" t="str">
            <v>CE1293</v>
          </cell>
          <cell r="C1826" t="str">
            <v>27alpha-hydroxy-7-dehydrocholesterol</v>
          </cell>
        </row>
        <row r="1827">
          <cell r="A1827" t="str">
            <v>CE1294_m</v>
          </cell>
          <cell r="B1827" t="str">
            <v>CE1294</v>
          </cell>
          <cell r="C1827" t="str">
            <v>27alpha-hydroxy-8-dehydrocholesterol</v>
          </cell>
        </row>
        <row r="1828">
          <cell r="A1828" t="str">
            <v>CE1298_c</v>
          </cell>
          <cell r="B1828" t="str">
            <v>CE1298</v>
          </cell>
          <cell r="C1828" t="str">
            <v>3beta-hydroxy-5-cholestenal</v>
          </cell>
        </row>
        <row r="1829">
          <cell r="A1829" t="str">
            <v>CE1554_m</v>
          </cell>
          <cell r="B1829" t="str">
            <v>CE1554</v>
          </cell>
          <cell r="C1829" t="str">
            <v>N-acetyl-L-alanine</v>
          </cell>
        </row>
        <row r="1830">
          <cell r="A1830" t="str">
            <v>CE1556_m</v>
          </cell>
          <cell r="B1830" t="str">
            <v>CE1556</v>
          </cell>
          <cell r="C1830" t="str">
            <v>N-acetyl-L-asparagine</v>
          </cell>
        </row>
        <row r="1831">
          <cell r="A1831" t="str">
            <v>CE1661_c</v>
          </cell>
          <cell r="B1831" t="str">
            <v>CE1661</v>
          </cell>
          <cell r="C1831" t="str">
            <v>Gama-L-glutamyl-L-alpha-aminobutyrate</v>
          </cell>
        </row>
        <row r="1832">
          <cell r="A1832" t="str">
            <v>CE1665_c</v>
          </cell>
          <cell r="B1832" t="str">
            <v>CE1665</v>
          </cell>
          <cell r="C1832" t="str">
            <v>Gama-glutamylglutathione</v>
          </cell>
        </row>
        <row r="1833">
          <cell r="A1833" t="str">
            <v>CE1787_c</v>
          </cell>
          <cell r="B1833" t="str">
            <v>CE1787</v>
          </cell>
          <cell r="C1833" t="str">
            <v>1-deoxy-1-(N6-lysino)-D-fructose</v>
          </cell>
        </row>
        <row r="1834">
          <cell r="A1834" t="str">
            <v>CE1935_e</v>
          </cell>
          <cell r="B1834" t="str">
            <v>CE1935</v>
          </cell>
          <cell r="C1834" t="str">
            <v>Spermine monoaldehyde</v>
          </cell>
        </row>
        <row r="1835">
          <cell r="A1835" t="str">
            <v>CE1936_c</v>
          </cell>
          <cell r="B1835" t="str">
            <v>CE1936</v>
          </cell>
          <cell r="C1835" t="str">
            <v>Spermine dialdehyde</v>
          </cell>
        </row>
        <row r="1836">
          <cell r="A1836" t="str">
            <v>CE1936_x</v>
          </cell>
          <cell r="B1836" t="str">
            <v>CE1936</v>
          </cell>
          <cell r="C1836" t="str">
            <v>Spermine dialdehyde</v>
          </cell>
        </row>
        <row r="1837">
          <cell r="A1837" t="str">
            <v>CE1939_c</v>
          </cell>
          <cell r="B1837" t="str">
            <v>CE1939</v>
          </cell>
          <cell r="C1837" t="str">
            <v>Spermidine monoaldehyde 1</v>
          </cell>
        </row>
        <row r="1838">
          <cell r="A1838" t="str">
            <v>CE1939_x</v>
          </cell>
          <cell r="B1838" t="str">
            <v>CE1939</v>
          </cell>
          <cell r="C1838" t="str">
            <v>Spermidine monoaldehyde 1</v>
          </cell>
        </row>
        <row r="1839">
          <cell r="A1839" t="str">
            <v>CE1957_c</v>
          </cell>
          <cell r="B1839" t="str">
            <v>CE1957</v>
          </cell>
          <cell r="C1839" t="str">
            <v>4-hydroxy-3-nitrophenylacetate</v>
          </cell>
        </row>
        <row r="1840">
          <cell r="A1840" t="str">
            <v>CE2011_e</v>
          </cell>
          <cell r="B1840" t="str">
            <v>CE2011</v>
          </cell>
          <cell r="C1840" t="str">
            <v>Hypothiocyanite</v>
          </cell>
        </row>
        <row r="1841">
          <cell r="A1841" t="str">
            <v>CE2053_c</v>
          </cell>
          <cell r="B1841" t="str">
            <v>CE2053</v>
          </cell>
          <cell r="C1841" t="str">
            <v>20-oxo-leukotriene B4</v>
          </cell>
        </row>
        <row r="1842">
          <cell r="A1842" t="str">
            <v>CE2053_r</v>
          </cell>
          <cell r="B1842" t="str">
            <v>CE2053</v>
          </cell>
          <cell r="C1842" t="str">
            <v>20-oxo-leukotriene B4</v>
          </cell>
        </row>
        <row r="1843">
          <cell r="A1843" t="str">
            <v>CE2084_c</v>
          </cell>
          <cell r="B1843" t="str">
            <v>CE2084</v>
          </cell>
          <cell r="C1843" t="str">
            <v>5-oxo-(6E,8Z,11Z,14Z)-eicosatetraenoic acid</v>
          </cell>
        </row>
        <row r="1844">
          <cell r="A1844" t="str">
            <v>CE2084_x</v>
          </cell>
          <cell r="B1844" t="str">
            <v>CE2084</v>
          </cell>
          <cell r="C1844" t="str">
            <v>5-oxo-(6E,8Z,11Z,14Z)-eicosatetraenoic acid</v>
          </cell>
        </row>
        <row r="1845">
          <cell r="A1845" t="str">
            <v>CE2152_c</v>
          </cell>
          <cell r="B1845" t="str">
            <v>CE2152</v>
          </cell>
          <cell r="C1845" t="str">
            <v>1,2,3,4-tetrahydro-beta-carboline</v>
          </cell>
        </row>
        <row r="1846">
          <cell r="A1846" t="str">
            <v>CE2180_l</v>
          </cell>
          <cell r="B1846" t="str">
            <v>CE2180</v>
          </cell>
          <cell r="C1846" t="str">
            <v>4-hydroxyestrone</v>
          </cell>
        </row>
        <row r="1847">
          <cell r="A1847" t="str">
            <v>CE2184_c</v>
          </cell>
          <cell r="B1847" t="str">
            <v>CE2184</v>
          </cell>
          <cell r="C1847" t="str">
            <v>2-hydroxy-3-methoxyestrone</v>
          </cell>
        </row>
        <row r="1848">
          <cell r="A1848" t="str">
            <v>CE2196_c</v>
          </cell>
          <cell r="B1848" t="str">
            <v>CE2196</v>
          </cell>
          <cell r="C1848" t="str">
            <v>(R)-1,2-dimethyl-5,6-dihydroxy-tetrahydroisoquinoline</v>
          </cell>
        </row>
        <row r="1849">
          <cell r="A1849" t="str">
            <v>CE2201_c</v>
          </cell>
          <cell r="B1849" t="str">
            <v>CE2201</v>
          </cell>
          <cell r="C1849" t="str">
            <v>23S,25-dihydroxyvitamin D3</v>
          </cell>
        </row>
        <row r="1850">
          <cell r="A1850" t="str">
            <v>CE2202_m</v>
          </cell>
          <cell r="B1850" t="str">
            <v>CE2202</v>
          </cell>
          <cell r="C1850" t="str">
            <v>23S,25,26-trihydroxyvitamin D3</v>
          </cell>
        </row>
        <row r="1851">
          <cell r="A1851" t="str">
            <v>CE2204_m</v>
          </cell>
          <cell r="B1851" t="str">
            <v>CE2204</v>
          </cell>
          <cell r="C1851" t="str">
            <v>25-hydroxyvitamin D3-26,23-lactone</v>
          </cell>
        </row>
        <row r="1852">
          <cell r="A1852" t="str">
            <v>CE2206_m</v>
          </cell>
          <cell r="B1852" t="str">
            <v>CE2206</v>
          </cell>
          <cell r="C1852" t="str">
            <v>24-oxo-1alpha,25-dihydroxyvitamin D3</v>
          </cell>
        </row>
        <row r="1853">
          <cell r="A1853" t="str">
            <v>CE2207_m</v>
          </cell>
          <cell r="B1853" t="str">
            <v>CE2207</v>
          </cell>
          <cell r="C1853" t="str">
            <v>24-oxo-1alpha,23,25-trihydroxyvitamin D3</v>
          </cell>
        </row>
        <row r="1854">
          <cell r="A1854" t="str">
            <v>CE2243_c</v>
          </cell>
          <cell r="B1854" t="str">
            <v>CE2243</v>
          </cell>
          <cell r="C1854" t="str">
            <v>Trans-eicos-2-enoyl-CoA</v>
          </cell>
        </row>
        <row r="1855">
          <cell r="A1855" t="str">
            <v>CE2248_n</v>
          </cell>
          <cell r="B1855" t="str">
            <v>CE2248</v>
          </cell>
          <cell r="C1855" t="str">
            <v>3-hydroxyoctadecanoyl-CoA(4-)</v>
          </cell>
        </row>
        <row r="1856">
          <cell r="A1856" t="str">
            <v>CE2249_c</v>
          </cell>
          <cell r="B1856" t="str">
            <v>CE2249</v>
          </cell>
          <cell r="C1856" t="str">
            <v>3-hydroxytetracosanoyl-CoA(4-)</v>
          </cell>
        </row>
        <row r="1857">
          <cell r="A1857" t="str">
            <v>CE2251_c</v>
          </cell>
          <cell r="B1857" t="str">
            <v>CE2251</v>
          </cell>
          <cell r="C1857" t="str">
            <v>3-oxoicosanoyl-CoA(4-)</v>
          </cell>
        </row>
        <row r="1858">
          <cell r="A1858" t="str">
            <v>CE2306_r</v>
          </cell>
          <cell r="B1858" t="str">
            <v>CE2306</v>
          </cell>
          <cell r="C1858" t="str">
            <v>12-O-D-glucuronoside-13-hydroxyoctadec-9Z-enoate</v>
          </cell>
        </row>
        <row r="1859">
          <cell r="A1859" t="str">
            <v>CE2418_c</v>
          </cell>
          <cell r="B1859" t="str">
            <v>CE2418</v>
          </cell>
          <cell r="C1859" t="str">
            <v>(3S)-3-hydroxy-cis,cis-palmito-7,10-dienoyl-CoA</v>
          </cell>
        </row>
        <row r="1860">
          <cell r="A1860" t="str">
            <v>CE2565_r</v>
          </cell>
          <cell r="B1860" t="str">
            <v>CE2565</v>
          </cell>
          <cell r="C1860" t="str">
            <v>15(R)-Hydroxy-(5Z,8Z,11Z,13E)-eicosatetraenoate</v>
          </cell>
        </row>
        <row r="1861">
          <cell r="A1861" t="str">
            <v>CE2566_n</v>
          </cell>
          <cell r="B1861" t="str">
            <v>CE2566</v>
          </cell>
          <cell r="C1861" t="str">
            <v>5(S),6(S)-epoxy-15(R)-hydroxyeicosatetraenoate</v>
          </cell>
        </row>
        <row r="1862">
          <cell r="A1862" t="str">
            <v>CE2567_c</v>
          </cell>
          <cell r="B1862" t="str">
            <v>CE2567</v>
          </cell>
          <cell r="C1862" t="str">
            <v>5(S),6(S)-epoxy-15(S)-hydroxy-7E,9E,11Z,13E-eicosatetraenoic acid anion; 5(S),6(S)-epoxy-15(S)-HETE</v>
          </cell>
        </row>
        <row r="1863">
          <cell r="A1863" t="str">
            <v>CE2567_r</v>
          </cell>
          <cell r="B1863" t="str">
            <v>CE2567</v>
          </cell>
          <cell r="C1863" t="str">
            <v>5(S),6(S)-epoxy-15(S)-hydroxy-7E,9E,11Z,13E-eicosatetraenoic acid anion; 5(S),6(S)-epoxy-15(S)-HETE</v>
          </cell>
        </row>
        <row r="1864">
          <cell r="A1864" t="str">
            <v>CE2567_x</v>
          </cell>
          <cell r="B1864" t="str">
            <v>CE2567</v>
          </cell>
          <cell r="C1864" t="str">
            <v>5(S),6(S)-epoxy-15(S)-hydroxy-7E,9E,11Z,13E-eicosatetraenoic acid anion; 5(S),6(S)-epoxy-15(S)-HETE</v>
          </cell>
        </row>
        <row r="1865">
          <cell r="A1865" t="str">
            <v>CE2576_c</v>
          </cell>
          <cell r="B1865" t="str">
            <v>CE2576</v>
          </cell>
          <cell r="C1865" t="str">
            <v>4-hydroperoxy-2-nonenal</v>
          </cell>
        </row>
        <row r="1866">
          <cell r="A1866" t="str">
            <v>CE2592_c</v>
          </cell>
          <cell r="B1866" t="str">
            <v>CE2592</v>
          </cell>
          <cell r="C1866" t="str">
            <v>(S)-3-hydroxypalmitoleoyl-CoA</v>
          </cell>
        </row>
        <row r="1867">
          <cell r="A1867" t="str">
            <v>CE2616_r</v>
          </cell>
          <cell r="B1867" t="str">
            <v>CE2616</v>
          </cell>
          <cell r="C1867" t="str">
            <v>2-hydroxyamino-MeIQx-N2-(beta-1-glucosiduronyl)-2-hydroxyamino-3,8-dimethylimidazo[4,5-f]quinoxaline</v>
          </cell>
        </row>
        <row r="1868">
          <cell r="A1868" t="str">
            <v>CE2838_e</v>
          </cell>
          <cell r="B1868" t="str">
            <v>CE2838</v>
          </cell>
          <cell r="C1868" t="str">
            <v>Maltononaose</v>
          </cell>
        </row>
        <row r="1869">
          <cell r="A1869" t="str">
            <v>CE2839_c</v>
          </cell>
          <cell r="B1869" t="str">
            <v>CE2839</v>
          </cell>
          <cell r="C1869" t="str">
            <v>Maltodecaose</v>
          </cell>
        </row>
        <row r="1870">
          <cell r="A1870" t="str">
            <v>CE2863_c</v>
          </cell>
          <cell r="B1870" t="str">
            <v>CE2863</v>
          </cell>
          <cell r="C1870" t="str">
            <v>Neurotensin 11-13</v>
          </cell>
        </row>
        <row r="1871">
          <cell r="A1871" t="str">
            <v>CE2875_c</v>
          </cell>
          <cell r="B1871" t="str">
            <v>CE2875</v>
          </cell>
          <cell r="C1871" t="str">
            <v>3'-monoiodo-L-thyronine 4'-O-sulfate</v>
          </cell>
        </row>
        <row r="1872">
          <cell r="A1872" t="str">
            <v>CE2876_r</v>
          </cell>
          <cell r="B1872" t="str">
            <v>CE2876</v>
          </cell>
          <cell r="C1872" t="str">
            <v>3',5'-diiodo-L-thyronine-beta-D-glucuronoside</v>
          </cell>
        </row>
        <row r="1873">
          <cell r="A1873" t="str">
            <v>CE2883_r</v>
          </cell>
          <cell r="B1873" t="str">
            <v>CE2883</v>
          </cell>
          <cell r="C1873" t="str">
            <v>3,5,3'-triiodothyroacetate</v>
          </cell>
        </row>
        <row r="1874">
          <cell r="A1874" t="str">
            <v>CE2885_r</v>
          </cell>
          <cell r="B1874" t="str">
            <v>CE2885</v>
          </cell>
          <cell r="C1874" t="str">
            <v>3,5,3',5'-tetraiodothyroacetate-beta-D-glucuronoside</v>
          </cell>
        </row>
        <row r="1875">
          <cell r="A1875" t="str">
            <v>CE2886_r</v>
          </cell>
          <cell r="B1875" t="str">
            <v>CE2886</v>
          </cell>
          <cell r="C1875" t="str">
            <v>3,3',5'-triiodothyroacetate-beta-D-glucuronoside</v>
          </cell>
        </row>
        <row r="1876">
          <cell r="A1876" t="str">
            <v>CE2934_c</v>
          </cell>
          <cell r="B1876" t="str">
            <v>CE2934</v>
          </cell>
          <cell r="C1876" t="str">
            <v>O-methylhippurate</v>
          </cell>
        </row>
        <row r="1877">
          <cell r="A1877" t="str">
            <v>CE2949_c</v>
          </cell>
          <cell r="B1877" t="str">
            <v>CE2949</v>
          </cell>
          <cell r="C1877" t="str">
            <v>Oxoxanthurenate; 8-Hydroxy-4-oxo-3,4-dihydro-2-quinolinecarboxylate</v>
          </cell>
        </row>
        <row r="1878">
          <cell r="A1878" t="str">
            <v>CE2962_r</v>
          </cell>
          <cell r="B1878" t="str">
            <v>CE2962</v>
          </cell>
          <cell r="C1878" t="str">
            <v>Rac-4-hydroxy-4-O-(beta-D-glucuronide)-all-trans-retinyl acetate</v>
          </cell>
        </row>
        <row r="1879">
          <cell r="A1879" t="str">
            <v>CE3086_c</v>
          </cell>
          <cell r="B1879" t="str">
            <v>CE3086</v>
          </cell>
          <cell r="C1879" t="str">
            <v>4-(2-amino-3-hydroxyphenyl)-4-oxobutanoic acid O-glucoside</v>
          </cell>
        </row>
        <row r="1880">
          <cell r="A1880" t="str">
            <v>CE3092_c</v>
          </cell>
          <cell r="B1880" t="str">
            <v>CE3092</v>
          </cell>
          <cell r="C1880" t="str">
            <v>Glutathionyl-3-hydroxykynurenine glucoside</v>
          </cell>
        </row>
        <row r="1881">
          <cell r="A1881" t="str">
            <v>CE3140_c</v>
          </cell>
          <cell r="B1881" t="str">
            <v>CE3140</v>
          </cell>
          <cell r="C1881" t="str">
            <v>1-(1,2,3,4,5-pentahydroxypent-1-yl)-1,2,3,4-tetrahydro-beta-carboline-3-carboxylate</v>
          </cell>
        </row>
        <row r="1882">
          <cell r="A1882" t="str">
            <v>CE3554_c</v>
          </cell>
          <cell r="B1882" t="str">
            <v>CE3554</v>
          </cell>
          <cell r="C1882" t="str">
            <v>20-trihydroxy-leukotriene-B4</v>
          </cell>
        </row>
        <row r="1883">
          <cell r="A1883" t="str">
            <v>CE3554_r</v>
          </cell>
          <cell r="B1883" t="str">
            <v>CE3554</v>
          </cell>
          <cell r="C1883" t="str">
            <v>20-trihydroxy-leukotriene-B4</v>
          </cell>
        </row>
        <row r="1884">
          <cell r="A1884" t="str">
            <v>CE4633_c</v>
          </cell>
          <cell r="B1884" t="str">
            <v>CE4633</v>
          </cell>
          <cell r="C1884" t="str">
            <v>Hypochlorous acid</v>
          </cell>
        </row>
        <row r="1885">
          <cell r="A1885" t="str">
            <v>CE4723_e</v>
          </cell>
          <cell r="B1885" t="str">
            <v>CE4723</v>
          </cell>
          <cell r="C1885" t="str">
            <v>Neocasomorphin (1-5)</v>
          </cell>
        </row>
        <row r="1886">
          <cell r="A1886" t="str">
            <v>CE4793_c</v>
          </cell>
          <cell r="B1886" t="str">
            <v>CE4793</v>
          </cell>
          <cell r="C1886" t="str">
            <v>3-oxo-dihomo-gama-linolenoyl-CoA</v>
          </cell>
        </row>
        <row r="1887">
          <cell r="A1887" t="str">
            <v>CE4810_c</v>
          </cell>
          <cell r="B1887" t="str">
            <v>CE4810</v>
          </cell>
          <cell r="C1887" t="str">
            <v>3(S)-hydroxy-all-cis-8,11,14,17-eicosatetraenoyl-CoA</v>
          </cell>
        </row>
        <row r="1888">
          <cell r="A1888" t="str">
            <v>CE4812_c</v>
          </cell>
          <cell r="B1888" t="str">
            <v>CE4812</v>
          </cell>
          <cell r="C1888" t="str">
            <v>Eicosa-2E,8Z,11Z,14Z,17Z-pentaenoyl-CoA</v>
          </cell>
        </row>
        <row r="1889">
          <cell r="A1889" t="str">
            <v>CE4819_c</v>
          </cell>
          <cell r="B1889" t="str">
            <v>CE4819</v>
          </cell>
          <cell r="C1889" t="str">
            <v>3-oxo-docosa-7,10,13,16,19-all-cis-pentaenoyl-CoA</v>
          </cell>
        </row>
        <row r="1890">
          <cell r="A1890" t="str">
            <v>CE4840_c</v>
          </cell>
          <cell r="B1890" t="str">
            <v>CE4840</v>
          </cell>
          <cell r="C1890" t="str">
            <v>(3S)-hydroxy-eicosa-cis,cis-11,14-dienoyl-CoA</v>
          </cell>
        </row>
        <row r="1891">
          <cell r="A1891" t="str">
            <v>CE4850_c</v>
          </cell>
          <cell r="B1891" t="str">
            <v>CE4850</v>
          </cell>
          <cell r="C1891" t="str">
            <v>3-oxo-docosa-10,13,16,19-all-cis-tetraenoyl-CoA</v>
          </cell>
        </row>
        <row r="1892">
          <cell r="A1892" t="str">
            <v>CE4854_c</v>
          </cell>
          <cell r="B1892" t="str">
            <v>CE4854</v>
          </cell>
          <cell r="C1892" t="str">
            <v>All-cis-10,13,16,19-docosatetraenoyl-CoA</v>
          </cell>
        </row>
        <row r="1893">
          <cell r="A1893" t="str">
            <v>CE4872_c</v>
          </cell>
          <cell r="B1893" t="str">
            <v>CE4872</v>
          </cell>
          <cell r="C1893" t="str">
            <v>3alpha,7alpha,12alpha-trihydroxy-5beta-cholestan-27-al</v>
          </cell>
        </row>
        <row r="1894">
          <cell r="A1894" t="str">
            <v>CE4881_c</v>
          </cell>
          <cell r="B1894" t="str">
            <v>CE4881</v>
          </cell>
          <cell r="C1894" t="str">
            <v>Nitryl chloride</v>
          </cell>
        </row>
        <row r="1895">
          <cell r="A1895" t="str">
            <v>CE4969_m</v>
          </cell>
          <cell r="B1895" t="str">
            <v>CE4969</v>
          </cell>
          <cell r="C1895" t="str">
            <v>Isobutyrylglycine</v>
          </cell>
        </row>
        <row r="1896">
          <cell r="A1896" t="str">
            <v>CE4970_m</v>
          </cell>
          <cell r="B1896" t="str">
            <v>CE4970</v>
          </cell>
          <cell r="C1896" t="str">
            <v>2-methylbutyrylglycine</v>
          </cell>
        </row>
        <row r="1897">
          <cell r="A1897" t="str">
            <v>CE4988_c</v>
          </cell>
          <cell r="B1897" t="str">
            <v>CE4988</v>
          </cell>
          <cell r="C1897" t="str">
            <v>10,11-dihydro-12-epi-leukotriene B4</v>
          </cell>
        </row>
        <row r="1898">
          <cell r="A1898" t="str">
            <v>CE4988_r</v>
          </cell>
          <cell r="B1898" t="str">
            <v>CE4988</v>
          </cell>
          <cell r="C1898" t="str">
            <v>10,11-dihydro-12-epi-leukotriene B4</v>
          </cell>
        </row>
        <row r="1899">
          <cell r="A1899" t="str">
            <v>CE4988_x</v>
          </cell>
          <cell r="B1899" t="str">
            <v>CE4988</v>
          </cell>
          <cell r="C1899" t="str">
            <v>10,11-dihydro-12-epi-leukotriene B4</v>
          </cell>
        </row>
        <row r="1900">
          <cell r="A1900" t="str">
            <v>CE4990_c</v>
          </cell>
          <cell r="B1900" t="str">
            <v>CE4990</v>
          </cell>
          <cell r="C1900" t="str">
            <v>12-oxo-leukotriene B4</v>
          </cell>
        </row>
        <row r="1901">
          <cell r="A1901" t="str">
            <v>CE4990_r</v>
          </cell>
          <cell r="B1901" t="str">
            <v>CE4990</v>
          </cell>
          <cell r="C1901" t="str">
            <v>12-oxo-leukotriene B4</v>
          </cell>
        </row>
        <row r="1902">
          <cell r="A1902" t="str">
            <v>CE4990_x</v>
          </cell>
          <cell r="B1902" t="str">
            <v>CE4990</v>
          </cell>
          <cell r="C1902" t="str">
            <v>12-oxo-leukotriene B4</v>
          </cell>
        </row>
        <row r="1903">
          <cell r="A1903" t="str">
            <v>CE4993_c</v>
          </cell>
          <cell r="B1903" t="str">
            <v>CE4993</v>
          </cell>
          <cell r="C1903" t="str">
            <v>10,11-dihydro-12R-hydroxy-leukotriene C4</v>
          </cell>
        </row>
        <row r="1904">
          <cell r="A1904" t="str">
            <v>CE4993_x</v>
          </cell>
          <cell r="B1904" t="str">
            <v>CE4993</v>
          </cell>
          <cell r="C1904" t="str">
            <v>10,11-dihydro-12R-hydroxy-leukotriene C4</v>
          </cell>
        </row>
        <row r="1905">
          <cell r="A1905" t="str">
            <v>CE5014_c</v>
          </cell>
          <cell r="B1905" t="str">
            <v>CE5014</v>
          </cell>
          <cell r="C1905" t="str">
            <v>Anhydroretinol</v>
          </cell>
        </row>
        <row r="1906">
          <cell r="A1906" t="str">
            <v>CE5025_c</v>
          </cell>
          <cell r="B1906" t="str">
            <v>CE5025</v>
          </cell>
          <cell r="C1906" t="str">
            <v>5-S-glutathionyl-dopamine</v>
          </cell>
        </row>
        <row r="1907">
          <cell r="A1907" t="str">
            <v>CE5025_x</v>
          </cell>
          <cell r="B1907" t="str">
            <v>CE5025</v>
          </cell>
          <cell r="C1907" t="str">
            <v>5-S-glutathionyl-dopamine</v>
          </cell>
        </row>
        <row r="1908">
          <cell r="A1908" t="str">
            <v>CE5026_c</v>
          </cell>
          <cell r="B1908" t="str">
            <v>CE5026</v>
          </cell>
          <cell r="C1908" t="str">
            <v>5-S-glutathionyl-L-DOPA</v>
          </cell>
        </row>
        <row r="1909">
          <cell r="A1909" t="str">
            <v>CE5026_x</v>
          </cell>
          <cell r="B1909" t="str">
            <v>CE5026</v>
          </cell>
          <cell r="C1909" t="str">
            <v>5-S-glutathionyl-L-DOPA</v>
          </cell>
        </row>
        <row r="1910">
          <cell r="A1910" t="str">
            <v>CE5068_m</v>
          </cell>
          <cell r="B1910" t="str">
            <v>CE5068</v>
          </cell>
          <cell r="C1910" t="str">
            <v>2-methylglutaconic acid</v>
          </cell>
        </row>
        <row r="1911">
          <cell r="A1911" t="str">
            <v>CE5072_c</v>
          </cell>
          <cell r="B1911" t="str">
            <v>CE5072</v>
          </cell>
          <cell r="C1911" t="str">
            <v>21-hydroxyallopregnanolone</v>
          </cell>
        </row>
        <row r="1912">
          <cell r="A1912" t="str">
            <v>CE5072_r</v>
          </cell>
          <cell r="B1912" t="str">
            <v>CE5072</v>
          </cell>
          <cell r="C1912" t="str">
            <v>21-hydroxyallopregnanolone</v>
          </cell>
        </row>
        <row r="1913">
          <cell r="A1913" t="str">
            <v>CE5082_m</v>
          </cell>
          <cell r="B1913" t="str">
            <v>CE5082</v>
          </cell>
          <cell r="C1913" t="str">
            <v>N-acetyl-L-cystathionine</v>
          </cell>
        </row>
        <row r="1914">
          <cell r="A1914" t="str">
            <v>CE5114_c</v>
          </cell>
          <cell r="B1914" t="str">
            <v>CE5114</v>
          </cell>
          <cell r="C1914" t="str">
            <v>Trans-2-cis,cis,cis-8,11,14-eicosatetraenoyl-CoA</v>
          </cell>
        </row>
        <row r="1915">
          <cell r="A1915" t="str">
            <v>CE5114_r</v>
          </cell>
          <cell r="B1915" t="str">
            <v>CE5114</v>
          </cell>
          <cell r="C1915" t="str">
            <v>Trans-2-cis,cis,cis-8,11,14-eicosatetraenoyl-CoA</v>
          </cell>
        </row>
        <row r="1916">
          <cell r="A1916" t="str">
            <v>CE5139_c</v>
          </cell>
          <cell r="B1916" t="str">
            <v>CE5139</v>
          </cell>
          <cell r="C1916" t="str">
            <v>12-oxo-20-dihydroxy-leukotriene B4</v>
          </cell>
        </row>
        <row r="1917">
          <cell r="A1917" t="str">
            <v>CE5139_r</v>
          </cell>
          <cell r="B1917" t="str">
            <v>CE5139</v>
          </cell>
          <cell r="C1917" t="str">
            <v>12-oxo-20-dihydroxy-leukotriene B4</v>
          </cell>
        </row>
        <row r="1918">
          <cell r="A1918" t="str">
            <v>CE5148_c</v>
          </cell>
          <cell r="B1918" t="str">
            <v>CE5148</v>
          </cell>
          <cell r="C1918" t="str">
            <v>3(S)-hydroxy-11-cis-eicosenoyl-CoA</v>
          </cell>
        </row>
        <row r="1919">
          <cell r="A1919" t="str">
            <v>CE5148_r</v>
          </cell>
          <cell r="B1919" t="str">
            <v>CE5148</v>
          </cell>
          <cell r="C1919" t="str">
            <v>3(S)-hydroxy-11-cis-eicosenoyl-CoA</v>
          </cell>
        </row>
        <row r="1920">
          <cell r="A1920" t="str">
            <v>CE5150_c</v>
          </cell>
          <cell r="B1920" t="str">
            <v>CE5150</v>
          </cell>
          <cell r="C1920" t="str">
            <v>Trans,cis-2,11-eicosadienoyl-CoA</v>
          </cell>
        </row>
        <row r="1921">
          <cell r="A1921" t="str">
            <v>CE5150_r</v>
          </cell>
          <cell r="B1921" t="str">
            <v>CE5150</v>
          </cell>
          <cell r="C1921" t="str">
            <v>Trans,cis-2,11-eicosadienoyl-CoA</v>
          </cell>
        </row>
        <row r="1922">
          <cell r="A1922" t="str">
            <v>CE5153_c</v>
          </cell>
          <cell r="B1922" t="str">
            <v>CE5153</v>
          </cell>
          <cell r="C1922" t="str">
            <v>3(S)-hydroxy-13cis-docosenoyl-CoA</v>
          </cell>
        </row>
        <row r="1923">
          <cell r="A1923" t="str">
            <v>CE5153_r</v>
          </cell>
          <cell r="B1923" t="str">
            <v>CE5153</v>
          </cell>
          <cell r="C1923" t="str">
            <v>3(S)-hydroxy-13cis-docosenoyl-CoA</v>
          </cell>
        </row>
        <row r="1924">
          <cell r="A1924" t="str">
            <v>CE5155_c</v>
          </cell>
          <cell r="B1924" t="str">
            <v>CE5155</v>
          </cell>
          <cell r="C1924" t="str">
            <v>Cis-13-docosenoyl-CoA</v>
          </cell>
        </row>
        <row r="1925">
          <cell r="A1925" t="str">
            <v>CE5155_r</v>
          </cell>
          <cell r="B1925" t="str">
            <v>CE5155</v>
          </cell>
          <cell r="C1925" t="str">
            <v>Cis-13-docosenoyl-CoA</v>
          </cell>
        </row>
        <row r="1926">
          <cell r="A1926" t="str">
            <v>CE5156_c</v>
          </cell>
          <cell r="B1926" t="str">
            <v>CE5156</v>
          </cell>
          <cell r="C1926" t="str">
            <v>3-oxo-cis-15-tetracosaenoyl-CoA</v>
          </cell>
        </row>
        <row r="1927">
          <cell r="A1927" t="str">
            <v>CE5156_r</v>
          </cell>
          <cell r="B1927" t="str">
            <v>CE5156</v>
          </cell>
          <cell r="C1927" t="str">
            <v>3-oxo-cis-15-tetracosaenoyl-CoA</v>
          </cell>
        </row>
        <row r="1928">
          <cell r="A1928" t="str">
            <v>CE5157_c</v>
          </cell>
          <cell r="B1928" t="str">
            <v>CE5157</v>
          </cell>
          <cell r="C1928" t="str">
            <v>3(S)-hydroxy-cis-15-tetracosaenoyl-CoA</v>
          </cell>
        </row>
        <row r="1929">
          <cell r="A1929" t="str">
            <v>CE5157_r</v>
          </cell>
          <cell r="B1929" t="str">
            <v>CE5157</v>
          </cell>
          <cell r="C1929" t="str">
            <v>3(S)-hydroxy-cis-15-tetracosaenoyl-CoA</v>
          </cell>
        </row>
        <row r="1930">
          <cell r="A1930" t="str">
            <v>CE5239_m</v>
          </cell>
          <cell r="B1930" t="str">
            <v>CE5239</v>
          </cell>
          <cell r="C1930" t="str">
            <v>2-hydroxy-17beta-estradiol-4-S-glutathione</v>
          </cell>
        </row>
        <row r="1931">
          <cell r="A1931" t="str">
            <v>CE5241_c</v>
          </cell>
          <cell r="B1931" t="str">
            <v>CE5241</v>
          </cell>
          <cell r="C1931" t="str">
            <v>2-hydroxy-17beta-estradiol-1-S-glutathione</v>
          </cell>
        </row>
        <row r="1932">
          <cell r="A1932" t="str">
            <v>CE5241_r</v>
          </cell>
          <cell r="B1932" t="str">
            <v>CE5241</v>
          </cell>
          <cell r="C1932" t="str">
            <v>2-hydroxy-17beta-estradiol-1-S-glutathione</v>
          </cell>
        </row>
        <row r="1933">
          <cell r="A1933" t="str">
            <v>CE5241_x</v>
          </cell>
          <cell r="B1933" t="str">
            <v>CE5241</v>
          </cell>
          <cell r="C1933" t="str">
            <v>2-hydroxy-17beta-estradiol-1-S-glutathione</v>
          </cell>
        </row>
        <row r="1934">
          <cell r="A1934" t="str">
            <v>CE5249_c</v>
          </cell>
          <cell r="B1934" t="str">
            <v>CE5249</v>
          </cell>
          <cell r="C1934" t="str">
            <v>17beta-estradiol-3,4-quinone</v>
          </cell>
        </row>
        <row r="1935">
          <cell r="A1935" t="str">
            <v>CE5249_r</v>
          </cell>
          <cell r="B1935" t="str">
            <v>CE5249</v>
          </cell>
          <cell r="C1935" t="str">
            <v>17beta-estradiol-3,4-quinone</v>
          </cell>
        </row>
        <row r="1936">
          <cell r="A1936" t="str">
            <v>CE5249_x</v>
          </cell>
          <cell r="B1936" t="str">
            <v>CE5249</v>
          </cell>
          <cell r="C1936" t="str">
            <v>17beta-estradiol-3,4-quinone</v>
          </cell>
        </row>
        <row r="1937">
          <cell r="A1937" t="str">
            <v>CE5251_m</v>
          </cell>
          <cell r="B1937" t="str">
            <v>CE5251</v>
          </cell>
          <cell r="C1937" t="str">
            <v>Estrone-3,4-quinone</v>
          </cell>
        </row>
        <row r="1938">
          <cell r="A1938" t="str">
            <v>CE5252_c</v>
          </cell>
          <cell r="B1938" t="str">
            <v>CE5252</v>
          </cell>
          <cell r="C1938" t="str">
            <v>Estrone-2,3-quinone</v>
          </cell>
        </row>
        <row r="1939">
          <cell r="A1939" t="str">
            <v>CE5252_r</v>
          </cell>
          <cell r="B1939" t="str">
            <v>CE5252</v>
          </cell>
          <cell r="C1939" t="str">
            <v>Estrone-2,3-quinone</v>
          </cell>
        </row>
        <row r="1940">
          <cell r="A1940" t="str">
            <v>CE5252_x</v>
          </cell>
          <cell r="B1940" t="str">
            <v>CE5252</v>
          </cell>
          <cell r="C1940" t="str">
            <v>Estrone-2,3-quinone</v>
          </cell>
        </row>
        <row r="1941">
          <cell r="A1941" t="str">
            <v>CE5253_c</v>
          </cell>
          <cell r="B1941" t="str">
            <v>CE5253</v>
          </cell>
          <cell r="C1941" t="str">
            <v>17beta-estradiol-3,4-semiquinone</v>
          </cell>
        </row>
        <row r="1942">
          <cell r="A1942" t="str">
            <v>CE5276_l</v>
          </cell>
          <cell r="B1942" t="str">
            <v>CE5276</v>
          </cell>
          <cell r="C1942" t="str">
            <v>Dopamine o-quinone</v>
          </cell>
        </row>
        <row r="1943">
          <cell r="A1943" t="str">
            <v>CE5307_m</v>
          </cell>
          <cell r="B1943" t="str">
            <v>CE5307</v>
          </cell>
          <cell r="C1943" t="str">
            <v>3-oxo-10(R)-hydroxy-octadeca-6E,8E,12Z-trienoate</v>
          </cell>
        </row>
        <row r="1944">
          <cell r="A1944" t="str">
            <v>CE5319_m</v>
          </cell>
          <cell r="B1944" t="str">
            <v>CE5319</v>
          </cell>
          <cell r="C1944" t="str">
            <v>3-oxo-10(S)-hydroxy-octadeca-6E,8E,12Z-trienoate</v>
          </cell>
        </row>
        <row r="1945">
          <cell r="A1945" t="str">
            <v>CE5329_c</v>
          </cell>
          <cell r="B1945" t="str">
            <v>CE5329</v>
          </cell>
          <cell r="C1945" t="str">
            <v>3(S),12(S)-dihydroxy-5-oxo-eicosa-8E,10E,14Z-trienoyl-CoA</v>
          </cell>
        </row>
        <row r="1946">
          <cell r="A1946" t="str">
            <v>CE5329_x</v>
          </cell>
          <cell r="B1946" t="str">
            <v>CE5329</v>
          </cell>
          <cell r="C1946" t="str">
            <v>3(S),12(S)-dihydroxy-5-oxo-eicosa-8E,10E,14Z-trienoyl-CoA</v>
          </cell>
        </row>
        <row r="1947">
          <cell r="A1947" t="str">
            <v>CE5341_m</v>
          </cell>
          <cell r="B1947" t="str">
            <v>CE5341</v>
          </cell>
          <cell r="C1947" t="str">
            <v>5-oxo-12(S)-hydroxy-eicosa-2E,8E,10E,14Z-tetraenoyl-CoA</v>
          </cell>
        </row>
        <row r="1948">
          <cell r="A1948" t="str">
            <v>CE5342_c</v>
          </cell>
          <cell r="B1948" t="str">
            <v>CE5342</v>
          </cell>
          <cell r="C1948" t="str">
            <v>5-oxo-12(S)-hydroxy-eicosa-8E,10E,14Z-trienoyl-CoA</v>
          </cell>
        </row>
        <row r="1949">
          <cell r="A1949" t="str">
            <v>CE5342_r</v>
          </cell>
          <cell r="B1949" t="str">
            <v>CE5342</v>
          </cell>
          <cell r="C1949" t="str">
            <v>5-oxo-12(S)-hydroxy-eicosa-8E,10E,14Z-trienoyl-CoA</v>
          </cell>
        </row>
        <row r="1950">
          <cell r="A1950" t="str">
            <v>CE5342_x</v>
          </cell>
          <cell r="B1950" t="str">
            <v>CE5342</v>
          </cell>
          <cell r="C1950" t="str">
            <v>5-oxo-12(S)-hydroxy-eicosa-8E,10E,14Z-trienoyl-CoA</v>
          </cell>
        </row>
        <row r="1951">
          <cell r="A1951" t="str">
            <v>CE5343_m</v>
          </cell>
          <cell r="B1951" t="str">
            <v>CE5343</v>
          </cell>
          <cell r="C1951" t="str">
            <v>6,7-dihydro-5-oxo-12-epi-leukotriene B</v>
          </cell>
        </row>
        <row r="1952">
          <cell r="A1952" t="str">
            <v>CE5344_c</v>
          </cell>
          <cell r="B1952" t="str">
            <v>CE5344</v>
          </cell>
          <cell r="C1952" t="str">
            <v>3(S),12(R)-dihydroxy-5-oxo-eicosa-8E,10E,14Z-trienoyl-CoA</v>
          </cell>
        </row>
        <row r="1953">
          <cell r="A1953" t="str">
            <v>CE5344_x</v>
          </cell>
          <cell r="B1953" t="str">
            <v>CE5344</v>
          </cell>
          <cell r="C1953" t="str">
            <v>3(S),12(R)-dihydroxy-5-oxo-eicosa-8E,10E,14Z-trienoyl-CoA</v>
          </cell>
        </row>
        <row r="1954">
          <cell r="A1954" t="str">
            <v>CE5346_c</v>
          </cell>
          <cell r="B1954" t="str">
            <v>CE5346</v>
          </cell>
          <cell r="C1954" t="str">
            <v>3-oxo-10(R)-hydroxy-octadeca-6E,8E,12Z-trienoyl-CoA</v>
          </cell>
        </row>
        <row r="1955">
          <cell r="A1955" t="str">
            <v>CE5346_x</v>
          </cell>
          <cell r="B1955" t="str">
            <v>CE5346</v>
          </cell>
          <cell r="C1955" t="str">
            <v>3-oxo-10(R)-hydroxy-octadeca-6E,8E,12Z-trienoyl-CoA</v>
          </cell>
        </row>
        <row r="1956">
          <cell r="A1956" t="str">
            <v>CE5347_x</v>
          </cell>
          <cell r="B1956" t="str">
            <v>CE5347</v>
          </cell>
          <cell r="C1956" t="str">
            <v>5-oxo-12(R)-hydroxy-eicosa-2E,8E,10E,14Z-tetraenoyl-CoA</v>
          </cell>
        </row>
        <row r="1957">
          <cell r="A1957" t="str">
            <v>CE5349_c</v>
          </cell>
          <cell r="B1957" t="str">
            <v>CE5349</v>
          </cell>
          <cell r="C1957" t="str">
            <v>5-oxo-6E-12-epi-leukotriene B4</v>
          </cell>
        </row>
        <row r="1958">
          <cell r="A1958" t="str">
            <v>CE5349_r</v>
          </cell>
          <cell r="B1958" t="str">
            <v>CE5349</v>
          </cell>
          <cell r="C1958" t="str">
            <v>5-oxo-6E-12-epi-leukotriene B4</v>
          </cell>
        </row>
        <row r="1959">
          <cell r="A1959" t="str">
            <v>CE5349_x</v>
          </cell>
          <cell r="B1959" t="str">
            <v>CE5349</v>
          </cell>
          <cell r="C1959" t="str">
            <v>5-oxo-6E-12-epi-leukotriene B4</v>
          </cell>
        </row>
        <row r="1960">
          <cell r="A1960" t="str">
            <v>CE5525_c</v>
          </cell>
          <cell r="B1960" t="str">
            <v>CE5525</v>
          </cell>
          <cell r="C1960" t="str">
            <v>12-oxo-20-carboxy-leukotriene B4</v>
          </cell>
        </row>
        <row r="1961">
          <cell r="A1961" t="str">
            <v>CE5525_x</v>
          </cell>
          <cell r="B1961" t="str">
            <v>CE5525</v>
          </cell>
          <cell r="C1961" t="str">
            <v>12-oxo-20-carboxy-leukotriene B4</v>
          </cell>
        </row>
        <row r="1962">
          <cell r="A1962" t="str">
            <v>CE5531_m</v>
          </cell>
          <cell r="B1962" t="str">
            <v>CE5531</v>
          </cell>
          <cell r="C1962" t="str">
            <v>12-oxo-c-LTB3</v>
          </cell>
        </row>
        <row r="1963">
          <cell r="A1963" t="str">
            <v>CE5536_c</v>
          </cell>
          <cell r="B1963" t="str">
            <v>CE5536</v>
          </cell>
          <cell r="C1963" t="str">
            <v>Adrenochrome</v>
          </cell>
        </row>
        <row r="1964">
          <cell r="A1964" t="str">
            <v>CE5536_x</v>
          </cell>
          <cell r="B1964" t="str">
            <v>CE5536</v>
          </cell>
          <cell r="C1964" t="str">
            <v>Adrenochrome</v>
          </cell>
        </row>
        <row r="1965">
          <cell r="A1965" t="str">
            <v>CE5592_c</v>
          </cell>
          <cell r="B1965" t="str">
            <v>CE5592</v>
          </cell>
          <cell r="C1965" t="str">
            <v>4-OH-9-cis-retinal</v>
          </cell>
        </row>
        <row r="1966">
          <cell r="A1966" t="str">
            <v>CE5592_r</v>
          </cell>
          <cell r="B1966" t="str">
            <v>CE5592</v>
          </cell>
          <cell r="C1966" t="str">
            <v>4-OH-9-cis-retinal</v>
          </cell>
        </row>
        <row r="1967">
          <cell r="A1967" t="str">
            <v>CE5593_c</v>
          </cell>
          <cell r="B1967" t="str">
            <v>CE5593</v>
          </cell>
          <cell r="C1967" t="str">
            <v>4-OH-retinal</v>
          </cell>
        </row>
        <row r="1968">
          <cell r="A1968" t="str">
            <v>CE5593_r</v>
          </cell>
          <cell r="B1968" t="str">
            <v>CE5593</v>
          </cell>
          <cell r="C1968" t="str">
            <v>4-OH-retinal</v>
          </cell>
        </row>
        <row r="1969">
          <cell r="A1969" t="str">
            <v>CE5656_c</v>
          </cell>
          <cell r="B1969" t="str">
            <v>CE5656</v>
          </cell>
          <cell r="C1969" t="str">
            <v>Lipoyl-AMP(1-)</v>
          </cell>
        </row>
        <row r="1970">
          <cell r="A1970" t="str">
            <v>CE5665_c</v>
          </cell>
          <cell r="B1970" t="str">
            <v>CE5665</v>
          </cell>
          <cell r="C1970" t="str">
            <v>Leukoaminochrome</v>
          </cell>
        </row>
        <row r="1971">
          <cell r="A1971" t="str">
            <v>CE5726_c</v>
          </cell>
          <cell r="B1971" t="str">
            <v>CE5726</v>
          </cell>
          <cell r="C1971" t="str">
            <v>Prostaglandin PGE2 1-glyceryl ester</v>
          </cell>
        </row>
        <row r="1972">
          <cell r="A1972" t="str">
            <v>CE5747_c</v>
          </cell>
          <cell r="B1972" t="str">
            <v>CE5747</v>
          </cell>
          <cell r="C1972" t="str">
            <v>N-retinylidene-N-retinylethanolamine</v>
          </cell>
        </row>
        <row r="1973">
          <cell r="A1973" t="str">
            <v>CE5753_c</v>
          </cell>
          <cell r="B1973" t="str">
            <v>CE5753</v>
          </cell>
          <cell r="C1973" t="str">
            <v>Iso-A2E(11-cis)</v>
          </cell>
        </row>
        <row r="1974">
          <cell r="A1974" t="str">
            <v>CE5754_c</v>
          </cell>
          <cell r="B1974" t="str">
            <v>CE5754</v>
          </cell>
          <cell r="C1974" t="str">
            <v>Iso-A2E(9-cis)</v>
          </cell>
        </row>
        <row r="1975">
          <cell r="A1975" t="str">
            <v>CE5775_c</v>
          </cell>
          <cell r="B1975" t="str">
            <v>CE5775</v>
          </cell>
          <cell r="C1975" t="str">
            <v>Iso-A2E(9'-cis)</v>
          </cell>
        </row>
        <row r="1976">
          <cell r="A1976" t="str">
            <v>CE5788_c</v>
          </cell>
          <cell r="B1976" t="str">
            <v>CE5788</v>
          </cell>
          <cell r="C1976" t="str">
            <v>Kinetensin 1-7</v>
          </cell>
        </row>
        <row r="1977">
          <cell r="A1977" t="str">
            <v>CE5789_e</v>
          </cell>
          <cell r="B1977" t="str">
            <v>CE5789</v>
          </cell>
          <cell r="C1977" t="str">
            <v>Kinetensin 1-8</v>
          </cell>
        </row>
        <row r="1978">
          <cell r="A1978" t="str">
            <v>CE5794_c</v>
          </cell>
          <cell r="B1978" t="str">
            <v>CE5794</v>
          </cell>
          <cell r="C1978" t="str">
            <v>Neuromedin B; Gly-Asn-Leu</v>
          </cell>
        </row>
        <row r="1979">
          <cell r="A1979" t="str">
            <v>CE5797_e</v>
          </cell>
          <cell r="B1979" t="str">
            <v>CE5797</v>
          </cell>
          <cell r="C1979" t="str">
            <v>Neuromedin N</v>
          </cell>
        </row>
        <row r="1980">
          <cell r="A1980" t="str">
            <v>CE5798_c</v>
          </cell>
          <cell r="B1980" t="str">
            <v>CE5798</v>
          </cell>
          <cell r="C1980" t="str">
            <v>Neuromedin N (1-4)</v>
          </cell>
        </row>
        <row r="1981">
          <cell r="A1981" t="str">
            <v>CE5820_e</v>
          </cell>
          <cell r="B1981" t="str">
            <v>CE5820</v>
          </cell>
          <cell r="C1981" t="str">
            <v>Histidyl-prolinamide</v>
          </cell>
        </row>
        <row r="1982">
          <cell r="A1982" t="str">
            <v>CE5838_c</v>
          </cell>
          <cell r="B1982" t="str">
            <v>CE5838</v>
          </cell>
          <cell r="C1982" t="str">
            <v>5,6-epoxy-alpha-tocopheryl quinone</v>
          </cell>
        </row>
        <row r="1983">
          <cell r="A1983" t="str">
            <v>CE5840_c</v>
          </cell>
          <cell r="B1983" t="str">
            <v>CE5840</v>
          </cell>
          <cell r="C1983" t="str">
            <v>2,3-epoxy-alpha-tocopheryl quinone</v>
          </cell>
        </row>
        <row r="1984">
          <cell r="A1984" t="str">
            <v>CE5854_e</v>
          </cell>
          <cell r="B1984" t="str">
            <v>CE5854</v>
          </cell>
          <cell r="C1984" t="str">
            <v>Gama-CEHC-glucuronide</v>
          </cell>
        </row>
        <row r="1985">
          <cell r="A1985" t="str">
            <v>CE5867_c</v>
          </cell>
          <cell r="B1985" t="str">
            <v>CE5867</v>
          </cell>
          <cell r="C1985" t="str">
            <v>N-acetyl-seryl-aspartyl-lysyl-proline</v>
          </cell>
        </row>
        <row r="1986">
          <cell r="A1986" t="str">
            <v>CE5869_e</v>
          </cell>
          <cell r="B1986" t="str">
            <v>CE5869</v>
          </cell>
          <cell r="C1986" t="str">
            <v>Lysyl-proline</v>
          </cell>
        </row>
        <row r="1987">
          <cell r="A1987" t="str">
            <v>CE5946_c</v>
          </cell>
          <cell r="B1987" t="str">
            <v>CE5946</v>
          </cell>
          <cell r="C1987" t="str">
            <v>10,11-dihydro-20-trihydroxy-leukotriene B4</v>
          </cell>
        </row>
        <row r="1988">
          <cell r="A1988" t="str">
            <v>CE5946_r</v>
          </cell>
          <cell r="B1988" t="str">
            <v>CE5946</v>
          </cell>
          <cell r="C1988" t="str">
            <v>10,11-dihydro-20-trihydroxy-leukotriene B4</v>
          </cell>
        </row>
        <row r="1989">
          <cell r="A1989" t="str">
            <v>CE5947_c</v>
          </cell>
          <cell r="B1989" t="str">
            <v>CE5947</v>
          </cell>
          <cell r="C1989" t="str">
            <v>20-COOH-10,11-dihydro-LTB4</v>
          </cell>
        </row>
        <row r="1990">
          <cell r="A1990" t="str">
            <v>CE5947_x</v>
          </cell>
          <cell r="B1990" t="str">
            <v>CE5947</v>
          </cell>
          <cell r="C1990" t="str">
            <v>20-COOH-10,11-dihydro-LTB4</v>
          </cell>
        </row>
        <row r="1991">
          <cell r="A1991" t="str">
            <v>CE5956_c</v>
          </cell>
          <cell r="B1991" t="str">
            <v>CE5956</v>
          </cell>
          <cell r="C1991" t="str">
            <v>Trans,trans,cis-geranyl-geranyl-PP</v>
          </cell>
        </row>
        <row r="1992">
          <cell r="A1992" t="str">
            <v>CE5968_c</v>
          </cell>
          <cell r="B1992" t="str">
            <v>CE5968</v>
          </cell>
          <cell r="C1992" t="str">
            <v>3(S),10(R)-OH-octadeca-6-trans-4,12-cis-trienoate</v>
          </cell>
        </row>
        <row r="1993">
          <cell r="A1993" t="str">
            <v>CE5968_x</v>
          </cell>
          <cell r="B1993" t="str">
            <v>CE5968</v>
          </cell>
          <cell r="C1993" t="str">
            <v>3(S),10(R)-OH-octadeca-6-trans-4,12-cis-trienoate</v>
          </cell>
        </row>
        <row r="1994">
          <cell r="A1994" t="str">
            <v>CE5976_m</v>
          </cell>
          <cell r="B1994" t="str">
            <v>CE5976</v>
          </cell>
          <cell r="C1994" t="str">
            <v>12-oxo-10,11-dihydro-20-COOH-LTB4</v>
          </cell>
        </row>
        <row r="1995">
          <cell r="A1995" t="str">
            <v>CE5994_x</v>
          </cell>
          <cell r="B1995" t="str">
            <v>CE5994</v>
          </cell>
          <cell r="C1995" t="str">
            <v>20-oxo-leukotriene E4</v>
          </cell>
        </row>
        <row r="1996">
          <cell r="A1996" t="str">
            <v>CE5995_x</v>
          </cell>
          <cell r="B1996" t="str">
            <v>CE5995</v>
          </cell>
          <cell r="C1996" t="str">
            <v>20-COOH-leukotriene E4</v>
          </cell>
        </row>
        <row r="1997">
          <cell r="A1997" t="str">
            <v>CE6027_c</v>
          </cell>
          <cell r="B1997" t="str">
            <v>CE6027</v>
          </cell>
          <cell r="C1997" t="str">
            <v>24,25,26,27-tetranor-23-oxo-hydroxyvitamin D3</v>
          </cell>
        </row>
        <row r="1998">
          <cell r="A1998" t="str">
            <v>CE6182_c</v>
          </cell>
          <cell r="B1998" t="str">
            <v>CE6182</v>
          </cell>
          <cell r="C1998" t="str">
            <v>20-CoA-20-oxo-leukotriene B4</v>
          </cell>
        </row>
        <row r="1999">
          <cell r="A1999" t="str">
            <v>CE6182_r</v>
          </cell>
          <cell r="B1999" t="str">
            <v>CE6182</v>
          </cell>
          <cell r="C1999" t="str">
            <v>20-CoA-20-oxo-leukotriene B4</v>
          </cell>
        </row>
        <row r="2000">
          <cell r="A2000" t="str">
            <v>CE6182_x</v>
          </cell>
          <cell r="B2000" t="str">
            <v>CE6182</v>
          </cell>
          <cell r="C2000" t="str">
            <v>20-CoA-20-oxo-leukotriene B4</v>
          </cell>
        </row>
        <row r="2001">
          <cell r="A2001" t="str">
            <v>CE6185_c</v>
          </cell>
          <cell r="B2001" t="str">
            <v>CE6185</v>
          </cell>
          <cell r="C2001" t="str">
            <v>Omega-carboxy-trinor-leukotriene B4</v>
          </cell>
        </row>
        <row r="2002">
          <cell r="A2002" t="str">
            <v>CE6185_x</v>
          </cell>
          <cell r="B2002" t="str">
            <v>CE6185</v>
          </cell>
          <cell r="C2002" t="str">
            <v>Omega-carboxy-trinor-leukotriene B4</v>
          </cell>
        </row>
        <row r="2003">
          <cell r="A2003" t="str">
            <v>CE6186_x</v>
          </cell>
          <cell r="B2003" t="str">
            <v>CE6186</v>
          </cell>
          <cell r="C2003" t="str">
            <v>18E-20-oxo-20-CoA-LTB4</v>
          </cell>
        </row>
        <row r="2004">
          <cell r="A2004" t="str">
            <v>CE6191_x</v>
          </cell>
          <cell r="B2004" t="str">
            <v>CE6191</v>
          </cell>
          <cell r="C2004" t="str">
            <v>18E-20-oxo-20-CoA-LTE4</v>
          </cell>
        </row>
        <row r="2005">
          <cell r="A2005" t="str">
            <v>CE6198_x</v>
          </cell>
          <cell r="B2005" t="str">
            <v>CE6198</v>
          </cell>
          <cell r="C2005" t="str">
            <v>16,18-oxo-18-CoA-dinor-LTE4</v>
          </cell>
        </row>
        <row r="2006">
          <cell r="A2006" t="str">
            <v>CE6229_x</v>
          </cell>
          <cell r="B2006" t="str">
            <v>CE6229</v>
          </cell>
          <cell r="C2006" t="str">
            <v>13E-tetranor-16-carboxy-LTE4</v>
          </cell>
        </row>
        <row r="2007">
          <cell r="A2007" t="str">
            <v>CE6240_c</v>
          </cell>
          <cell r="B2007" t="str">
            <v>CE6240</v>
          </cell>
          <cell r="C2007" t="str">
            <v>9-deoxy-delta12-PGD2</v>
          </cell>
        </row>
        <row r="2008">
          <cell r="A2008" t="str">
            <v>CE6240_r</v>
          </cell>
          <cell r="B2008" t="str">
            <v>CE6240</v>
          </cell>
          <cell r="C2008" t="str">
            <v>9-deoxy-delta12-PGD2</v>
          </cell>
        </row>
        <row r="2009">
          <cell r="A2009" t="str">
            <v>CE6241_m</v>
          </cell>
          <cell r="B2009" t="str">
            <v>CE6241</v>
          </cell>
          <cell r="C2009" t="str">
            <v>S-(9-deoxy-delta12-PGD2)-glutathione</v>
          </cell>
        </row>
        <row r="2010">
          <cell r="A2010" t="str">
            <v>CE6243_c</v>
          </cell>
          <cell r="B2010" t="str">
            <v>CE6243</v>
          </cell>
          <cell r="C2010" t="str">
            <v>S-(9-deoxy-delta9,12-PGD2)-glutathione</v>
          </cell>
        </row>
        <row r="2011">
          <cell r="A2011" t="str">
            <v>CE6243_r</v>
          </cell>
          <cell r="B2011" t="str">
            <v>CE6243</v>
          </cell>
          <cell r="C2011" t="str">
            <v>S-(9-deoxy-delta9,12-PGD2)-glutathione</v>
          </cell>
        </row>
        <row r="2012">
          <cell r="A2012" t="str">
            <v>CE6248_c</v>
          </cell>
          <cell r="B2012" t="str">
            <v>CE6248</v>
          </cell>
          <cell r="C2012" t="str">
            <v>20-OH-hepoxilin A3</v>
          </cell>
        </row>
        <row r="2013">
          <cell r="A2013" t="str">
            <v>CE6248_r</v>
          </cell>
          <cell r="B2013" t="str">
            <v>CE6248</v>
          </cell>
          <cell r="C2013" t="str">
            <v>20-OH-hepoxilin A3</v>
          </cell>
        </row>
        <row r="2014">
          <cell r="A2014" t="str">
            <v>CE6251_c</v>
          </cell>
          <cell r="B2014" t="str">
            <v>CE6251</v>
          </cell>
          <cell r="C2014" t="str">
            <v>12,20-DiHETE</v>
          </cell>
        </row>
        <row r="2015">
          <cell r="A2015" t="str">
            <v>CE6251_r</v>
          </cell>
          <cell r="B2015" t="str">
            <v>CE6251</v>
          </cell>
          <cell r="C2015" t="str">
            <v>12,20-DiHETE</v>
          </cell>
        </row>
        <row r="2016">
          <cell r="A2016" t="str">
            <v>CE6316_l</v>
          </cell>
          <cell r="B2016" t="str">
            <v>CE6316</v>
          </cell>
          <cell r="C2016" t="str">
            <v>N,N-dimethyldopaminequinone</v>
          </cell>
        </row>
        <row r="2017">
          <cell r="A2017" t="str">
            <v>CE6317_c</v>
          </cell>
          <cell r="B2017" t="str">
            <v>CE6317</v>
          </cell>
          <cell r="C2017" t="str">
            <v>N,N-dimethylindoliumolate</v>
          </cell>
        </row>
        <row r="2018">
          <cell r="A2018" t="str">
            <v>CE6444_c</v>
          </cell>
          <cell r="B2018" t="str">
            <v>CE6444</v>
          </cell>
          <cell r="C2018" t="str">
            <v>4-hydroperoxy-H4-neuroprostane</v>
          </cell>
        </row>
        <row r="2019">
          <cell r="A2019" t="str">
            <v>CE6448_c</v>
          </cell>
          <cell r="B2019" t="str">
            <v>CE6448</v>
          </cell>
          <cell r="C2019" t="str">
            <v>14-hydroperoxy-H4-neuroprostane</v>
          </cell>
        </row>
        <row r="2020">
          <cell r="A2020" t="str">
            <v>CE6457_c</v>
          </cell>
          <cell r="B2020" t="str">
            <v>CE6457</v>
          </cell>
          <cell r="C2020" t="str">
            <v>11-hydroxy-D4-neuroprostane</v>
          </cell>
        </row>
        <row r="2021">
          <cell r="A2021" t="str">
            <v>CE6458_c</v>
          </cell>
          <cell r="B2021" t="str">
            <v>CE6458</v>
          </cell>
          <cell r="C2021" t="str">
            <v>10-hydroxy-E4-neuroprostane</v>
          </cell>
        </row>
        <row r="2022">
          <cell r="A2022" t="str">
            <v>CE6459_c</v>
          </cell>
          <cell r="B2022" t="str">
            <v>CE6459</v>
          </cell>
          <cell r="C2022" t="str">
            <v>10-hydroxy-D4-neuroprostane</v>
          </cell>
        </row>
        <row r="2023">
          <cell r="A2023" t="str">
            <v>CE6460_c</v>
          </cell>
          <cell r="B2023" t="str">
            <v>CE6460</v>
          </cell>
          <cell r="C2023" t="str">
            <v>14-hydroxy-E4-neuroprostane</v>
          </cell>
        </row>
        <row r="2024">
          <cell r="A2024" t="str">
            <v>CE6462_c</v>
          </cell>
          <cell r="B2024" t="str">
            <v>CE6462</v>
          </cell>
          <cell r="C2024" t="str">
            <v>13-hydroxy-E4-neuroprostane</v>
          </cell>
        </row>
        <row r="2025">
          <cell r="A2025" t="str">
            <v>CE6463_c</v>
          </cell>
          <cell r="B2025" t="str">
            <v>CE6463</v>
          </cell>
          <cell r="C2025" t="str">
            <v>13-hydroxy-D4-neuroprostane</v>
          </cell>
        </row>
        <row r="2026">
          <cell r="A2026" t="str">
            <v>CE6467_c</v>
          </cell>
          <cell r="B2026" t="str">
            <v>CE6467</v>
          </cell>
          <cell r="C2026" t="str">
            <v>20-hydroxy-D4-neuroprostane</v>
          </cell>
        </row>
        <row r="2027">
          <cell r="A2027" t="str">
            <v>CE6508_c</v>
          </cell>
          <cell r="B2027" t="str">
            <v>CE6508</v>
          </cell>
          <cell r="C2027" t="str">
            <v>5-hydroperoxy-EPA</v>
          </cell>
        </row>
        <row r="2028">
          <cell r="A2028" t="str">
            <v>CE7082_c</v>
          </cell>
          <cell r="B2028" t="str">
            <v>CE7082</v>
          </cell>
          <cell r="C2028" t="str">
            <v>15(S)-HEPE</v>
          </cell>
        </row>
        <row r="2029">
          <cell r="A2029" t="str">
            <v>CE7086_c</v>
          </cell>
          <cell r="B2029" t="str">
            <v>CE7086</v>
          </cell>
          <cell r="C2029" t="str">
            <v>Leukotriene C5</v>
          </cell>
        </row>
        <row r="2030">
          <cell r="A2030" t="str">
            <v>CE7091_c</v>
          </cell>
          <cell r="B2030" t="str">
            <v>CE7091</v>
          </cell>
          <cell r="C2030" t="str">
            <v>15(R)-hydroperoxy-EPE</v>
          </cell>
        </row>
        <row r="2031">
          <cell r="A2031" t="str">
            <v>CE7091_r</v>
          </cell>
          <cell r="B2031" t="str">
            <v>CE7091</v>
          </cell>
          <cell r="C2031" t="str">
            <v>15(R)-hydroperoxy-EPE</v>
          </cell>
        </row>
        <row r="2032">
          <cell r="A2032" t="str">
            <v>CE7091_x</v>
          </cell>
          <cell r="B2032" t="str">
            <v>CE7091</v>
          </cell>
          <cell r="C2032" t="str">
            <v>15(R)-hydroperoxy-EPE</v>
          </cell>
        </row>
        <row r="2033">
          <cell r="A2033" t="str">
            <v>CE7097_c</v>
          </cell>
          <cell r="B2033" t="str">
            <v>CE7097</v>
          </cell>
          <cell r="C2033" t="str">
            <v>5-oxo-12(S)-hydroxy-eicosa-6E,8Z,10E,14Z-tetraenoate</v>
          </cell>
        </row>
        <row r="2034">
          <cell r="A2034" t="str">
            <v>CE7097_x</v>
          </cell>
          <cell r="B2034" t="str">
            <v>CE7097</v>
          </cell>
          <cell r="C2034" t="str">
            <v>5-oxo-12(S)-hydroxy-eicosa-6E,8Z,10E,14Z-tetraenoate</v>
          </cell>
        </row>
        <row r="2035">
          <cell r="A2035" t="str">
            <v>CE7110_c</v>
          </cell>
          <cell r="B2035" t="str">
            <v>CE7110</v>
          </cell>
          <cell r="C2035" t="str">
            <v>5,6-epoxy,18R-HEPE</v>
          </cell>
        </row>
        <row r="2036">
          <cell r="A2036" t="str">
            <v>CE7111_c</v>
          </cell>
          <cell r="B2036" t="str">
            <v>CE7111</v>
          </cell>
          <cell r="C2036" t="str">
            <v>5-oxo-EPE</v>
          </cell>
        </row>
        <row r="2037">
          <cell r="A2037" t="str">
            <v>CE7111_x</v>
          </cell>
          <cell r="B2037" t="str">
            <v>CE7111</v>
          </cell>
          <cell r="C2037" t="str">
            <v>5-oxo-EPE</v>
          </cell>
        </row>
        <row r="2038">
          <cell r="A2038" t="str">
            <v>CE7113_c</v>
          </cell>
          <cell r="B2038" t="str">
            <v>CE7113</v>
          </cell>
          <cell r="C2038" t="str">
            <v>15-epi-lipoxin B5</v>
          </cell>
        </row>
        <row r="2039">
          <cell r="A2039" t="str">
            <v>CE7113_r</v>
          </cell>
          <cell r="B2039" t="str">
            <v>CE7113</v>
          </cell>
          <cell r="C2039" t="str">
            <v>15-epi-lipoxin B5</v>
          </cell>
        </row>
        <row r="2040">
          <cell r="A2040" t="str">
            <v>CE7113_x</v>
          </cell>
          <cell r="B2040" t="str">
            <v>CE7113</v>
          </cell>
          <cell r="C2040" t="str">
            <v>15-epi-lipoxin B5</v>
          </cell>
        </row>
        <row r="2041">
          <cell r="A2041" t="str">
            <v>CN0009_c</v>
          </cell>
          <cell r="B2041" t="str">
            <v>CN0009</v>
          </cell>
          <cell r="C2041" t="str">
            <v>Benzo[a]pyrene-2,3-diol</v>
          </cell>
        </row>
        <row r="2042">
          <cell r="A2042" t="str">
            <v>CN0009_r</v>
          </cell>
          <cell r="B2042" t="str">
            <v>CN0009</v>
          </cell>
          <cell r="C2042" t="str">
            <v>Benzo[a]pyrene-2,3-diol</v>
          </cell>
        </row>
        <row r="2043">
          <cell r="A2043" t="str">
            <v>CN0009_x</v>
          </cell>
          <cell r="B2043" t="str">
            <v>CN0009</v>
          </cell>
          <cell r="C2043" t="str">
            <v>Benzo[a]pyrene-2,3-diol</v>
          </cell>
        </row>
        <row r="2044">
          <cell r="A2044" t="str">
            <v>CN0011_c</v>
          </cell>
          <cell r="B2044" t="str">
            <v>CN0011</v>
          </cell>
          <cell r="C2044" t="str">
            <v>Benzo[a]pyrene-9,10-diol</v>
          </cell>
        </row>
        <row r="2045">
          <cell r="A2045" t="str">
            <v>CN0011_r</v>
          </cell>
          <cell r="B2045" t="str">
            <v>CN0011</v>
          </cell>
          <cell r="C2045" t="str">
            <v>Benzo[a]pyrene-9,10-diol</v>
          </cell>
        </row>
        <row r="2046">
          <cell r="A2046" t="str">
            <v>CN0011_x</v>
          </cell>
          <cell r="B2046" t="str">
            <v>CN0011</v>
          </cell>
          <cell r="C2046" t="str">
            <v>Benzo[a]pyrene-9,10-diol</v>
          </cell>
        </row>
        <row r="2047">
          <cell r="A2047" t="str">
            <v>CN0012_c</v>
          </cell>
          <cell r="B2047" t="str">
            <v>CN0012</v>
          </cell>
          <cell r="C2047" t="str">
            <v>Benzo[a]pyrene-2,3-oxide</v>
          </cell>
        </row>
        <row r="2048">
          <cell r="A2048" t="str">
            <v>CN0012_r</v>
          </cell>
          <cell r="B2048" t="str">
            <v>CN0012</v>
          </cell>
          <cell r="C2048" t="str">
            <v>Benzo[a]pyrene-2,3-oxide</v>
          </cell>
        </row>
        <row r="2049">
          <cell r="A2049" t="str">
            <v>CN0012_x</v>
          </cell>
          <cell r="B2049" t="str">
            <v>CN0012</v>
          </cell>
          <cell r="C2049" t="str">
            <v>Benzo[a]pyrene-2,3-oxide</v>
          </cell>
        </row>
        <row r="2050">
          <cell r="A2050" t="str">
            <v>CN0017_c</v>
          </cell>
          <cell r="B2050" t="str">
            <v>CN0017</v>
          </cell>
          <cell r="C2050" t="str">
            <v>Dibenzo[a,l]pyrene-11,12-epoxide</v>
          </cell>
        </row>
        <row r="2051">
          <cell r="A2051" t="str">
            <v>CN0017_r</v>
          </cell>
          <cell r="B2051" t="str">
            <v>CN0017</v>
          </cell>
          <cell r="C2051" t="str">
            <v>Dibenzo[a,l]pyrene-11,12-epoxide</v>
          </cell>
        </row>
        <row r="2052">
          <cell r="A2052" t="str">
            <v>CN0017_x</v>
          </cell>
          <cell r="B2052" t="str">
            <v>CN0017</v>
          </cell>
          <cell r="C2052" t="str">
            <v>Dibenzo[a,l]pyrene-11,12-epoxide</v>
          </cell>
        </row>
        <row r="2053">
          <cell r="A2053" t="str">
            <v>CN0019_c</v>
          </cell>
          <cell r="B2053" t="str">
            <v>CN0019</v>
          </cell>
          <cell r="C2053" t="str">
            <v>Dibenzo[a,l]pyrene-11,12-diol-13,14-epoxide</v>
          </cell>
        </row>
        <row r="2054">
          <cell r="A2054" t="str">
            <v>CN0019_r</v>
          </cell>
          <cell r="B2054" t="str">
            <v>CN0019</v>
          </cell>
          <cell r="C2054" t="str">
            <v>Dibenzo[a,l]pyrene-11,12-diol-13,14-epoxide</v>
          </cell>
        </row>
        <row r="2055">
          <cell r="A2055" t="str">
            <v>CN0020_c</v>
          </cell>
          <cell r="B2055" t="str">
            <v>CN0020</v>
          </cell>
          <cell r="C2055" t="str">
            <v>7,12-Dimethylbenz[a]anthracene</v>
          </cell>
        </row>
        <row r="2056">
          <cell r="A2056" t="str">
            <v>CN0020_r</v>
          </cell>
          <cell r="B2056" t="str">
            <v>CN0020</v>
          </cell>
          <cell r="C2056" t="str">
            <v>7,12-Dimethylbenz[a]anthracene</v>
          </cell>
        </row>
        <row r="2057">
          <cell r="A2057" t="str">
            <v>HC00250_c</v>
          </cell>
          <cell r="B2057" t="str">
            <v>HC00250</v>
          </cell>
          <cell r="C2057" t="str">
            <v>Hydrosulfide</v>
          </cell>
        </row>
        <row r="2058">
          <cell r="A2058" t="str">
            <v>HC00319_m</v>
          </cell>
          <cell r="B2058" t="str">
            <v>HC00319</v>
          </cell>
          <cell r="C2058" t="str">
            <v>Malonate; propanedioate</v>
          </cell>
        </row>
        <row r="2059">
          <cell r="A2059" t="str">
            <v>HC00342_m</v>
          </cell>
          <cell r="B2059" t="str">
            <v>HC00342</v>
          </cell>
          <cell r="C2059" t="str">
            <v>Cis-aconitate(3-); (1Z)-prop-1-ene-1,2,3-tricarboxylat</v>
          </cell>
        </row>
        <row r="2060">
          <cell r="A2060" t="str">
            <v>HC00361_c</v>
          </cell>
          <cell r="B2060" t="str">
            <v>HC00361</v>
          </cell>
          <cell r="C2060" t="str">
            <v>Sedoheptulose 1,7-bisphosphate(4-)</v>
          </cell>
        </row>
        <row r="2061">
          <cell r="A2061" t="str">
            <v>HC00664_c</v>
          </cell>
          <cell r="B2061" t="str">
            <v>HC00664</v>
          </cell>
          <cell r="C2061" t="str">
            <v>D-tagatofuranose 6-phosphate(2-)</v>
          </cell>
        </row>
        <row r="2062">
          <cell r="A2062" t="str">
            <v>HC00695_m</v>
          </cell>
          <cell r="B2062" t="str">
            <v>HC00695</v>
          </cell>
          <cell r="C2062" t="str">
            <v>S-Succinyldihydrolipoamide</v>
          </cell>
        </row>
        <row r="2063">
          <cell r="A2063" t="str">
            <v>HC00900_c</v>
          </cell>
          <cell r="B2063" t="str">
            <v>HC00900</v>
          </cell>
          <cell r="C2063" t="str">
            <v>Methylmalonate</v>
          </cell>
        </row>
        <row r="2064">
          <cell r="A2064" t="str">
            <v>HC01104_e</v>
          </cell>
          <cell r="B2064" t="str">
            <v>HC01104</v>
          </cell>
          <cell r="C2064" t="str">
            <v>4-nitrophenyl phosphate(2-)</v>
          </cell>
        </row>
        <row r="2065">
          <cell r="A2065" t="str">
            <v>HC01161_c</v>
          </cell>
          <cell r="B2065" t="str">
            <v>HC01161</v>
          </cell>
          <cell r="C2065" t="str">
            <v>Apo-ACP</v>
          </cell>
        </row>
        <row r="2066">
          <cell r="A2066" t="str">
            <v>HC01254_c</v>
          </cell>
          <cell r="B2066" t="str">
            <v>HC01254</v>
          </cell>
          <cell r="C2066" t="str">
            <v>6-Lactoyl-5,6,7,8-tetrahydropterin</v>
          </cell>
        </row>
        <row r="2067">
          <cell r="A2067" t="str">
            <v>HC01361_e</v>
          </cell>
          <cell r="B2067" t="str">
            <v>HC01361</v>
          </cell>
          <cell r="C2067" t="str">
            <v>Dihydroneopterin</v>
          </cell>
        </row>
        <row r="2068">
          <cell r="A2068" t="str">
            <v>HC01376_m</v>
          </cell>
          <cell r="B2068" t="str">
            <v>HC01376</v>
          </cell>
          <cell r="C2068" t="str">
            <v>S-(2-Methylbutanoyl)-dihydrolipoamide</v>
          </cell>
        </row>
        <row r="2069">
          <cell r="A2069" t="str">
            <v>HC01377_m</v>
          </cell>
          <cell r="B2069" t="str">
            <v>HC01377</v>
          </cell>
          <cell r="C2069" t="str">
            <v>S-(3-Methylbutanoyl)-dihydrolipoamide</v>
          </cell>
        </row>
        <row r="2070">
          <cell r="A2070" t="str">
            <v>HC01446_e</v>
          </cell>
          <cell r="B2070" t="str">
            <v>HC01446</v>
          </cell>
          <cell r="C2070" t="str">
            <v>3-Ketolactose</v>
          </cell>
        </row>
        <row r="2071">
          <cell r="A2071" t="str">
            <v>HC01577_e</v>
          </cell>
          <cell r="B2071" t="str">
            <v>HC01577</v>
          </cell>
          <cell r="C2071" t="str">
            <v>Gamma-Glutamyl-beta-cyanoalanine</v>
          </cell>
        </row>
        <row r="2072">
          <cell r="A2072" t="str">
            <v>HC01668_c</v>
          </cell>
          <cell r="B2072" t="str">
            <v>HC01668</v>
          </cell>
          <cell r="C2072" t="str">
            <v>Propinol adenylate</v>
          </cell>
        </row>
        <row r="2073">
          <cell r="A2073" t="str">
            <v>HC01712_m</v>
          </cell>
          <cell r="B2073" t="str">
            <v>HC01712</v>
          </cell>
          <cell r="C2073" t="str">
            <v>S-Glutaryldihydrolipoamide</v>
          </cell>
        </row>
        <row r="2074">
          <cell r="A2074" t="str">
            <v>HC01842_c</v>
          </cell>
          <cell r="B2074" t="str">
            <v>HC01842</v>
          </cell>
          <cell r="C2074" t="str">
            <v>Phosphodimethylethanolamine</v>
          </cell>
        </row>
        <row r="2075">
          <cell r="A2075" t="str">
            <v>HC02020_l</v>
          </cell>
          <cell r="B2075" t="str">
            <v>HC02020</v>
          </cell>
          <cell r="C2075" t="str">
            <v>Cholesterol-ester-palm</v>
          </cell>
        </row>
        <row r="2076">
          <cell r="A2076" t="str">
            <v>HC02021_r</v>
          </cell>
          <cell r="B2076" t="str">
            <v>HC02021</v>
          </cell>
          <cell r="C2076" t="str">
            <v>Cholesterol-ester-palmn</v>
          </cell>
        </row>
        <row r="2077">
          <cell r="A2077" t="str">
            <v>HC02023_r</v>
          </cell>
          <cell r="B2077" t="str">
            <v>HC02023</v>
          </cell>
          <cell r="C2077" t="str">
            <v>Cholesterol-ester-ol</v>
          </cell>
        </row>
        <row r="2078">
          <cell r="A2078" t="str">
            <v>HC02024_l</v>
          </cell>
          <cell r="B2078" t="str">
            <v>HC02024</v>
          </cell>
          <cell r="C2078" t="str">
            <v>Cholesterol-ester-lin</v>
          </cell>
        </row>
        <row r="2079">
          <cell r="A2079" t="str">
            <v>HC02026_r</v>
          </cell>
          <cell r="B2079" t="str">
            <v>HC02026</v>
          </cell>
          <cell r="C2079" t="str">
            <v>Cholesterol-ester-gla</v>
          </cell>
        </row>
        <row r="2080">
          <cell r="A2080" t="str">
            <v>HC02027_r</v>
          </cell>
          <cell r="B2080" t="str">
            <v>HC02027</v>
          </cell>
          <cell r="C2080" t="str">
            <v>Cholesterol-ester-arach</v>
          </cell>
        </row>
        <row r="2081">
          <cell r="A2081" t="str">
            <v>HC02112_m</v>
          </cell>
          <cell r="B2081" t="str">
            <v>HC02112</v>
          </cell>
          <cell r="C2081" t="str">
            <v>NADH-redox-potential</v>
          </cell>
        </row>
        <row r="2082">
          <cell r="A2082" t="str">
            <v>HC02136_c</v>
          </cell>
          <cell r="B2082" t="str">
            <v>HC02136</v>
          </cell>
          <cell r="C2082" t="str">
            <v>Glycogenin-G7G1</v>
          </cell>
        </row>
        <row r="2083">
          <cell r="A2083" t="str">
            <v>HC02161_e</v>
          </cell>
          <cell r="B2083" t="str">
            <v>HC02161</v>
          </cell>
          <cell r="C2083" t="str">
            <v>GM1-pool</v>
          </cell>
        </row>
        <row r="2084">
          <cell r="A2084" t="str">
            <v>HC02172_c</v>
          </cell>
          <cell r="B2084" t="str">
            <v>HC02172</v>
          </cell>
          <cell r="C2084" t="str">
            <v>Zinc</v>
          </cell>
        </row>
        <row r="2085">
          <cell r="A2085" t="str">
            <v>HC02195_c</v>
          </cell>
          <cell r="B2085" t="str">
            <v>HC02195</v>
          </cell>
          <cell r="C2085" t="str">
            <v>Tauroursodeoxycholate</v>
          </cell>
        </row>
        <row r="2086">
          <cell r="A2086" t="str">
            <v>HC02196_c</v>
          </cell>
          <cell r="B2086" t="str">
            <v>HC02196</v>
          </cell>
          <cell r="C2086" t="str">
            <v>Glycoursodeoxycholate</v>
          </cell>
        </row>
        <row r="2087">
          <cell r="A2087" t="str">
            <v>HC02197_c</v>
          </cell>
          <cell r="B2087" t="str">
            <v>HC02197</v>
          </cell>
          <cell r="C2087" t="str">
            <v>Sulfoglycolithocholate(2-)</v>
          </cell>
        </row>
        <row r="2088">
          <cell r="A2088" t="str">
            <v>HC02201_c</v>
          </cell>
          <cell r="B2088" t="str">
            <v>HC02201</v>
          </cell>
          <cell r="C2088" t="str">
            <v>S-glutathionyl-ethacrynic-acid</v>
          </cell>
        </row>
        <row r="2089">
          <cell r="A2089" t="str">
            <v>HC02203_m</v>
          </cell>
          <cell r="B2089" t="str">
            <v>HC02203</v>
          </cell>
          <cell r="C2089" t="str">
            <v>Prostaglandin A2</v>
          </cell>
        </row>
        <row r="2090">
          <cell r="A2090" t="str">
            <v>HC02205_e</v>
          </cell>
          <cell r="B2090" t="str">
            <v>HC02205</v>
          </cell>
          <cell r="C2090" t="str">
            <v>Prostaglandin-b2</v>
          </cell>
        </row>
        <row r="2091">
          <cell r="A2091" t="str">
            <v>HC02206_c</v>
          </cell>
          <cell r="B2091" t="str">
            <v>HC02206</v>
          </cell>
          <cell r="C2091" t="str">
            <v>Prostaglandin C1(1-)</v>
          </cell>
        </row>
        <row r="2092">
          <cell r="A2092" t="str">
            <v>HC02213_e</v>
          </cell>
          <cell r="B2092" t="str">
            <v>HC02213</v>
          </cell>
          <cell r="C2092" t="str">
            <v>Prostaglandin E3</v>
          </cell>
        </row>
        <row r="2093">
          <cell r="A2093" t="str">
            <v>HC02214_e</v>
          </cell>
          <cell r="B2093" t="str">
            <v>HC02214</v>
          </cell>
          <cell r="C2093" t="str">
            <v>Prostaglandin-f1alpha</v>
          </cell>
        </row>
        <row r="2094">
          <cell r="A2094" t="str">
            <v>HC02217_e</v>
          </cell>
          <cell r="B2094" t="str">
            <v>HC02217</v>
          </cell>
          <cell r="C2094" t="str">
            <v>Prostaglandin-g2</v>
          </cell>
        </row>
        <row r="2095">
          <cell r="A2095" t="str">
            <v>HC02220_c</v>
          </cell>
          <cell r="B2095" t="str">
            <v>HC02220</v>
          </cell>
          <cell r="C2095" t="str">
            <v>Sulfochenodeoxycholate</v>
          </cell>
        </row>
        <row r="2096">
          <cell r="A2096" t="str">
            <v>R2coa_cho_c</v>
          </cell>
          <cell r="B2096" t="str">
            <v>R2coa_cho</v>
          </cell>
          <cell r="C2096" t="str">
            <v>R group 2 Coenzyme A</v>
          </cell>
        </row>
        <row r="2097">
          <cell r="A2097" t="str">
            <v>R2coa_cho_r</v>
          </cell>
          <cell r="B2097" t="str">
            <v>R2coa_cho</v>
          </cell>
          <cell r="C2097" t="str">
            <v>R group 2 Coenzyme A</v>
          </cell>
        </row>
        <row r="2098">
          <cell r="A2098" t="str">
            <v>R3coa_cho_c</v>
          </cell>
          <cell r="B2098" t="str">
            <v>R3coa_cho</v>
          </cell>
          <cell r="C2098" t="str">
            <v>R group 3 Coenzyme A</v>
          </cell>
        </row>
        <row r="2099">
          <cell r="A2099" t="str">
            <v>R4coa_cho_c</v>
          </cell>
          <cell r="B2099" t="str">
            <v>R4coa_cho</v>
          </cell>
          <cell r="C2099" t="str">
            <v>R group 4 Coenzyme A</v>
          </cell>
        </row>
        <row r="2100">
          <cell r="A2100" t="str">
            <v>R5coa_cho_c</v>
          </cell>
          <cell r="B2100" t="str">
            <v>R5coa_cho</v>
          </cell>
          <cell r="C2100" t="str">
            <v>R group 5 Coenzyme A</v>
          </cell>
        </row>
        <row r="2101">
          <cell r="A2101" t="str">
            <v>acgagbside_cho_g</v>
          </cell>
          <cell r="B2101" t="str">
            <v>acgagbside_cho</v>
          </cell>
          <cell r="C2101" t="str">
            <v>Alpha GalNAc globoside</v>
          </cell>
        </row>
        <row r="2102">
          <cell r="A2102" t="str">
            <v>acgalfucgalacgalfuc12gal14acglcgalgluside_cho_c</v>
          </cell>
          <cell r="B2102" t="str">
            <v>acgalfucgalacgalfuc12gal14acglcgalgluside_cho</v>
          </cell>
          <cell r="C2102" t="str">
            <v>Type IIIA glycolipid</v>
          </cell>
        </row>
        <row r="2103">
          <cell r="A2103" t="str">
            <v>acgalfucgalacgalfucgalacglcgal14acglcgalgluside_cho_c</v>
          </cell>
          <cell r="B2103" t="str">
            <v>acgalfucgalacgalfucgalacglcgal14acglcgalgluside_cho</v>
          </cell>
          <cell r="C2103" t="str">
            <v>Type IIIAb</v>
          </cell>
        </row>
        <row r="2104">
          <cell r="A2104" t="str">
            <v>acglc13galacglcgal14acglcgalgluside_cho_g</v>
          </cell>
          <cell r="B2104" t="str">
            <v>acglc13galacglcgal14acglcgalgluside_cho</v>
          </cell>
          <cell r="C2104" t="str">
            <v>NLc7Cer</v>
          </cell>
        </row>
        <row r="2105">
          <cell r="A2105" t="str">
            <v>acglcgal14acglcgalgluside_cho_g</v>
          </cell>
          <cell r="B2105" t="str">
            <v>acglcgal14acglcgalgluside_cho</v>
          </cell>
          <cell r="C2105" t="str">
            <v>NLc5Cer</v>
          </cell>
        </row>
        <row r="2106">
          <cell r="A2106" t="str">
            <v>acglcgalacglcgal14acglcgalgluside_cho_g</v>
          </cell>
          <cell r="B2106" t="str">
            <v>acglcgalacglcgal14acglcgalgluside_cho</v>
          </cell>
          <cell r="C2106" t="str">
            <v>(Gal)3 (Glc)1 (GlcNAc)3 (Cer)1</v>
          </cell>
        </row>
        <row r="2107">
          <cell r="A2107" t="str">
            <v>acglcgalgbside_cho_g</v>
          </cell>
          <cell r="B2107" t="str">
            <v>acglcgalgbside_cho</v>
          </cell>
          <cell r="C2107" t="str">
            <v>GlcNAc-Gal globoside</v>
          </cell>
        </row>
        <row r="2108">
          <cell r="A2108" t="str">
            <v>acglcgalgluside_cho_g</v>
          </cell>
          <cell r="B2108" t="str">
            <v>acglcgalgluside_cho</v>
          </cell>
          <cell r="C2108" t="str">
            <v>N-acetyl-beta-D-glucosaminyl-(1-&gt;3)-beta-D-galactosyl-(1-&gt;4)-beta-D-glucosylceramide</v>
          </cell>
        </row>
        <row r="2109">
          <cell r="A2109" t="str">
            <v>acn13acngalgbside_cho_c</v>
          </cell>
          <cell r="B2109" t="str">
            <v>acn13acngalgbside_cho</v>
          </cell>
          <cell r="C2109" t="str">
            <v>Sialyl (1,3) sialyl (2,6) galactosylgloboside</v>
          </cell>
        </row>
        <row r="2110">
          <cell r="A2110" t="str">
            <v>acnacngal14acglcgalgluside_cho_c</v>
          </cell>
          <cell r="B2110" t="str">
            <v>acnacngal14acglcgalgluside_cho</v>
          </cell>
          <cell r="C2110" t="str">
            <v>3',8'-LD1</v>
          </cell>
        </row>
        <row r="2111">
          <cell r="A2111" t="str">
            <v>acnacngalgbside_cho_c</v>
          </cell>
          <cell r="B2111" t="str">
            <v>acnacngalgbside_cho</v>
          </cell>
          <cell r="C2111" t="str">
            <v>Disialyl galactosylgloboside</v>
          </cell>
        </row>
        <row r="2112">
          <cell r="A2112" t="str">
            <v>adn_n</v>
          </cell>
          <cell r="B2112" t="str">
            <v>adn</v>
          </cell>
          <cell r="C2112" t="str">
            <v>Adenosine</v>
          </cell>
        </row>
        <row r="2113">
          <cell r="A2113" t="str">
            <v>arach_m</v>
          </cell>
          <cell r="B2113" t="str">
            <v>arach</v>
          </cell>
          <cell r="C2113" t="str">
            <v>Arachidic acid</v>
          </cell>
        </row>
        <row r="2114">
          <cell r="A2114" t="str">
            <v>arachdcrn_r</v>
          </cell>
          <cell r="B2114" t="str">
            <v>arachdcrn</v>
          </cell>
          <cell r="C2114" t="str">
            <v>C20:4 carnitine</v>
          </cell>
        </row>
        <row r="2115">
          <cell r="A2115" t="str">
            <v>arachdcrn_x</v>
          </cell>
          <cell r="B2115" t="str">
            <v>arachdcrn</v>
          </cell>
          <cell r="C2115" t="str">
            <v>C20:4 carnitine</v>
          </cell>
        </row>
        <row r="2116">
          <cell r="A2116" t="str">
            <v>bglc_e</v>
          </cell>
          <cell r="B2116" t="str">
            <v>bglc</v>
          </cell>
          <cell r="C2116" t="str">
            <v>Beta-glucans</v>
          </cell>
        </row>
        <row r="2117">
          <cell r="A2117" t="str">
            <v>c102_4Z_7Zcoa_m</v>
          </cell>
          <cell r="B2117" t="str">
            <v>c102_4Z_7Zcoa</v>
          </cell>
          <cell r="C2117" t="str">
            <v>C10:2 fatty acyl-coa, derived from C18:3</v>
          </cell>
        </row>
        <row r="2118">
          <cell r="A2118" t="str">
            <v>c121_3Ecoa_m</v>
          </cell>
          <cell r="B2118" t="str">
            <v>c121_3Ecoa</v>
          </cell>
          <cell r="C2118" t="str">
            <v>C12:1 fatty acyl-coa, derived from C18:1</v>
          </cell>
        </row>
        <row r="2119">
          <cell r="A2119" t="str">
            <v>c121_5Ecoa_m</v>
          </cell>
          <cell r="B2119" t="str">
            <v>c121_5Ecoa</v>
          </cell>
          <cell r="C2119" t="str">
            <v>C12:1 fatty acyl-coa, derived from C18:1</v>
          </cell>
        </row>
        <row r="2120">
          <cell r="A2120" t="str">
            <v>c123_3Z_6Z_9Zcoa_x</v>
          </cell>
          <cell r="B2120" t="str">
            <v>c123_3Z_6Z_9Zcoa</v>
          </cell>
          <cell r="C2120" t="str">
            <v>C12:3 fatty acyl-coa, derived from C18:3</v>
          </cell>
        </row>
        <row r="2121">
          <cell r="A2121" t="str">
            <v>c142_5Z_8Zcoa_x</v>
          </cell>
          <cell r="B2121" t="str">
            <v>c142_5Z_8Zcoa</v>
          </cell>
          <cell r="C2121" t="str">
            <v>C14:2 fatty acyl-coa, derived from C18:3</v>
          </cell>
        </row>
        <row r="2122">
          <cell r="A2122" t="str">
            <v>c143_5Z_8Z_11Zcoa_x</v>
          </cell>
          <cell r="B2122" t="str">
            <v>c143_5Z_8Z_11Zcoa</v>
          </cell>
          <cell r="C2122" t="str">
            <v>C14:3 fatty acyl-coa, derived from C18:3</v>
          </cell>
        </row>
        <row r="2123">
          <cell r="A2123" t="str">
            <v>c161_7Ecoa_m</v>
          </cell>
          <cell r="B2123" t="str">
            <v>c161_7Ecoa</v>
          </cell>
          <cell r="C2123" t="str">
            <v>C16:1 fatty acyl-coa, derived from C18:1</v>
          </cell>
        </row>
        <row r="2124">
          <cell r="A2124" t="str">
            <v>c164_4Z_7Z_10Z_13Zcoa_m</v>
          </cell>
          <cell r="B2124" t="str">
            <v>c164_4Z_7Z_10Z_13Zcoa</v>
          </cell>
          <cell r="C2124" t="str">
            <v>C16:4 fatty acyl-coa, derived from C18:4</v>
          </cell>
        </row>
        <row r="2125">
          <cell r="A2125" t="str">
            <v>c184_3Z_6Z_9Z_12Zcoa_x</v>
          </cell>
          <cell r="B2125" t="str">
            <v>c184_3Z_6Z_9Z_12Zcoa</v>
          </cell>
          <cell r="C2125" t="str">
            <v>C18:4 fatty acyl-coa</v>
          </cell>
        </row>
        <row r="2126">
          <cell r="A2126" t="str">
            <v>c50coa_m</v>
          </cell>
          <cell r="B2126" t="str">
            <v>c50coa</v>
          </cell>
          <cell r="C2126" t="str">
            <v>C5:0 fatty acyl-coa</v>
          </cell>
        </row>
        <row r="2127">
          <cell r="A2127" t="str">
            <v>c6dc_e</v>
          </cell>
          <cell r="B2127" t="str">
            <v>c6dc</v>
          </cell>
          <cell r="C2127" t="str">
            <v>Adipoyl carnitine; 5-Carboxypentanoyl carnitine</v>
          </cell>
        </row>
        <row r="2128">
          <cell r="A2128" t="str">
            <v>c81_5Zcrn_m</v>
          </cell>
          <cell r="B2128" t="str">
            <v>c81_5Zcrn</v>
          </cell>
          <cell r="C2128" t="str">
            <v>C8:1fatty acyl-carnitine, derived from C18:3</v>
          </cell>
        </row>
        <row r="2129">
          <cell r="A2129" t="str">
            <v>c81_c184crn_m</v>
          </cell>
          <cell r="B2129" t="str">
            <v>c81_c184crn</v>
          </cell>
          <cell r="C2129" t="str">
            <v>C8:1fatty acyl-carnitine, derived from C18:4</v>
          </cell>
        </row>
        <row r="2130">
          <cell r="A2130" t="str">
            <v>c8crn_e</v>
          </cell>
          <cell r="B2130" t="str">
            <v>c8crn</v>
          </cell>
          <cell r="C2130" t="str">
            <v>Octanoyl carnitine</v>
          </cell>
        </row>
        <row r="2131">
          <cell r="A2131" t="str">
            <v>cdpdag_cho_m</v>
          </cell>
          <cell r="B2131" t="str">
            <v>cdpdag_cho</v>
          </cell>
          <cell r="C2131" t="str">
            <v>CDP-diacylglycerol(2-)</v>
          </cell>
        </row>
        <row r="2132">
          <cell r="A2132" t="str">
            <v>cholcoa_c</v>
          </cell>
          <cell r="B2132" t="str">
            <v>cholcoa</v>
          </cell>
          <cell r="C2132" t="str">
            <v>Choloyl-CoA(4-)</v>
          </cell>
        </row>
        <row r="2133">
          <cell r="A2133" t="str">
            <v>cholcoa_r</v>
          </cell>
          <cell r="B2133" t="str">
            <v>cholcoa</v>
          </cell>
          <cell r="C2133" t="str">
            <v>Choloyl-CoA(4-)</v>
          </cell>
        </row>
        <row r="2134">
          <cell r="A2134" t="str">
            <v>cholcoaone_c</v>
          </cell>
          <cell r="B2134" t="str">
            <v>cholcoaone</v>
          </cell>
          <cell r="C2134" t="str">
            <v>3alpha,7alpha,12alpha-Trihydroxy-5beta-24-oxocholestanoyl-CoA</v>
          </cell>
        </row>
        <row r="2135">
          <cell r="A2135" t="str">
            <v>co2_l</v>
          </cell>
          <cell r="B2135" t="str">
            <v>co2</v>
          </cell>
          <cell r="C2135" t="str">
            <v>CO2 CO2</v>
          </cell>
        </row>
        <row r="2136">
          <cell r="A2136" t="str">
            <v>cpppg1_e</v>
          </cell>
          <cell r="B2136" t="str">
            <v>cpppg1</v>
          </cell>
          <cell r="C2136" t="str">
            <v>Coproporphyrinogen I</v>
          </cell>
        </row>
        <row r="2137">
          <cell r="A2137" t="str">
            <v>crm_cho_e</v>
          </cell>
          <cell r="B2137" t="str">
            <v>crm_cho</v>
          </cell>
          <cell r="C2137" t="str">
            <v>N-acylsphingosine</v>
          </cell>
        </row>
        <row r="2138">
          <cell r="A2138" t="str">
            <v>crmp_cho_c</v>
          </cell>
          <cell r="B2138" t="str">
            <v>crmp_cho</v>
          </cell>
          <cell r="C2138" t="str">
            <v>Ceramide 1-phosphate(2-)</v>
          </cell>
        </row>
        <row r="2139">
          <cell r="A2139" t="str">
            <v>cs_cho_linkage_g</v>
          </cell>
          <cell r="B2139" t="str">
            <v>cs_cho_linkage</v>
          </cell>
          <cell r="C2139" t="str">
            <v>Chondroitin sulfate/heparan sulfate linkage region (GlcA-(Gal)2-Xyl-L-Ser (protein))</v>
          </cell>
        </row>
        <row r="2140">
          <cell r="A2140" t="str">
            <v>ctp_e</v>
          </cell>
          <cell r="B2140" t="str">
            <v>ctp</v>
          </cell>
          <cell r="C2140" t="str">
            <v>CTP C9H12N3O14P3</v>
          </cell>
        </row>
        <row r="2141">
          <cell r="A2141" t="str">
            <v>dad_2_n</v>
          </cell>
          <cell r="B2141" t="str">
            <v>dad_2</v>
          </cell>
          <cell r="C2141" t="str">
            <v>Deoxyadenosine</v>
          </cell>
        </row>
        <row r="2142">
          <cell r="A2142" t="str">
            <v>dag_cho_n</v>
          </cell>
          <cell r="B2142" t="str">
            <v>dag_cho</v>
          </cell>
          <cell r="C2142" t="str">
            <v>Diglyceride</v>
          </cell>
        </row>
        <row r="2143">
          <cell r="A2143" t="str">
            <v>dak2gpe_cho_c</v>
          </cell>
          <cell r="B2143" t="str">
            <v>dak2gpe_cho</v>
          </cell>
          <cell r="C2143" t="str">
            <v>1-alkenyl 2-acylglycerol 3-phosphoethanolamine plasmalogen</v>
          </cell>
        </row>
        <row r="2144">
          <cell r="A2144" t="str">
            <v>damp_n</v>
          </cell>
          <cell r="B2144" t="str">
            <v>damp</v>
          </cell>
          <cell r="C2144" t="str">
            <v>DAMP C10H12N5O6P</v>
          </cell>
        </row>
        <row r="2145">
          <cell r="A2145" t="str">
            <v>dchac_e</v>
          </cell>
          <cell r="B2145" t="str">
            <v>dchac</v>
          </cell>
          <cell r="C2145" t="str">
            <v>Deoxycholate</v>
          </cell>
        </row>
        <row r="2146">
          <cell r="A2146" t="str">
            <v>dcholcoa_m</v>
          </cell>
          <cell r="B2146" t="str">
            <v>dcholcoa</v>
          </cell>
          <cell r="C2146" t="str">
            <v>Chenodeoxycholoyl coenzyme a</v>
          </cell>
        </row>
        <row r="2147">
          <cell r="A2147" t="str">
            <v>dedolp_c</v>
          </cell>
          <cell r="B2147" t="str">
            <v>dedolp</v>
          </cell>
          <cell r="C2147" t="str">
            <v>Dehydrodolichol phosphate</v>
          </cell>
        </row>
        <row r="2148">
          <cell r="A2148" t="str">
            <v>dhnpthld_c</v>
          </cell>
          <cell r="B2148" t="str">
            <v>dhnpthld</v>
          </cell>
          <cell r="C2148" t="str">
            <v>1,2-Dihydronaphthalene-1,2-diol</v>
          </cell>
        </row>
        <row r="2149">
          <cell r="A2149" t="str">
            <v>digalsgalside_cho_c</v>
          </cell>
          <cell r="B2149" t="str">
            <v>digalsgalside_cho</v>
          </cell>
          <cell r="C2149" t="str">
            <v>Digalactosylceramidesulfate</v>
          </cell>
        </row>
        <row r="2150">
          <cell r="A2150" t="str">
            <v>dlnlcg_r</v>
          </cell>
          <cell r="B2150" t="str">
            <v>dlnlcg</v>
          </cell>
          <cell r="C2150" t="str">
            <v>Dihomo-gamma-linolenic acid (n-6)</v>
          </cell>
        </row>
        <row r="2151">
          <cell r="A2151" t="str">
            <v>doco13ac_c</v>
          </cell>
          <cell r="B2151" t="str">
            <v>doco13ac</v>
          </cell>
          <cell r="C2151" t="str">
            <v>13Z)-13-docosenoic acid</v>
          </cell>
        </row>
        <row r="2152">
          <cell r="A2152" t="str">
            <v>docosac_m</v>
          </cell>
          <cell r="B2152" t="str">
            <v>docosac</v>
          </cell>
          <cell r="C2152" t="str">
            <v>Behenate, Docosanoate</v>
          </cell>
        </row>
        <row r="2153">
          <cell r="A2153" t="str">
            <v>docoscoa_n</v>
          </cell>
          <cell r="B2153" t="str">
            <v>docoscoa</v>
          </cell>
          <cell r="C2153" t="str">
            <v>Docosanoyl Coenzyme A</v>
          </cell>
        </row>
        <row r="2154">
          <cell r="A2154" t="str">
            <v>doldp_r</v>
          </cell>
          <cell r="B2154" t="str">
            <v>doldp</v>
          </cell>
          <cell r="C2154" t="str">
            <v>Dolichyl diphosphate</v>
          </cell>
        </row>
        <row r="2155">
          <cell r="A2155" t="str">
            <v>dopaqn_x</v>
          </cell>
          <cell r="B2155" t="str">
            <v>dopaqn</v>
          </cell>
          <cell r="C2155" t="str">
            <v>L-dopaquinone</v>
          </cell>
        </row>
        <row r="2156">
          <cell r="A2156" t="str">
            <v>em2emgacpail_prot_cho_r</v>
          </cell>
          <cell r="B2156" t="str">
            <v>em2emgacpail_prot_cho</v>
          </cell>
          <cell r="C2156" t="str">
            <v>(phosphoethanolaminyl-dimannosyl),(phosphoethanolaminyl)-mannosyl-glucosaminyl-acylphosphatidylinositol</v>
          </cell>
        </row>
        <row r="2157">
          <cell r="A2157" t="str">
            <v>emem2gacpail_cho_r</v>
          </cell>
          <cell r="B2157" t="str">
            <v>emem2gacpail_cho</v>
          </cell>
          <cell r="C2157" t="str">
            <v>(phosphoethanolaminyl-mannosyl),(phosphoethanolaminyl)-dimannosyl-glucosaminyl-acylphosphatidylinositol (H7')</v>
          </cell>
        </row>
        <row r="2158">
          <cell r="A2158" t="str">
            <v>emgacpail_cho_r</v>
          </cell>
          <cell r="B2158" t="str">
            <v>emgacpail_cho</v>
          </cell>
          <cell r="C2158" t="str">
            <v>Phosphoethanolaminyl-mannosyl-glucosylaminyl-acylphosphatidylinositol (H5)</v>
          </cell>
        </row>
        <row r="2159">
          <cell r="A2159" t="str">
            <v>epoIm_r</v>
          </cell>
          <cell r="B2159" t="str">
            <v>epoIm</v>
          </cell>
          <cell r="C2159" t="str">
            <v>EpoIm[r]</v>
          </cell>
        </row>
        <row r="2160">
          <cell r="A2160" t="str">
            <v>fnm4masn_g</v>
          </cell>
          <cell r="B2160" t="str">
            <v>fnm4masn</v>
          </cell>
          <cell r="C2160" t="str">
            <v>Fnm4masn[g]</v>
          </cell>
        </row>
        <row r="2161">
          <cell r="A2161" t="str">
            <v>fuc12gal14acglcgalgluside_cho_g</v>
          </cell>
          <cell r="B2161" t="str">
            <v>fuc12gal14acglcgalgluside_cho</v>
          </cell>
          <cell r="C2161" t="str">
            <v>Type IIH glycolipid</v>
          </cell>
        </row>
        <row r="2162">
          <cell r="A2162" t="str">
            <v>fuc13galacglcgal14acglcgalgluside_cho_e</v>
          </cell>
          <cell r="B2162" t="str">
            <v>fuc13galacglcgal14acglcgalgluside_cho</v>
          </cell>
          <cell r="C2162" t="str">
            <v>III3Fuc-nLc6Cer</v>
          </cell>
        </row>
        <row r="2163">
          <cell r="A2163" t="str">
            <v>fuc14galacglcgalgluside_cho_e</v>
          </cell>
          <cell r="B2163" t="str">
            <v>fuc14galacglcgalgluside_cho</v>
          </cell>
          <cell r="C2163" t="str">
            <v>Lea glycolipid</v>
          </cell>
        </row>
        <row r="2164">
          <cell r="A2164" t="str">
            <v>fucacgalfucgalacglcgalgluside_cho_e</v>
          </cell>
          <cell r="B2164" t="str">
            <v>fucacgalfucgalacglcgalgluside_cho</v>
          </cell>
          <cell r="C2164" t="str">
            <v>(Gal)2 (GalNAc)1 (Glc)1 (GlcNAc)1 (LFuc)2 (Cer)1</v>
          </cell>
        </row>
        <row r="2165">
          <cell r="A2165" t="str">
            <v>fucacngal14acglcgalgluside_cho_c</v>
          </cell>
          <cell r="B2165" t="str">
            <v>fucacngal14acglcgalgluside_cho</v>
          </cell>
          <cell r="C2165" t="str">
            <v>IV3-a-NeuAc,III3-a-Fuc-nLc4Cer</v>
          </cell>
        </row>
        <row r="2166">
          <cell r="A2166" t="str">
            <v>fucacngalacglcgalgluside_cho_e</v>
          </cell>
          <cell r="B2166" t="str">
            <v>fucacngalacglcgalgluside_cho</v>
          </cell>
          <cell r="C2166" t="str">
            <v>IV3-a-Neu5Ac,III4-a-Fuc-Lc4Cer</v>
          </cell>
        </row>
        <row r="2167">
          <cell r="A2167" t="str">
            <v>fucfuc12gal14acglcgalgluside_cho_c</v>
          </cell>
          <cell r="B2167" t="str">
            <v>fucfuc12gal14acglcgalgluside_cho</v>
          </cell>
          <cell r="C2167" t="str">
            <v>Ley glycolipid</v>
          </cell>
        </row>
        <row r="2168">
          <cell r="A2168" t="str">
            <v>fucfucfucgalacglc13galacglcgal14acglcgalgluside_cho_e</v>
          </cell>
          <cell r="B2168" t="str">
            <v>fucfucfucgalacglc13galacglcgal14acglcgalgluside_cho</v>
          </cell>
          <cell r="C2168" t="str">
            <v>(Gal)4 (Glc)1 (GlcNAc)3 (LFuc)3 (Cer)1</v>
          </cell>
        </row>
        <row r="2169">
          <cell r="A2169" t="str">
            <v>fucfucfucgalacglcgal14acglcgalgluside_cho_g</v>
          </cell>
          <cell r="B2169" t="str">
            <v>fucfucfucgalacglcgal14acglcgalgluside_cho</v>
          </cell>
          <cell r="C2169" t="str">
            <v>(Gal)3 (Glc)1 (GlcNAc)2 (LFuc)3 (Cer)1</v>
          </cell>
        </row>
        <row r="2170">
          <cell r="A2170" t="str">
            <v>fucfucgalacglcgal14acglcgalgluside_cho_g</v>
          </cell>
          <cell r="B2170" t="str">
            <v>fucfucgalacglcgal14acglcgalgluside_cho</v>
          </cell>
          <cell r="C2170" t="str">
            <v>(Gal)3 (Glc)1 (GlcNAc)2 (LFuc)2 (Cer)1</v>
          </cell>
        </row>
        <row r="2171">
          <cell r="A2171" t="str">
            <v>fucfucgalacglcgalgluside_cho_c</v>
          </cell>
          <cell r="B2171" t="str">
            <v>fucfucgalacglcgalgluside_cho</v>
          </cell>
          <cell r="C2171" t="str">
            <v>Leb glycolipid</v>
          </cell>
        </row>
        <row r="2172">
          <cell r="A2172" t="str">
            <v>fucgal14acglcgalgluside_cho_e</v>
          </cell>
          <cell r="B2172" t="str">
            <v>fucgal14acglcgalgluside_cho</v>
          </cell>
          <cell r="C2172" t="str">
            <v>Lacto-N-fucopentaosyl III ceramide</v>
          </cell>
        </row>
        <row r="2173">
          <cell r="A2173" t="str">
            <v>fucgalacglcgal14acglcgalgluside_cho_g</v>
          </cell>
          <cell r="B2173" t="str">
            <v>fucgalacglcgal14acglcgalgluside_cho</v>
          </cell>
          <cell r="C2173" t="str">
            <v>VI2Fuc-nLc6</v>
          </cell>
        </row>
        <row r="2174">
          <cell r="A2174" t="str">
            <v>fucgalfucgalacglcgalgluside_cho_c</v>
          </cell>
          <cell r="B2174" t="str">
            <v>fucgalfucgalacglcgalgluside_cho</v>
          </cell>
          <cell r="C2174" t="str">
            <v>(Gal)3 (Glc)1 (GlcNAc)1 (LFuc)2 (Cer)1</v>
          </cell>
        </row>
        <row r="2175">
          <cell r="A2175" t="str">
            <v>fucgalgbside_cho_c</v>
          </cell>
          <cell r="B2175" t="str">
            <v>fucgalgbside_cho</v>
          </cell>
          <cell r="C2175" t="str">
            <v>Fucosyl galactosylgloboside</v>
          </cell>
        </row>
        <row r="2176">
          <cell r="A2176" t="str">
            <v>g1m8mpdol_r</v>
          </cell>
          <cell r="B2176" t="str">
            <v>g1m8mpdol</v>
          </cell>
          <cell r="C2176" t="str">
            <v>Alpha-D-Glucosyl-(alpha-D-mannosyl)8-beta-D-mannosyl-diacetylchitobiosyldiphosphodolichol</v>
          </cell>
        </row>
        <row r="2177">
          <cell r="A2177" t="str">
            <v>ga1_cho_g</v>
          </cell>
          <cell r="B2177" t="str">
            <v>ga1_cho</v>
          </cell>
          <cell r="C2177" t="str">
            <v>Gibberellin A1(1-)</v>
          </cell>
        </row>
        <row r="2178">
          <cell r="A2178" t="str">
            <v>galacgalfuc12gal14acglcgalgluside_cho_g</v>
          </cell>
          <cell r="B2178" t="str">
            <v>galacgalfuc12gal14acglcgalgluside_cho</v>
          </cell>
          <cell r="C2178" t="str">
            <v>(Gal)3 (GalNAc)1 (Glc)1 (GlcNAc)1 (LFuc)1 (Cer)1</v>
          </cell>
        </row>
        <row r="2179">
          <cell r="A2179" t="str">
            <v>galacgalfucgalacglcgal14acglcgalgluside_cho_g</v>
          </cell>
          <cell r="B2179" t="str">
            <v>galacgalfucgalacglcgal14acglcgalgluside_cho</v>
          </cell>
          <cell r="C2179" t="str">
            <v>(Gal)4 (GalNAc)1 (Glc)1 (GlcNAc)2 (LFuc)1 (Cer)1</v>
          </cell>
        </row>
        <row r="2180">
          <cell r="A2180" t="str">
            <v>galfuc12gal14acglcgalgluside_cho_c</v>
          </cell>
          <cell r="B2180" t="str">
            <v>galfuc12gal14acglcgalgluside_cho</v>
          </cell>
          <cell r="C2180" t="str">
            <v>(Gal)3 (Glc)1 (GlcNAc)1 (LFuc)1 (Cer)1</v>
          </cell>
        </row>
        <row r="2181">
          <cell r="A2181" t="str">
            <v>galfucgalacglcgal14acglcgalgluside_cho_g</v>
          </cell>
          <cell r="B2181" t="str">
            <v>galfucgalacglcgal14acglcgalgluside_cho</v>
          </cell>
          <cell r="C2181" t="str">
            <v>(Gal)4 (Glc)1 (GlcNAc)2 (LFuc)1 (Cer)1</v>
          </cell>
        </row>
        <row r="2182">
          <cell r="A2182" t="str">
            <v>galgalfucfucgalacglcgalacglcgal14acglcgalgluside_cho_c</v>
          </cell>
          <cell r="B2182" t="str">
            <v>galgalfucfucgalacglcgalacglcgal14acglcgalgluside_cho</v>
          </cell>
          <cell r="C2182" t="str">
            <v>(Gal)6 (Glc)1 (GlcNAc)3 (LFuc)2 (Cer)1</v>
          </cell>
        </row>
        <row r="2183">
          <cell r="A2183" t="str">
            <v>galgbside_cho_g</v>
          </cell>
          <cell r="B2183" t="str">
            <v>galgbside_cho</v>
          </cell>
          <cell r="C2183" t="str">
            <v>Galactosylgloboside</v>
          </cell>
        </row>
        <row r="2184">
          <cell r="A2184" t="str">
            <v>galgluside_cho_l</v>
          </cell>
          <cell r="B2184" t="str">
            <v>galgluside_cho</v>
          </cell>
          <cell r="C2184" t="str">
            <v>Galactosyl glucosyl ceramide</v>
          </cell>
        </row>
        <row r="2185">
          <cell r="A2185" t="str">
            <v>galside_cho_l</v>
          </cell>
          <cell r="B2185" t="str">
            <v>galside_cho</v>
          </cell>
          <cell r="C2185" t="str">
            <v>D-galactosyl-N-acylsphingosine</v>
          </cell>
        </row>
        <row r="2186">
          <cell r="A2186" t="str">
            <v>gbdp_c</v>
          </cell>
          <cell r="B2186" t="str">
            <v>gbdp</v>
          </cell>
          <cell r="C2186" t="str">
            <v>Guanosine 3,5-bis(diphosphate)</v>
          </cell>
        </row>
        <row r="2187">
          <cell r="A2187" t="str">
            <v>gbside_cho_e</v>
          </cell>
          <cell r="B2187" t="str">
            <v>gbside_cho</v>
          </cell>
          <cell r="C2187" t="str">
            <v>Globoside</v>
          </cell>
        </row>
        <row r="2188">
          <cell r="A2188" t="str">
            <v>gd1b2_cho_c</v>
          </cell>
          <cell r="B2188" t="str">
            <v>gd1b2_cho</v>
          </cell>
          <cell r="C2188" t="str">
            <v>GD1beta</v>
          </cell>
        </row>
        <row r="2189">
          <cell r="A2189" t="str">
            <v>gd1c_cho_g</v>
          </cell>
          <cell r="B2189" t="str">
            <v>gd1c_cho</v>
          </cell>
          <cell r="C2189" t="str">
            <v>GD1c</v>
          </cell>
        </row>
        <row r="2190">
          <cell r="A2190" t="str">
            <v>gd3_cho_g</v>
          </cell>
          <cell r="B2190" t="str">
            <v>gd3_cho</v>
          </cell>
          <cell r="C2190" t="str">
            <v>GD3</v>
          </cell>
        </row>
        <row r="2191">
          <cell r="A2191" t="str">
            <v>gltdechol_e</v>
          </cell>
          <cell r="B2191" t="str">
            <v>gltdechol</v>
          </cell>
          <cell r="C2191" t="str">
            <v>Beta glucan-taurodeoxycholic acid complex</v>
          </cell>
        </row>
        <row r="2192">
          <cell r="A2192" t="str">
            <v>gluside_cho_g</v>
          </cell>
          <cell r="B2192" t="str">
            <v>gluside_cho</v>
          </cell>
          <cell r="C2192" t="str">
            <v>D-glucosyl-N-acylsphingosine</v>
          </cell>
        </row>
        <row r="2193">
          <cell r="A2193" t="str">
            <v>glyleu_e</v>
          </cell>
          <cell r="B2193" t="str">
            <v>glyleu</v>
          </cell>
          <cell r="C2193" t="str">
            <v>Glycylleucine</v>
          </cell>
        </row>
        <row r="2194">
          <cell r="A2194" t="str">
            <v>glyphe_c</v>
          </cell>
          <cell r="B2194" t="str">
            <v>glyphe</v>
          </cell>
          <cell r="C2194" t="str">
            <v>Glycylphenylalanine</v>
          </cell>
        </row>
        <row r="2195">
          <cell r="A2195" t="str">
            <v>glypro_c</v>
          </cell>
          <cell r="B2195" t="str">
            <v>glypro</v>
          </cell>
          <cell r="C2195" t="str">
            <v>Glycylproline</v>
          </cell>
        </row>
        <row r="2196">
          <cell r="A2196" t="str">
            <v>glysar_e</v>
          </cell>
          <cell r="B2196" t="str">
            <v>glysar</v>
          </cell>
          <cell r="C2196" t="str">
            <v>Glycylsarcosine</v>
          </cell>
        </row>
        <row r="2197">
          <cell r="A2197" t="str">
            <v>gm1b_cho_g</v>
          </cell>
          <cell r="B2197" t="str">
            <v>gm1b_cho</v>
          </cell>
          <cell r="C2197" t="str">
            <v>GM1b</v>
          </cell>
        </row>
        <row r="2198">
          <cell r="A2198" t="str">
            <v>gm2_cho_g</v>
          </cell>
          <cell r="B2198" t="str">
            <v>gm2_cho</v>
          </cell>
          <cell r="C2198" t="str">
            <v>N-acetyl-beta-D-galactosaminyl-(1-&gt;4)-[alpha-N-acetylneuraminosyl-(2-&gt;3)]-beta-D-galactosyl-beta-D-glucosyl-(1&lt;-&gt;1)-ceramide anion</v>
          </cell>
        </row>
        <row r="2199">
          <cell r="A2199" t="str">
            <v>gm3_cho_g</v>
          </cell>
          <cell r="B2199" t="str">
            <v>gm3_cho</v>
          </cell>
          <cell r="C2199" t="str">
            <v>Alpha-N-acetylneuraminosyl-(2-&gt;3)-beta-D-galactosyl-(1-&gt;4)-beta-D-glucosylceramide(1-); GM3</v>
          </cell>
        </row>
        <row r="2200">
          <cell r="A2200" t="str">
            <v>gp1c_cho_e</v>
          </cell>
          <cell r="B2200" t="str">
            <v>gp1c_cho</v>
          </cell>
          <cell r="C2200" t="str">
            <v>GP1c</v>
          </cell>
        </row>
        <row r="2201">
          <cell r="A2201" t="str">
            <v>gpi_cho_r</v>
          </cell>
          <cell r="B2201" t="str">
            <v>gpi_cho</v>
          </cell>
          <cell r="C2201" t="str">
            <v>{[PE-Man-],[PE-]Man},{PE-}Man-GlcN-acylPI</v>
          </cell>
        </row>
        <row r="2202">
          <cell r="A2202" t="str">
            <v>gpi_prot_cho_r</v>
          </cell>
          <cell r="B2202" t="str">
            <v>gpi_prot_cho</v>
          </cell>
          <cell r="C2202" t="str">
            <v>{[(Prot-PE-Man),(PE)-Man],[PE]}-Man-GlcN-acylPI</v>
          </cell>
        </row>
        <row r="2203">
          <cell r="A2203" t="str">
            <v>gq1b_cho_e</v>
          </cell>
          <cell r="B2203" t="str">
            <v>gq1b_cho</v>
          </cell>
          <cell r="C2203" t="str">
            <v>GQ1b</v>
          </cell>
        </row>
        <row r="2204">
          <cell r="A2204" t="str">
            <v>gq1balpha_cho_c</v>
          </cell>
          <cell r="B2204" t="str">
            <v>gq1balpha_cho</v>
          </cell>
          <cell r="C2204" t="str">
            <v>GQ1balpha</v>
          </cell>
        </row>
        <row r="2205">
          <cell r="A2205" t="str">
            <v>gt1a_cho_g</v>
          </cell>
          <cell r="B2205" t="str">
            <v>gt1a_cho</v>
          </cell>
          <cell r="C2205" t="str">
            <v>GT1a</v>
          </cell>
        </row>
        <row r="2206">
          <cell r="A2206" t="str">
            <v>gt1alpha_cho_g</v>
          </cell>
          <cell r="B2206" t="str">
            <v>gt1alpha_cho</v>
          </cell>
          <cell r="C2206" t="str">
            <v>GT1aalpha</v>
          </cell>
        </row>
        <row r="2207">
          <cell r="A2207" t="str">
            <v>gt1c_cho_g</v>
          </cell>
          <cell r="B2207" t="str">
            <v>gt1c_cho</v>
          </cell>
          <cell r="C2207" t="str">
            <v>GT1c</v>
          </cell>
        </row>
        <row r="2208">
          <cell r="A2208" t="str">
            <v>gt3_cho_g</v>
          </cell>
          <cell r="B2208" t="str">
            <v>gt3_cho</v>
          </cell>
          <cell r="C2208" t="str">
            <v>GT3</v>
          </cell>
        </row>
        <row r="2209">
          <cell r="A2209" t="str">
            <v>gudac_m</v>
          </cell>
          <cell r="B2209" t="str">
            <v>gudac</v>
          </cell>
          <cell r="C2209" t="str">
            <v>Guanidinoacetate</v>
          </cell>
        </row>
        <row r="2210">
          <cell r="A2210" t="str">
            <v>gumtchol_e</v>
          </cell>
          <cell r="B2210" t="str">
            <v>gumtchol</v>
          </cell>
          <cell r="C2210" t="str">
            <v>Guar gum-taurocholic acid complex</v>
          </cell>
        </row>
        <row r="2211">
          <cell r="A2211" t="str">
            <v>hdcecrn_r</v>
          </cell>
          <cell r="B2211" t="str">
            <v>hdcecrn</v>
          </cell>
          <cell r="C2211" t="str">
            <v>Hexadecenoyl carnitine</v>
          </cell>
        </row>
        <row r="2212">
          <cell r="A2212" t="str">
            <v>hdd2coa_r</v>
          </cell>
          <cell r="B2212" t="str">
            <v>hdd2coa</v>
          </cell>
          <cell r="C2212" t="str">
            <v>Trans-Hexadec-2-enoyl-CoA</v>
          </cell>
        </row>
        <row r="2213">
          <cell r="A2213" t="str">
            <v>hlys_c</v>
          </cell>
          <cell r="B2213" t="str">
            <v>hlys</v>
          </cell>
          <cell r="C2213" t="str">
            <v>Erythro-5-hydroxy-L-lysine</v>
          </cell>
        </row>
        <row r="2214">
          <cell r="A2214" t="str">
            <v>l3n3rm2masn_g</v>
          </cell>
          <cell r="B2214" t="str">
            <v>l3n3rm2masn</v>
          </cell>
          <cell r="C2214" t="str">
            <v>L3n3rm2masn[g]</v>
          </cell>
        </row>
        <row r="2215">
          <cell r="A2215" t="str">
            <v>l4fn4m2masn_g</v>
          </cell>
          <cell r="B2215" t="str">
            <v>l4fn4m2masn</v>
          </cell>
          <cell r="C2215" t="str">
            <v>L4fn4m2masn[g]</v>
          </cell>
        </row>
        <row r="2216">
          <cell r="A2216" t="str">
            <v>l4n4m2masn_g</v>
          </cell>
          <cell r="B2216" t="str">
            <v>l4n4m2masn</v>
          </cell>
          <cell r="C2216" t="str">
            <v>L4n4m2masn[g]</v>
          </cell>
        </row>
        <row r="2217">
          <cell r="A2217" t="str">
            <v>leuktrA4_n</v>
          </cell>
          <cell r="B2217" t="str">
            <v>leuktrA4</v>
          </cell>
          <cell r="C2217" t="str">
            <v>Leukotriene A4 cytosol</v>
          </cell>
        </row>
        <row r="2218">
          <cell r="A2218" t="str">
            <v>leuktrB4_x</v>
          </cell>
          <cell r="B2218" t="str">
            <v>leuktrB4</v>
          </cell>
          <cell r="C2218" t="str">
            <v>Leukotriene B4(1-)</v>
          </cell>
        </row>
        <row r="2219">
          <cell r="A2219" t="str">
            <v>leuktrB4woh_c</v>
          </cell>
          <cell r="B2219" t="str">
            <v>leuktrB4woh</v>
          </cell>
          <cell r="C2219" t="str">
            <v>W-hydroxyl leukotriene B4</v>
          </cell>
        </row>
        <row r="2220">
          <cell r="A2220" t="str">
            <v>leuktrE4_x</v>
          </cell>
          <cell r="B2220" t="str">
            <v>leuktrE4</v>
          </cell>
          <cell r="C2220" t="str">
            <v>Leukotriene E4 cytosol</v>
          </cell>
        </row>
        <row r="2221">
          <cell r="A2221" t="str">
            <v>leuleu_c</v>
          </cell>
          <cell r="B2221" t="str">
            <v>leuleu</v>
          </cell>
          <cell r="C2221" t="str">
            <v>Leucylleucine</v>
          </cell>
        </row>
        <row r="2222">
          <cell r="A2222" t="str">
            <v>lgnc_x</v>
          </cell>
          <cell r="B2222" t="str">
            <v>lgnc</v>
          </cell>
          <cell r="C2222" t="str">
            <v>Lignoceric acid</v>
          </cell>
        </row>
        <row r="2223">
          <cell r="A2223" t="str">
            <v>lnbl4fn4m2masn_g</v>
          </cell>
          <cell r="B2223" t="str">
            <v>lnbl4fn4m2masn</v>
          </cell>
          <cell r="C2223" t="str">
            <v>Lnbl4fn4m2masn[g]</v>
          </cell>
        </row>
        <row r="2224">
          <cell r="A2224" t="str">
            <v>lncl4fn4m2masn_g</v>
          </cell>
          <cell r="B2224" t="str">
            <v>lncl4fn4m2masn</v>
          </cell>
          <cell r="C2224" t="str">
            <v>Lncl4fn4m2masn[g]</v>
          </cell>
        </row>
        <row r="2225">
          <cell r="A2225" t="str">
            <v>lncl4n4m2masn_g</v>
          </cell>
          <cell r="B2225" t="str">
            <v>lncl4n4m2masn</v>
          </cell>
          <cell r="C2225" t="str">
            <v>Lncl4n4m2masn[g]</v>
          </cell>
        </row>
        <row r="2226">
          <cell r="A2226" t="str">
            <v>lndl4n4m2masn_g</v>
          </cell>
          <cell r="B2226" t="str">
            <v>lndl4n4m2masn</v>
          </cell>
          <cell r="C2226" t="str">
            <v>Lndl4n4m2masn[g]</v>
          </cell>
        </row>
        <row r="2227">
          <cell r="A2227" t="str">
            <v>lnl3fn3m2masn_g</v>
          </cell>
          <cell r="B2227" t="str">
            <v>lnl3fn3m2masn</v>
          </cell>
          <cell r="C2227" t="str">
            <v>Lnl3fn3m2masn[g]</v>
          </cell>
        </row>
        <row r="2228">
          <cell r="A2228" t="str">
            <v>lnlc_r</v>
          </cell>
          <cell r="B2228" t="str">
            <v>lnlc</v>
          </cell>
          <cell r="C2228" t="str">
            <v>Linoleic acid (all cis C18:2) n-6</v>
          </cell>
        </row>
        <row r="2229">
          <cell r="A2229" t="str">
            <v>lnlccoa_r</v>
          </cell>
          <cell r="B2229" t="str">
            <v>lnlccoa</v>
          </cell>
          <cell r="C2229" t="str">
            <v>Linoleic coenzyme A</v>
          </cell>
        </row>
        <row r="2230">
          <cell r="A2230" t="str">
            <v>lnlccoa_x</v>
          </cell>
          <cell r="B2230" t="str">
            <v>lnlccoa</v>
          </cell>
          <cell r="C2230" t="str">
            <v>Linoleic coenzyme A</v>
          </cell>
        </row>
        <row r="2231">
          <cell r="A2231" t="str">
            <v>lnlnca_r</v>
          </cell>
          <cell r="B2231" t="str">
            <v>lnlnca</v>
          </cell>
          <cell r="C2231" t="str">
            <v>Alpha-Linolenic acid, C18:3, n-3</v>
          </cell>
        </row>
        <row r="2232">
          <cell r="A2232" t="str">
            <v>lnlncgcoa_r</v>
          </cell>
          <cell r="B2232" t="str">
            <v>lnlncgcoa</v>
          </cell>
          <cell r="C2232" t="str">
            <v>Gamma-linolenoyl-CoA</v>
          </cell>
        </row>
        <row r="2233">
          <cell r="A2233" t="str">
            <v>m2mpdol_c</v>
          </cell>
          <cell r="B2233" t="str">
            <v>m2mpdol</v>
          </cell>
          <cell r="C2233" t="str">
            <v>(alpha-D-mannosyl)2-beta-D-mannosyl-diacetylchitobiosyldiphosphodolichol</v>
          </cell>
        </row>
        <row r="2234">
          <cell r="A2234" t="str">
            <v>m3gacpail_cho_r</v>
          </cell>
          <cell r="B2234" t="str">
            <v>m3gacpail_cho</v>
          </cell>
          <cell r="C2234" t="str">
            <v>Trimannosyl-glucosaminyl-acylphosphatidylinositol (H4)</v>
          </cell>
        </row>
        <row r="2235">
          <cell r="A2235" t="str">
            <v>m6mpdol_r</v>
          </cell>
          <cell r="B2235" t="str">
            <v>m6mpdol</v>
          </cell>
          <cell r="C2235" t="str">
            <v>(alpha-D-Mannosyl)6-beta-D-mannosyl-diacetylchitobiosyldiphosphodolichol</v>
          </cell>
        </row>
        <row r="2236">
          <cell r="A2236" t="str">
            <v>m_em_3gacpail_cho_r</v>
          </cell>
          <cell r="B2236" t="str">
            <v>m_em_3gacpail_cho</v>
          </cell>
          <cell r="C2236" t="str">
            <v>Mannosyl-3-(phosphoethanolaminyl-mannosyl)-glucosaminyl-acylphosphatidylinositol (M4A))</v>
          </cell>
        </row>
        <row r="2237">
          <cell r="A2237" t="str">
            <v>m_em_3gacpail_prot_cho_r</v>
          </cell>
          <cell r="B2237" t="str">
            <v>m_em_3gacpail_prot_cho</v>
          </cell>
          <cell r="C2237" t="str">
            <v>Mannosyl-3-(phosphoethanolaminyl-mannosyl)-glucosaminyl-acylphosphatidylinositol-Protein (M4A)</v>
          </cell>
        </row>
        <row r="2238">
          <cell r="A2238" t="str">
            <v>malcoa_l</v>
          </cell>
          <cell r="B2238" t="str">
            <v>malcoa</v>
          </cell>
          <cell r="C2238" t="str">
            <v>Malonyl CoA C24H33N7O19P3S</v>
          </cell>
        </row>
        <row r="2239">
          <cell r="A2239" t="str">
            <v>memgacpail_cho_r</v>
          </cell>
          <cell r="B2239" t="str">
            <v>memgacpail_cho</v>
          </cell>
          <cell r="C2239" t="str">
            <v>(mannosyl),(phosphoethanolaminyl)-mannosyl-glucosylaminyl-acylphosphatidylinositol (B)</v>
          </cell>
        </row>
        <row r="2240">
          <cell r="A2240" t="str">
            <v>n2bdl4n4m2masn_g</v>
          </cell>
          <cell r="B2240" t="str">
            <v>n2bdl4n4m2masn</v>
          </cell>
          <cell r="C2240" t="str">
            <v>N2bdl4n4m2masn[g]</v>
          </cell>
        </row>
        <row r="2241">
          <cell r="A2241" t="str">
            <v>n2cdl4fn4m2masn_g</v>
          </cell>
          <cell r="B2241" t="str">
            <v>n2cdl4fn4m2masn</v>
          </cell>
          <cell r="C2241" t="str">
            <v>N2cdl4fn4m2masn[g]</v>
          </cell>
        </row>
        <row r="2242">
          <cell r="A2242" t="str">
            <v>nadp_l</v>
          </cell>
          <cell r="B2242" t="str">
            <v>nadp</v>
          </cell>
          <cell r="C2242" t="str">
            <v>Nicotinamide adenine dinucleotide phosphate</v>
          </cell>
        </row>
        <row r="2243">
          <cell r="A2243" t="str">
            <v>naglc2p_c</v>
          </cell>
          <cell r="B2243" t="str">
            <v>naglc2p</v>
          </cell>
          <cell r="C2243" t="str">
            <v>N-Acetyl-D-glucosaminyldiphosphodolichol</v>
          </cell>
        </row>
        <row r="2244">
          <cell r="A2244" t="str">
            <v>ndl4n4m2masn_g</v>
          </cell>
          <cell r="B2244" t="str">
            <v>ndl4n4m2masn</v>
          </cell>
          <cell r="C2244" t="str">
            <v>Ndl4n4m2masn[g]</v>
          </cell>
        </row>
        <row r="2245">
          <cell r="A2245" t="str">
            <v>nrpphr_r</v>
          </cell>
          <cell r="B2245" t="str">
            <v>nrpphr</v>
          </cell>
          <cell r="C2245" t="str">
            <v>Norepinephrine</v>
          </cell>
        </row>
        <row r="2246">
          <cell r="A2246" t="str">
            <v>o2_l</v>
          </cell>
          <cell r="B2246" t="str">
            <v>o2</v>
          </cell>
          <cell r="C2246" t="str">
            <v>O2 O2</v>
          </cell>
        </row>
        <row r="2247">
          <cell r="A2247" t="str">
            <v>oagd3_cho_g</v>
          </cell>
          <cell r="B2247" t="str">
            <v>oagd3_cho</v>
          </cell>
          <cell r="C2247" t="str">
            <v>9-O-Acetylated GD3</v>
          </cell>
        </row>
        <row r="2248">
          <cell r="A2248" t="str">
            <v>oagt3_cho_g</v>
          </cell>
          <cell r="B2248" t="str">
            <v>oagt3_cho</v>
          </cell>
          <cell r="C2248" t="str">
            <v>9-O-Acetylated GT3</v>
          </cell>
        </row>
        <row r="2249">
          <cell r="A2249" t="str">
            <v>ocdca_m</v>
          </cell>
          <cell r="B2249" t="str">
            <v>ocdca</v>
          </cell>
          <cell r="C2249" t="str">
            <v>Octadecanoate (n-C18:0)</v>
          </cell>
        </row>
        <row r="2250">
          <cell r="A2250" t="str">
            <v>ocdcea_r</v>
          </cell>
          <cell r="B2250" t="str">
            <v>ocdcea</v>
          </cell>
          <cell r="C2250" t="str">
            <v>Octadecenoate (n-C18:1)</v>
          </cell>
        </row>
        <row r="2251">
          <cell r="A2251" t="str">
            <v>odecoa_r</v>
          </cell>
          <cell r="B2251" t="str">
            <v>odecoa</v>
          </cell>
          <cell r="C2251" t="str">
            <v>Octadecenoyl-CoA (n-C18:1CoA)</v>
          </cell>
        </row>
        <row r="2252">
          <cell r="A2252" t="str">
            <v>pa_cho_g</v>
          </cell>
          <cell r="B2252" t="str">
            <v>pa_cho</v>
          </cell>
          <cell r="C2252" t="str">
            <v>Phosphatidate(2-)</v>
          </cell>
        </row>
        <row r="2253">
          <cell r="A2253" t="str">
            <v>pa_cho_n</v>
          </cell>
          <cell r="B2253" t="str">
            <v>pa_cho</v>
          </cell>
          <cell r="C2253" t="str">
            <v>Phosphatidate(2-)</v>
          </cell>
        </row>
        <row r="2254">
          <cell r="A2254" t="str">
            <v>paf_cho_c</v>
          </cell>
          <cell r="B2254" t="str">
            <v>paf_cho</v>
          </cell>
          <cell r="C2254" t="str">
            <v>1-alkyl 2-acteylglycerol 3-phosphocholine</v>
          </cell>
        </row>
        <row r="2255">
          <cell r="A2255" t="str">
            <v>pail34p_cho_c</v>
          </cell>
          <cell r="B2255" t="str">
            <v>pail34p_cho</v>
          </cell>
          <cell r="C2255" t="str">
            <v>1-phosphatidyl-1D-myo-inositol 3,4-bisphosphate(5-)</v>
          </cell>
        </row>
        <row r="2256">
          <cell r="A2256" t="str">
            <v>pail35p_cho_c</v>
          </cell>
          <cell r="B2256" t="str">
            <v>pail35p_cho</v>
          </cell>
          <cell r="C2256" t="str">
            <v>1-phosphatidyl-1D-myo-inositol 3,5-bisphosphate(5-)</v>
          </cell>
        </row>
        <row r="2257">
          <cell r="A2257" t="str">
            <v>pail35p_cho_r</v>
          </cell>
          <cell r="B2257" t="str">
            <v>pail35p_cho</v>
          </cell>
          <cell r="C2257" t="str">
            <v>1-phosphatidyl-1D-myo-inositol 3,5-bisphosphate(5-)</v>
          </cell>
        </row>
        <row r="2258">
          <cell r="A2258" t="str">
            <v>pail3p_cho_g</v>
          </cell>
          <cell r="B2258" t="str">
            <v>pail3p_cho</v>
          </cell>
          <cell r="C2258" t="str">
            <v>1-phosphatidyl-1D-myo-inositol 3-phosphate(3-)</v>
          </cell>
        </row>
        <row r="2259">
          <cell r="A2259" t="str">
            <v>pail3p_cho_n</v>
          </cell>
          <cell r="B2259" t="str">
            <v>pail3p_cho</v>
          </cell>
          <cell r="C2259" t="str">
            <v>1-phosphatidyl-1D-myo-inositol 3-phosphate(3-)</v>
          </cell>
        </row>
        <row r="2260">
          <cell r="A2260" t="str">
            <v>pail45p_cho_c</v>
          </cell>
          <cell r="B2260" t="str">
            <v>pail45p_cho</v>
          </cell>
          <cell r="C2260" t="str">
            <v>Phosphatidylinositol 4,5-bisphosphate</v>
          </cell>
        </row>
        <row r="2261">
          <cell r="A2261" t="str">
            <v>pail45p_cho_r</v>
          </cell>
          <cell r="B2261" t="str">
            <v>pail45p_cho</v>
          </cell>
          <cell r="C2261" t="str">
            <v>Phosphatidylinositol 4,5-bisphosphate</v>
          </cell>
        </row>
        <row r="2262">
          <cell r="A2262" t="str">
            <v>pail4p_cho_c</v>
          </cell>
          <cell r="B2262" t="str">
            <v>pail4p_cho</v>
          </cell>
          <cell r="C2262" t="str">
            <v>1-phosphatidyl-1D-myo-inositol 4-phosphate(3-)</v>
          </cell>
        </row>
        <row r="2263">
          <cell r="A2263" t="str">
            <v>pail5p_cho_g</v>
          </cell>
          <cell r="B2263" t="str">
            <v>pail5p_cho</v>
          </cell>
          <cell r="C2263" t="str">
            <v>1-phosphatidyl-1D-myo-inositol 5-phosphate(3-)</v>
          </cell>
        </row>
        <row r="2264">
          <cell r="A2264" t="str">
            <v>pail5p_cho_n</v>
          </cell>
          <cell r="B2264" t="str">
            <v>pail5p_cho</v>
          </cell>
          <cell r="C2264" t="str">
            <v>1-phosphatidyl-1D-myo-inositol 5-phosphate(3-)</v>
          </cell>
        </row>
        <row r="2265">
          <cell r="A2265" t="str">
            <v>pchol_cho_e</v>
          </cell>
          <cell r="B2265" t="str">
            <v>pchol_cho</v>
          </cell>
          <cell r="C2265" t="str">
            <v>Phosphatidylcholine</v>
          </cell>
        </row>
        <row r="2266">
          <cell r="A2266" t="str">
            <v>pe_cho_m</v>
          </cell>
          <cell r="B2266" t="str">
            <v>pe_cho</v>
          </cell>
          <cell r="C2266" t="str">
            <v>Phosphatidylethanolamine</v>
          </cell>
        </row>
        <row r="2267">
          <cell r="A2267" t="str">
            <v>phaccoa_m</v>
          </cell>
          <cell r="B2267" t="str">
            <v>phaccoa</v>
          </cell>
          <cell r="C2267" t="str">
            <v>Phenylacetyl-CoA</v>
          </cell>
        </row>
        <row r="2268">
          <cell r="A2268" t="str">
            <v>pholys_c</v>
          </cell>
          <cell r="B2268" t="str">
            <v>pholys</v>
          </cell>
          <cell r="C2268" t="str">
            <v>5-Phosphonooxy-L-lysine</v>
          </cell>
        </row>
        <row r="2269">
          <cell r="A2269" t="str">
            <v>pmtcrn_r</v>
          </cell>
          <cell r="B2269" t="str">
            <v>pmtcrn</v>
          </cell>
          <cell r="C2269" t="str">
            <v>L-Palmitoylcarnitine</v>
          </cell>
        </row>
        <row r="2270">
          <cell r="A2270" t="str">
            <v>pmtcrn_x</v>
          </cell>
          <cell r="B2270" t="str">
            <v>pmtcrn</v>
          </cell>
          <cell r="C2270" t="str">
            <v>L-Palmitoylcarnitine</v>
          </cell>
        </row>
        <row r="2271">
          <cell r="A2271" t="str">
            <v>prostge2_m</v>
          </cell>
          <cell r="B2271" t="str">
            <v>prostge2</v>
          </cell>
          <cell r="C2271" t="str">
            <v>Prostaglandin E2</v>
          </cell>
        </row>
        <row r="2272">
          <cell r="A2272" t="str">
            <v>ps_cho_m</v>
          </cell>
          <cell r="B2272" t="str">
            <v>ps_cho</v>
          </cell>
          <cell r="C2272" t="str">
            <v>Phosphatidylserine</v>
          </cell>
        </row>
        <row r="2273">
          <cell r="A2273" t="str">
            <v>q10_e</v>
          </cell>
          <cell r="B2273" t="str">
            <v>q10</v>
          </cell>
          <cell r="C2273" t="str">
            <v>Ubiquinone-10</v>
          </cell>
        </row>
        <row r="2274">
          <cell r="A2274" t="str">
            <v>q10h2_e</v>
          </cell>
          <cell r="B2274" t="str">
            <v>q10h2</v>
          </cell>
          <cell r="C2274" t="str">
            <v>Ubiquinol-10</v>
          </cell>
        </row>
        <row r="2275">
          <cell r="A2275" t="str">
            <v>r5p_r</v>
          </cell>
          <cell r="B2275" t="str">
            <v>r5p</v>
          </cell>
          <cell r="C2275" t="str">
            <v>Alpha-D-Ribose 5-phosphate</v>
          </cell>
        </row>
        <row r="2276">
          <cell r="A2276" t="str">
            <v>retinal_cis_9_r</v>
          </cell>
          <cell r="B2276" t="str">
            <v>retinal_cis_9</v>
          </cell>
          <cell r="C2276" t="str">
            <v>Cis-9-retinal</v>
          </cell>
        </row>
        <row r="2277">
          <cell r="A2277" t="str">
            <v>s2l2n2m2masn_g</v>
          </cell>
          <cell r="B2277" t="str">
            <v>s2l2n2m2masn</v>
          </cell>
          <cell r="C2277" t="str">
            <v>De-Fuc form of PA6</v>
          </cell>
        </row>
        <row r="2278">
          <cell r="A2278" t="str">
            <v>s3lnl3fn3m2masn_g</v>
          </cell>
          <cell r="B2278" t="str">
            <v>s3lnl3fn3m2masn</v>
          </cell>
          <cell r="C2278" t="str">
            <v>S3lnl3fn3m2masn[g]</v>
          </cell>
        </row>
        <row r="2279">
          <cell r="A2279" t="str">
            <v>s3lnl3n3m2masn_g</v>
          </cell>
          <cell r="B2279" t="str">
            <v>s3lnl3n3m2masn</v>
          </cell>
          <cell r="C2279" t="str">
            <v>S3lnl3n3m2masn[g]</v>
          </cell>
        </row>
        <row r="2280">
          <cell r="A2280" t="str">
            <v>s4l3n3l4n4m2masn_g</v>
          </cell>
          <cell r="B2280" t="str">
            <v>s4l3n3l4n4m2masn</v>
          </cell>
          <cell r="C2280" t="str">
            <v>S4l3n3l4n4m2masn[g]</v>
          </cell>
        </row>
        <row r="2281">
          <cell r="A2281" t="str">
            <v>s4lncl4n4m2masn_g</v>
          </cell>
          <cell r="B2281" t="str">
            <v>s4lncl4n4m2masn</v>
          </cell>
          <cell r="C2281" t="str">
            <v>S4lncl4n4m2masn[g]</v>
          </cell>
        </row>
        <row r="2282">
          <cell r="A2282" t="str">
            <v>s4lndl4n4m2masn_g</v>
          </cell>
          <cell r="B2282" t="str">
            <v>s4lndl4n4m2masn</v>
          </cell>
          <cell r="C2282" t="str">
            <v>S4lndl4n4m2masn[g]</v>
          </cell>
        </row>
        <row r="2283">
          <cell r="A2283" t="str">
            <v>selhcys_r</v>
          </cell>
          <cell r="B2283" t="str">
            <v>selhcys</v>
          </cell>
          <cell r="C2283" t="str">
            <v>Selenohomocysteine</v>
          </cell>
        </row>
        <row r="2284">
          <cell r="A2284" t="str">
            <v>sgalside_cho_l</v>
          </cell>
          <cell r="B2284" t="str">
            <v>sgalside_cho</v>
          </cell>
          <cell r="C2284" t="str">
            <v>Sulfatide galactocerebroside</v>
          </cell>
        </row>
        <row r="2285">
          <cell r="A2285" t="str">
            <v>spc_cho_c</v>
          </cell>
          <cell r="B2285" t="str">
            <v>spc_cho</v>
          </cell>
          <cell r="C2285" t="str">
            <v>Sphingosylphosphorylcholine</v>
          </cell>
        </row>
        <row r="2286">
          <cell r="A2286" t="str">
            <v>sphmyln_cho_l</v>
          </cell>
          <cell r="B2286" t="str">
            <v>sphmyln_cho</v>
          </cell>
          <cell r="C2286" t="str">
            <v>Sphingomyelin betaine</v>
          </cell>
        </row>
        <row r="2287">
          <cell r="A2287" t="str">
            <v>tcynt_n</v>
          </cell>
          <cell r="B2287" t="str">
            <v>tcynt</v>
          </cell>
          <cell r="C2287" t="str">
            <v>Thiocyanate</v>
          </cell>
        </row>
        <row r="2288">
          <cell r="A2288" t="str">
            <v>tdechola_e</v>
          </cell>
          <cell r="B2288" t="str">
            <v>tdechola</v>
          </cell>
          <cell r="C2288" t="str">
            <v>Taurodeoxycholate</v>
          </cell>
        </row>
        <row r="2289">
          <cell r="A2289" t="str">
            <v>thcholstoic_c</v>
          </cell>
          <cell r="B2289" t="str">
            <v>thcholstoic</v>
          </cell>
          <cell r="C2289" t="str">
            <v>3alpha,7alpha,12alpha-Trihydroxy-5beta-cholestanoate</v>
          </cell>
        </row>
        <row r="2290">
          <cell r="A2290" t="str">
            <v>thcrm_cho_g</v>
          </cell>
          <cell r="B2290" t="str">
            <v>thcrm_cho</v>
          </cell>
          <cell r="C2290" t="str">
            <v>Trihexosyl ceramide</v>
          </cell>
        </row>
        <row r="2291">
          <cell r="A2291" t="str">
            <v>thym_m</v>
          </cell>
          <cell r="B2291" t="str">
            <v>thym</v>
          </cell>
          <cell r="C2291" t="str">
            <v>Thymine C5H6N2O2</v>
          </cell>
        </row>
        <row r="2292">
          <cell r="A2292" t="str">
            <v>tmndnc_n</v>
          </cell>
          <cell r="B2292" t="str">
            <v>tmndnc</v>
          </cell>
          <cell r="C2292" t="str">
            <v>Timnodonic acid C20:5, n-3</v>
          </cell>
        </row>
        <row r="2293">
          <cell r="A2293" t="str">
            <v>ttdcrn_e</v>
          </cell>
          <cell r="B2293" t="str">
            <v>ttdcrn</v>
          </cell>
          <cell r="C2293" t="str">
            <v>Tetradecanoyl carnitine</v>
          </cell>
        </row>
        <row r="2294">
          <cell r="A2294" t="str">
            <v>udpgal_n</v>
          </cell>
          <cell r="B2294" t="str">
            <v>udpgal</v>
          </cell>
          <cell r="C2294" t="str">
            <v>UDPgalactose</v>
          </cell>
        </row>
        <row r="2295">
          <cell r="A2295" t="str">
            <v>urate_n</v>
          </cell>
          <cell r="B2295" t="str">
            <v>urate</v>
          </cell>
          <cell r="C2295" t="str">
            <v>Urate C5H4N4O3</v>
          </cell>
        </row>
        <row r="2296">
          <cell r="A2296" t="str">
            <v>xol27oh_c</v>
          </cell>
          <cell r="B2296" t="str">
            <v>xol27oh</v>
          </cell>
          <cell r="C2296" t="str">
            <v>27-Hydroxycholesterol</v>
          </cell>
        </row>
        <row r="2297">
          <cell r="A2297" t="str">
            <v>xol7a_c</v>
          </cell>
          <cell r="B2297" t="str">
            <v>xol7a</v>
          </cell>
          <cell r="C2297" t="str">
            <v>7 alpha-Hydroxycholesterol</v>
          </cell>
        </row>
        <row r="2298">
          <cell r="A2298" t="str">
            <v>xolest_cho_e</v>
          </cell>
          <cell r="B2298" t="str">
            <v>xolest_cho</v>
          </cell>
          <cell r="C2298" t="str">
            <v>Cholesterol ester</v>
          </cell>
        </row>
        <row r="2299">
          <cell r="A2299" t="str">
            <v>xoltetrol_c</v>
          </cell>
          <cell r="B2299" t="str">
            <v>xoltetrol</v>
          </cell>
          <cell r="C2299" t="str">
            <v>3alpha,7alpha,12alpha,26-Tetrahydroxy-5beta-cholestane</v>
          </cell>
        </row>
        <row r="2300">
          <cell r="A2300" t="str">
            <v>2aeppn_c</v>
          </cell>
          <cell r="B2300" t="str">
            <v>2aeppn</v>
          </cell>
          <cell r="C2300" t="str">
            <v>2 Aminoethyl phosphonate</v>
          </cell>
        </row>
        <row r="2301">
          <cell r="A2301" t="str">
            <v>2beacp_c</v>
          </cell>
          <cell r="B2301" t="str">
            <v>2beacp</v>
          </cell>
          <cell r="C2301" t="str">
            <v>But 2 enoyl acyl carrier protein</v>
          </cell>
        </row>
        <row r="2302">
          <cell r="A2302" t="str">
            <v>2cocdacp_c</v>
          </cell>
          <cell r="B2302" t="str">
            <v>2cocdacp</v>
          </cell>
          <cell r="C2302" t="str">
            <v>Cis Octadec 2 enoyl acyl carrier protein</v>
          </cell>
        </row>
        <row r="2303">
          <cell r="A2303" t="str">
            <v>2h3mb_e</v>
          </cell>
          <cell r="B2303" t="str">
            <v>2h3mb</v>
          </cell>
          <cell r="C2303" t="str">
            <v>2 hydroxy 3 methyl butanoate</v>
          </cell>
        </row>
        <row r="2304">
          <cell r="A2304" t="str">
            <v>2h3mp_e</v>
          </cell>
          <cell r="B2304" t="str">
            <v>2h3mp</v>
          </cell>
          <cell r="C2304" t="str">
            <v>2 hydroxy 3 methyl pentanoate</v>
          </cell>
        </row>
        <row r="2305">
          <cell r="A2305" t="str">
            <v>2hxic__L_e</v>
          </cell>
          <cell r="B2305" t="str">
            <v>2hxic__L</v>
          </cell>
          <cell r="C2305" t="str">
            <v>L 2 hydroxyisocaproate</v>
          </cell>
        </row>
        <row r="2306">
          <cell r="A2306" t="str">
            <v>2mb_p_c</v>
          </cell>
          <cell r="B2306" t="str">
            <v>2mb_p</v>
          </cell>
          <cell r="C2306" t="str">
            <v>2 methylbutanoyl p</v>
          </cell>
        </row>
        <row r="2307">
          <cell r="A2307" t="str">
            <v>2mba_e</v>
          </cell>
          <cell r="B2307" t="str">
            <v>2mba</v>
          </cell>
          <cell r="C2307" t="str">
            <v>2 methyl butanoic acid</v>
          </cell>
        </row>
        <row r="2308">
          <cell r="A2308" t="str">
            <v>2mpa_e</v>
          </cell>
          <cell r="B2308" t="str">
            <v>2mpa</v>
          </cell>
          <cell r="C2308" t="str">
            <v>2 methylpropanoic acid</v>
          </cell>
        </row>
        <row r="2309">
          <cell r="A2309" t="str">
            <v>2theacp_c</v>
          </cell>
          <cell r="B2309" t="str">
            <v>2theacp</v>
          </cell>
          <cell r="C2309" t="str">
            <v>Trans Hex 2 enoyl acp</v>
          </cell>
        </row>
        <row r="2310">
          <cell r="A2310" t="str">
            <v>5fothf_c</v>
          </cell>
          <cell r="B2310" t="str">
            <v>5fothf</v>
          </cell>
          <cell r="C2310" t="str">
            <v>5 Formyltetrahydrofolate</v>
          </cell>
        </row>
        <row r="2311">
          <cell r="A2311" t="str">
            <v>ACP_2_c</v>
          </cell>
          <cell r="B2311" t="str">
            <v>ACP_2</v>
          </cell>
          <cell r="C2311" t="str">
            <v>Acyl carrier protein</v>
          </cell>
        </row>
        <row r="2312">
          <cell r="A2312" t="str">
            <v>butacp_c</v>
          </cell>
          <cell r="B2312" t="str">
            <v>butacp</v>
          </cell>
          <cell r="C2312" t="str">
            <v>Butyryl acyl carrier protein</v>
          </cell>
        </row>
        <row r="2313">
          <cell r="A2313" t="str">
            <v>carorn_c</v>
          </cell>
          <cell r="B2313" t="str">
            <v>carorn</v>
          </cell>
          <cell r="C2313" t="str">
            <v>N5  L 1 carboxyethyl  L ornithine</v>
          </cell>
        </row>
        <row r="2314">
          <cell r="A2314" t="str">
            <v>decacp_c</v>
          </cell>
          <cell r="B2314" t="str">
            <v>decacp</v>
          </cell>
          <cell r="C2314" t="str">
            <v>Decanoyl acyl carrier protein</v>
          </cell>
        </row>
        <row r="2315">
          <cell r="A2315" t="str">
            <v>hdeacp_c</v>
          </cell>
          <cell r="B2315" t="str">
            <v>hdeacp</v>
          </cell>
          <cell r="C2315" t="str">
            <v>Hexadecanoyl acyl carrier protein</v>
          </cell>
        </row>
        <row r="2316">
          <cell r="A2316" t="str">
            <v>ocdacp_c</v>
          </cell>
          <cell r="B2316" t="str">
            <v>ocdacp</v>
          </cell>
          <cell r="C2316" t="str">
            <v>Octadecanoyl acyl carrier protein</v>
          </cell>
        </row>
        <row r="2317">
          <cell r="A2317" t="str">
            <v>pa_LLA_c</v>
          </cell>
          <cell r="B2317" t="str">
            <v>pa_LLA</v>
          </cell>
          <cell r="C2317" t="str">
            <v xml:space="preserve">Phosphatidic acid  Lactis specific </v>
          </cell>
        </row>
        <row r="2318">
          <cell r="A2318" t="str">
            <v>pgp_LLA_c</v>
          </cell>
          <cell r="B2318" t="str">
            <v>pgp_LLA</v>
          </cell>
          <cell r="C2318" t="str">
            <v xml:space="preserve">Phosphatidylglycerophosphate  lactis specific </v>
          </cell>
        </row>
        <row r="2319">
          <cell r="A2319" t="str">
            <v>unRTA_c</v>
          </cell>
          <cell r="B2319" t="str">
            <v>unRTA</v>
          </cell>
          <cell r="C2319" t="str">
            <v>Undecaprenyl teichoic acid with ribitol</v>
          </cell>
        </row>
        <row r="2320">
          <cell r="A2320" t="str">
            <v>dkdglcn_c</v>
          </cell>
          <cell r="B2320" t="str">
            <v>dkdglcn</v>
          </cell>
          <cell r="C2320" t="str">
            <v>2,5-Diketo-3-deoxy-D-gluconate</v>
          </cell>
        </row>
        <row r="2321">
          <cell r="A2321" t="str">
            <v>metglcur_c</v>
          </cell>
          <cell r="B2321" t="str">
            <v>metglcur</v>
          </cell>
          <cell r="C2321" t="str">
            <v>1-O-methyl-Beta-D-glucuronate</v>
          </cell>
        </row>
        <row r="2322">
          <cell r="A2322" t="str">
            <v>sla_c</v>
          </cell>
          <cell r="B2322" t="str">
            <v>sla</v>
          </cell>
          <cell r="C2322" t="str">
            <v>Sulpholactaldehyde</v>
          </cell>
        </row>
        <row r="2323">
          <cell r="A2323" t="str">
            <v>ribflv_p</v>
          </cell>
          <cell r="B2323" t="str">
            <v>ribflv</v>
          </cell>
          <cell r="C2323" t="str">
            <v>Riboflavin C17H20N4O6</v>
          </cell>
        </row>
        <row r="2324">
          <cell r="A2324" t="str">
            <v>rpntp_c</v>
          </cell>
          <cell r="B2324" t="str">
            <v>rpntp</v>
          </cell>
          <cell r="C2324" t="str">
            <v>?-D-ribose-1-methylphosphonate-5-triphosphate</v>
          </cell>
        </row>
        <row r="2325">
          <cell r="A2325" t="str">
            <v>gmplys_c</v>
          </cell>
          <cell r="B2325" t="str">
            <v>gmplys</v>
          </cell>
          <cell r="C2325" t="str">
            <v>GMP-N-?-(N-?-acetyl lysine methyl ester) 5'-phosphoramidate</v>
          </cell>
        </row>
        <row r="2326">
          <cell r="A2326" t="str">
            <v>mepn_c</v>
          </cell>
          <cell r="B2326" t="str">
            <v>mepn</v>
          </cell>
          <cell r="C2326" t="str">
            <v>Methylphosphonic acid</v>
          </cell>
        </row>
        <row r="2327">
          <cell r="A2327" t="str">
            <v>mepn_p</v>
          </cell>
          <cell r="B2327" t="str">
            <v>mepn</v>
          </cell>
          <cell r="C2327" t="str">
            <v>Methylphosphonic acid</v>
          </cell>
        </row>
        <row r="2328">
          <cell r="A2328" t="str">
            <v>3hbz_c</v>
          </cell>
          <cell r="B2328" t="str">
            <v>3hbz</v>
          </cell>
          <cell r="C2328" t="str">
            <v>3-Hydroxybenzoate</v>
          </cell>
        </row>
        <row r="2329">
          <cell r="A2329" t="str">
            <v>dhps_c</v>
          </cell>
          <cell r="B2329" t="str">
            <v>dhps</v>
          </cell>
          <cell r="C2329" t="str">
            <v>2,3-Dihydroxypropane-1-sulfonate</v>
          </cell>
        </row>
        <row r="2330">
          <cell r="A2330" t="str">
            <v>dhps_p</v>
          </cell>
          <cell r="B2330" t="str">
            <v>dhps</v>
          </cell>
          <cell r="C2330" t="str">
            <v>2,3-Dihydroxypropane-1-sulfonate</v>
          </cell>
        </row>
        <row r="2331">
          <cell r="A2331" t="str">
            <v>2hptcoa_c</v>
          </cell>
          <cell r="B2331" t="str">
            <v>2hptcoa</v>
          </cell>
          <cell r="C2331" t="str">
            <v>2-hydroxycyclohepta-1,4,6-triene-1-carboxyl-CoA</v>
          </cell>
        </row>
        <row r="2332">
          <cell r="A2332" t="str">
            <v>cs1_e</v>
          </cell>
          <cell r="B2332" t="str">
            <v>cs1</v>
          </cell>
          <cell r="C2332" t="str">
            <v>Cesium ion</v>
          </cell>
        </row>
        <row r="2333">
          <cell r="A2333" t="str">
            <v>4abzglu_p</v>
          </cell>
          <cell r="B2333" t="str">
            <v>4abzglu</v>
          </cell>
          <cell r="C2333" t="str">
            <v>4-aminobenzoyl-glutamate</v>
          </cell>
        </row>
        <row r="2334">
          <cell r="A2334" t="str">
            <v>fad_p</v>
          </cell>
          <cell r="B2334" t="str">
            <v>fad</v>
          </cell>
          <cell r="C2334" t="str">
            <v>Flavin adenine dinucleotide oxidized</v>
          </cell>
        </row>
        <row r="2335">
          <cell r="A2335" t="str">
            <v>rhmn_c</v>
          </cell>
          <cell r="B2335" t="str">
            <v>rhmn</v>
          </cell>
          <cell r="C2335" t="str">
            <v>L-rhamnonate</v>
          </cell>
        </row>
        <row r="2336">
          <cell r="A2336" t="str">
            <v>dhptdp_c</v>
          </cell>
          <cell r="B2336" t="str">
            <v>dhptdp</v>
          </cell>
          <cell r="C2336" t="str">
            <v>(4S)-4-hydroxy-5-phosphonooxypentane-2,3-dione</v>
          </cell>
        </row>
        <row r="2337">
          <cell r="A2337" t="str">
            <v>nalme_c</v>
          </cell>
          <cell r="B2337" t="str">
            <v>nalme</v>
          </cell>
          <cell r="C2337" t="str">
            <v>N-?-acetyl lysine methyl ester</v>
          </cell>
        </row>
        <row r="2338">
          <cell r="A2338" t="str">
            <v>34dphacoa_c</v>
          </cell>
          <cell r="B2338" t="str">
            <v>34dphacoa</v>
          </cell>
          <cell r="C2338" t="str">
            <v>3,4-dihydroxyphenylacetyl-CoA</v>
          </cell>
        </row>
        <row r="2339">
          <cell r="A2339" t="str">
            <v>metglcur_p</v>
          </cell>
          <cell r="B2339" t="str">
            <v>metglcur</v>
          </cell>
          <cell r="C2339" t="str">
            <v>1-O-methyl-Beta-D-glucuronate</v>
          </cell>
        </row>
        <row r="2340">
          <cell r="A2340" t="str">
            <v>r2hglut_c</v>
          </cell>
          <cell r="B2340" t="str">
            <v>r2hglut</v>
          </cell>
          <cell r="C2340" t="str">
            <v>(R)-2-Hydroxyglutarate</v>
          </cell>
        </row>
        <row r="2341">
          <cell r="A2341" t="str">
            <v>nadphx__R_c</v>
          </cell>
          <cell r="B2341" t="str">
            <v>nadphx__R</v>
          </cell>
          <cell r="C2341" t="str">
            <v>(R)-NADPHX</v>
          </cell>
        </row>
        <row r="2342">
          <cell r="A2342" t="str">
            <v>prcp_c</v>
          </cell>
          <cell r="B2342" t="str">
            <v>prcp</v>
          </cell>
          <cell r="C2342" t="str">
            <v>5-phospho-?-D-ribose 1,2-cyclic phosphate</v>
          </cell>
        </row>
        <row r="2343">
          <cell r="A2343" t="str">
            <v>acmet_c</v>
          </cell>
          <cell r="B2343" t="str">
            <v>acmet</v>
          </cell>
          <cell r="C2343" t="str">
            <v>N-Acetylmethionine</v>
          </cell>
        </row>
        <row r="2344">
          <cell r="A2344" t="str">
            <v>fe3dcit_c</v>
          </cell>
          <cell r="B2344" t="str">
            <v>fe3dcit</v>
          </cell>
          <cell r="C2344" t="str">
            <v>Fe(III)dicitrate</v>
          </cell>
        </row>
        <row r="2345">
          <cell r="A2345" t="str">
            <v>2dglc_p</v>
          </cell>
          <cell r="B2345" t="str">
            <v>2dglc</v>
          </cell>
          <cell r="C2345" t="str">
            <v>2 Deoxy D glucose C6H12O5</v>
          </cell>
        </row>
        <row r="2346">
          <cell r="A2346" t="str">
            <v>acampnt_c</v>
          </cell>
          <cell r="B2346" t="str">
            <v>acampnt</v>
          </cell>
          <cell r="C2346" t="str">
            <v>2-N-acetamidomethylphosphonate</v>
          </cell>
        </row>
        <row r="2347">
          <cell r="A2347" t="str">
            <v>4abzglu_c</v>
          </cell>
          <cell r="B2347" t="str">
            <v>4abzglu</v>
          </cell>
          <cell r="C2347" t="str">
            <v>4-aminobenzoyl-glutamate</v>
          </cell>
        </row>
        <row r="2348">
          <cell r="A2348" t="str">
            <v>phytfl_c</v>
          </cell>
          <cell r="B2348" t="str">
            <v>phytfl</v>
          </cell>
          <cell r="C2348" t="str">
            <v>All-trans-Phytofluene</v>
          </cell>
        </row>
        <row r="2349">
          <cell r="A2349" t="str">
            <v>bm_cw_c</v>
          </cell>
          <cell r="B2349" t="str">
            <v>bm_cw</v>
          </cell>
          <cell r="C2349" t="str">
            <v>Cell wall component of biomass</v>
          </cell>
        </row>
        <row r="2350">
          <cell r="A2350" t="str">
            <v>3a2oxpp_c</v>
          </cell>
          <cell r="B2350" t="str">
            <v>3a2oxpp</v>
          </cell>
          <cell r="C2350" t="str">
            <v>3-Amino-2-oxopropyl phosphate</v>
          </cell>
        </row>
        <row r="2351">
          <cell r="A2351" t="str">
            <v>amylose_c</v>
          </cell>
          <cell r="B2351" t="str">
            <v>amylose</v>
          </cell>
          <cell r="C2351" t="str">
            <v>Amylose</v>
          </cell>
        </row>
        <row r="2352">
          <cell r="A2352" t="str">
            <v>bm_pigm_c</v>
          </cell>
          <cell r="B2352" t="str">
            <v>bm_pigm</v>
          </cell>
          <cell r="C2352" t="str">
            <v>Pigment component of biomass</v>
          </cell>
        </row>
        <row r="2353">
          <cell r="A2353" t="str">
            <v>u3hga2_c</v>
          </cell>
          <cell r="B2353" t="str">
            <v>u3hga2</v>
          </cell>
          <cell r="C2353" t="str">
            <v>UDP-3-O-(3-hydroxyhexadecanoyl)-D-glucosamine</v>
          </cell>
        </row>
        <row r="2354">
          <cell r="A2354" t="str">
            <v>pq_cm</v>
          </cell>
          <cell r="B2354" t="str">
            <v>pq</v>
          </cell>
          <cell r="C2354" t="str">
            <v>Plastoquinone</v>
          </cell>
        </row>
        <row r="2355">
          <cell r="A2355" t="str">
            <v>npdp_c</v>
          </cell>
          <cell r="B2355" t="str">
            <v>npdp</v>
          </cell>
          <cell r="C2355" t="str">
            <v>All-trans-Nonaprenyl diphosphate</v>
          </cell>
        </row>
        <row r="2356">
          <cell r="A2356" t="str">
            <v>hco3_cx</v>
          </cell>
          <cell r="B2356" t="str">
            <v>hco3</v>
          </cell>
          <cell r="C2356" t="str">
            <v>Bicarbonate</v>
          </cell>
        </row>
        <row r="2357">
          <cell r="A2357" t="str">
            <v>pqh2_cm</v>
          </cell>
          <cell r="B2357" t="str">
            <v>pqh2</v>
          </cell>
          <cell r="C2357" t="str">
            <v>Plastoquinol</v>
          </cell>
        </row>
        <row r="2358">
          <cell r="A2358" t="str">
            <v>bm_rna_c</v>
          </cell>
          <cell r="B2358" t="str">
            <v>bm_rna</v>
          </cell>
          <cell r="C2358" t="str">
            <v>RNA component of biomass</v>
          </cell>
        </row>
        <row r="2359">
          <cell r="A2359" t="str">
            <v>dialurate_c</v>
          </cell>
          <cell r="B2359" t="str">
            <v>dialurate</v>
          </cell>
          <cell r="C2359" t="str">
            <v>Dialurate</v>
          </cell>
        </row>
        <row r="2360">
          <cell r="A2360" t="str">
            <v>bm_carbs_c</v>
          </cell>
          <cell r="B2360" t="str">
            <v>bm_carbs</v>
          </cell>
          <cell r="C2360" t="str">
            <v>Biomass metabolite: glycogen and carbohydrates</v>
          </cell>
        </row>
        <row r="2361">
          <cell r="A2361" t="str">
            <v>2ahethmpp_c</v>
          </cell>
          <cell r="B2361" t="str">
            <v>2ahethmpp</v>
          </cell>
          <cell r="C2361" t="str">
            <v>2-(alpha-Hydroxyethyl)thiamine diphosphate</v>
          </cell>
        </row>
        <row r="2362">
          <cell r="A2362" t="str">
            <v>3hbutACP_c</v>
          </cell>
          <cell r="B2362" t="str">
            <v>3hbutACP</v>
          </cell>
          <cell r="C2362" t="str">
            <v>(R)-3-Hydroxybutanoyl-[acyl-carrier protein]</v>
          </cell>
        </row>
        <row r="2363">
          <cell r="A2363" t="str">
            <v>lipidX2_c</v>
          </cell>
          <cell r="B2363" t="str">
            <v>lipidX2</v>
          </cell>
          <cell r="C2363" t="str">
            <v>2,3-Bis(3-hydroxyhexadecanoyl)-beta-D-glucosaminyl 1-phosphate</v>
          </cell>
        </row>
        <row r="2364">
          <cell r="A2364" t="str">
            <v>pqh2_c</v>
          </cell>
          <cell r="B2364" t="str">
            <v>pqh2</v>
          </cell>
          <cell r="C2364" t="str">
            <v>Plastoquinol</v>
          </cell>
        </row>
        <row r="2365">
          <cell r="A2365" t="str">
            <v>cthzp_c</v>
          </cell>
          <cell r="B2365" t="str">
            <v>cthzp</v>
          </cell>
          <cell r="C2365" t="str">
            <v>4-Methyl-5-[2-(phosphonooxy)ethyl]-1,3-thiazole-2-carboxylate</v>
          </cell>
        </row>
        <row r="2366">
          <cell r="A2366" t="str">
            <v>dczcaro_c</v>
          </cell>
          <cell r="B2366" t="str">
            <v>dczcaro</v>
          </cell>
          <cell r="C2366" t="str">
            <v>9,9-dicis-zeta-Carotene</v>
          </cell>
        </row>
        <row r="2367">
          <cell r="A2367" t="str">
            <v>this_c</v>
          </cell>
          <cell r="B2367" t="str">
            <v>this</v>
          </cell>
          <cell r="C2367" t="str">
            <v>Thiamine biosynthesis intermediate 1</v>
          </cell>
        </row>
        <row r="2368">
          <cell r="A2368" t="str">
            <v>imgly_c</v>
          </cell>
          <cell r="B2368" t="str">
            <v>imgly</v>
          </cell>
          <cell r="C2368" t="str">
            <v>Iminoglycine</v>
          </cell>
        </row>
        <row r="2369">
          <cell r="A2369" t="str">
            <v>2c4mthzep_c</v>
          </cell>
          <cell r="B2369" t="str">
            <v>2c4mthzep</v>
          </cell>
          <cell r="C2369" t="str">
            <v>2-[(2R,5Z)-2-Carboxy-4-methylthiazol-5(2H)-ylidene]ethyl phosphate</v>
          </cell>
        </row>
        <row r="2370">
          <cell r="A2370" t="str">
            <v>pa1619Z160_c</v>
          </cell>
          <cell r="B2370" t="str">
            <v>pa1619Z160</v>
          </cell>
          <cell r="C2370" t="str">
            <v>1-9-Hexadecenoyl-2-Hexadecanoyl-sn-glycerol-3-phosphate</v>
          </cell>
        </row>
        <row r="2371">
          <cell r="A2371" t="str">
            <v>pa1819Z1619Z_c</v>
          </cell>
          <cell r="B2371" t="str">
            <v>pa1819Z1619Z</v>
          </cell>
          <cell r="C2371" t="str">
            <v>1-(9Z)-octadecenoyl,2-(9Z)-hexadecenoyl-sn-glycerol 3-phosphate</v>
          </cell>
        </row>
        <row r="2372">
          <cell r="A2372" t="str">
            <v>sqdg1619Z160_c</v>
          </cell>
          <cell r="B2372" t="str">
            <v>sqdg1619Z160</v>
          </cell>
          <cell r="C2372" t="str">
            <v>Sulfoquinovosyl diacylglycerol(16:1(9Z)/16:0)</v>
          </cell>
        </row>
        <row r="2373">
          <cell r="A2373" t="str">
            <v>dgdg1819Z1619Z_c</v>
          </cell>
          <cell r="B2373" t="str">
            <v>dgdg1819Z1619Z</v>
          </cell>
          <cell r="C2373" t="str">
            <v>Digalactosyldiacylglycerol (1-(9Z)-octadecenoyl,2-(9Z)-hexadecenoyl, 18:1(9Z)/16:1(9Z))</v>
          </cell>
        </row>
        <row r="2374">
          <cell r="A2374" t="str">
            <v>mgdg1819Z1619Z_c</v>
          </cell>
          <cell r="B2374" t="str">
            <v>mgdg1819Z1619Z</v>
          </cell>
          <cell r="C2374" t="str">
            <v>Monogalactosyldiacylglycerol (1-(9Z)-octadecenoyl,2-(9Z)-hexadecenoyl, 18:1(9Z)/16:1(9Z))</v>
          </cell>
        </row>
        <row r="2375">
          <cell r="A2375" t="str">
            <v>glcdg1619Z160_c</v>
          </cell>
          <cell r="B2375" t="str">
            <v>glcdg1619Z160</v>
          </cell>
          <cell r="C2375" t="str">
            <v>1,2-Diacyl-3-O-(beta-D-glucopyranosyl)-sn-glycerol(16:1(9Z)/16:0)</v>
          </cell>
        </row>
        <row r="2376">
          <cell r="A2376" t="str">
            <v>dgdg1819Z160Z_c</v>
          </cell>
          <cell r="B2376" t="str">
            <v>dgdg1819Z160Z</v>
          </cell>
          <cell r="C2376" t="str">
            <v>Digalactosyl-diacylglycerol(18:1(9Z)/16:0)</v>
          </cell>
        </row>
        <row r="2377">
          <cell r="A2377" t="str">
            <v>photon450_e</v>
          </cell>
          <cell r="B2377" t="str">
            <v>photon450</v>
          </cell>
          <cell r="C2377" t="str">
            <v>Photon (417 to 472 nm, indigo/blue)</v>
          </cell>
        </row>
        <row r="2378">
          <cell r="A2378" t="str">
            <v>photon470_e</v>
          </cell>
          <cell r="B2378" t="str">
            <v>photon470</v>
          </cell>
          <cell r="C2378" t="str">
            <v>Photon (460nm-480nm)</v>
          </cell>
        </row>
        <row r="2379">
          <cell r="A2379" t="str">
            <v>chla_soret_exc_c</v>
          </cell>
          <cell r="B2379" t="str">
            <v>chla_soret_exc</v>
          </cell>
          <cell r="C2379" t="str">
            <v>Excited chlorophyll A, Soret band (short wavelength)</v>
          </cell>
        </row>
        <row r="2380">
          <cell r="A2380" t="str">
            <v>bcaro_exc_c</v>
          </cell>
          <cell r="B2380" t="str">
            <v>bcaro_exc</v>
          </cell>
          <cell r="C2380" t="str">
            <v>Excited beta-carotene</v>
          </cell>
        </row>
        <row r="2381">
          <cell r="A2381" t="str">
            <v>u23ga2_c</v>
          </cell>
          <cell r="B2381" t="str">
            <v>u23ga2</v>
          </cell>
          <cell r="C2381" t="str">
            <v>UDP-2,3-bis(3-hydroxyhexadecanoyl)glucosamine</v>
          </cell>
        </row>
        <row r="2382">
          <cell r="A2382" t="str">
            <v>unagam_c</v>
          </cell>
          <cell r="B2382" t="str">
            <v>unagam</v>
          </cell>
          <cell r="C2382" t="str">
            <v>Undecaprenyl-diphospho-N-acetylglucosamine-N-acetylmannosamine</v>
          </cell>
        </row>
        <row r="2383">
          <cell r="A2383" t="str">
            <v>icolipacy_c</v>
          </cell>
          <cell r="B2383" t="str">
            <v>icolipacy</v>
          </cell>
          <cell r="C2383" t="str">
            <v>Inner core oligosaccharide lipid A (Synechococcus elongatus 7942)</v>
          </cell>
        </row>
        <row r="2384">
          <cell r="A2384" t="str">
            <v>icolipacy_p</v>
          </cell>
          <cell r="B2384" t="str">
            <v>icolipacy</v>
          </cell>
          <cell r="C2384" t="str">
            <v>Inner core oligosaccharide lipid A (Synechococcus elongatus 7942)</v>
          </cell>
        </row>
        <row r="2385">
          <cell r="A2385" t="str">
            <v>5g2oxpt_p</v>
          </cell>
          <cell r="B2385" t="str">
            <v>5g2oxpt</v>
          </cell>
          <cell r="C2385" t="str">
            <v>2-Oxoarginine</v>
          </cell>
        </row>
        <row r="2386">
          <cell r="A2386" t="str">
            <v>p700_um</v>
          </cell>
          <cell r="B2386" t="str">
            <v>p700</v>
          </cell>
          <cell r="C2386" t="str">
            <v>PSI reaction center P700</v>
          </cell>
        </row>
        <row r="2387">
          <cell r="A2387" t="str">
            <v>p680_um</v>
          </cell>
          <cell r="B2387" t="str">
            <v>p680</v>
          </cell>
          <cell r="C2387" t="str">
            <v>PSII reaction center P680</v>
          </cell>
        </row>
        <row r="2388">
          <cell r="A2388" t="str">
            <v>k_u</v>
          </cell>
          <cell r="B2388" t="str">
            <v>k</v>
          </cell>
          <cell r="C2388" t="str">
            <v>Potassium</v>
          </cell>
        </row>
        <row r="2389">
          <cell r="A2389" t="str">
            <v>ps2d1_um</v>
          </cell>
          <cell r="B2389" t="str">
            <v>ps2d1</v>
          </cell>
          <cell r="C2389" t="str">
            <v>PSII D1 protein</v>
          </cell>
        </row>
        <row r="2390">
          <cell r="A2390" t="str">
            <v>g6p_h</v>
          </cell>
          <cell r="B2390" t="str">
            <v>g6p</v>
          </cell>
          <cell r="C2390" t="str">
            <v>D-Glucose 6-phosphate</v>
          </cell>
        </row>
        <row r="2391">
          <cell r="A2391" t="str">
            <v>m8masn_c</v>
          </cell>
          <cell r="B2391" t="str">
            <v>m8masn</v>
          </cell>
          <cell r="C2391" t="str">
            <v>(alpha-D-mannosyl)8-beta-D-mannosyl-diacetylchitobiosyl-L-asparagine (protein)</v>
          </cell>
        </row>
        <row r="2392">
          <cell r="A2392" t="str">
            <v>t2c11vaceACP_h</v>
          </cell>
          <cell r="B2392" t="str">
            <v>t2c11vaceACP</v>
          </cell>
          <cell r="C2392" t="str">
            <v>Trans-3-cis-11-Vacceoyl-[acyl-carrier-protein]</v>
          </cell>
        </row>
        <row r="2393">
          <cell r="A2393" t="str">
            <v>thdp_h</v>
          </cell>
          <cell r="B2393" t="str">
            <v>thdp</v>
          </cell>
          <cell r="C2393" t="str">
            <v>2,3,4,5-Tetrahydrodipicolinate</v>
          </cell>
        </row>
        <row r="2394">
          <cell r="A2394" t="str">
            <v>acg5sa_h</v>
          </cell>
          <cell r="B2394" t="str">
            <v>acg5sa</v>
          </cell>
          <cell r="C2394" t="str">
            <v>N-Acetyl-L-glutamate 5-semialdehyde</v>
          </cell>
        </row>
        <row r="2395">
          <cell r="A2395" t="str">
            <v>3php_m</v>
          </cell>
          <cell r="B2395" t="str">
            <v>3php</v>
          </cell>
          <cell r="C2395" t="str">
            <v>3-Phosphohydroxypyruvate</v>
          </cell>
        </row>
        <row r="2396">
          <cell r="A2396" t="str">
            <v>lys__L_h</v>
          </cell>
          <cell r="B2396" t="str">
            <v>lys__L</v>
          </cell>
          <cell r="C2396" t="str">
            <v>L-Lysine</v>
          </cell>
        </row>
        <row r="2397">
          <cell r="A2397" t="str">
            <v>hthbp_c</v>
          </cell>
          <cell r="B2397" t="str">
            <v>hthbp</v>
          </cell>
          <cell r="C2397" t="str">
            <v>4a-Hydroxytetrahydrobiopterin</v>
          </cell>
        </row>
        <row r="2398">
          <cell r="A2398" t="str">
            <v>etha_m</v>
          </cell>
          <cell r="B2398" t="str">
            <v>etha</v>
          </cell>
          <cell r="C2398" t="str">
            <v>Ethanolamine</v>
          </cell>
        </row>
        <row r="2399">
          <cell r="A2399" t="str">
            <v>methamp_c</v>
          </cell>
          <cell r="B2399" t="str">
            <v>methamp</v>
          </cell>
          <cell r="C2399" t="str">
            <v>N-Methylethanolamine phosphate</v>
          </cell>
        </row>
        <row r="2400">
          <cell r="A2400" t="str">
            <v>inost_m</v>
          </cell>
          <cell r="B2400" t="str">
            <v>inost</v>
          </cell>
          <cell r="C2400" t="str">
            <v>Myo-Inositol</v>
          </cell>
        </row>
        <row r="2401">
          <cell r="A2401" t="str">
            <v>ficytb5_m</v>
          </cell>
          <cell r="B2401" t="str">
            <v>ficytb5</v>
          </cell>
          <cell r="C2401" t="str">
            <v>Ferricytochrome b5</v>
          </cell>
        </row>
        <row r="2402">
          <cell r="A2402" t="str">
            <v>1eicos58111417eg3p_c</v>
          </cell>
          <cell r="B2402" t="str">
            <v>1eicos58111417eg3p</v>
          </cell>
          <cell r="C2402" t="str">
            <v>1-(5Z,8Z,11Z,14Z,17Z)-Eicosapentaenoyl-sn-glycerol-3-phosphate</v>
          </cell>
        </row>
        <row r="2403">
          <cell r="A2403" t="str">
            <v>pa1401619Z_c</v>
          </cell>
          <cell r="B2403" t="str">
            <v>pa1401619Z</v>
          </cell>
          <cell r="C2403" t="str">
            <v>1-tetradecanoyl-2-9-hexadecenoyl-sn-glycerol-3-phosphate</v>
          </cell>
        </row>
        <row r="2404">
          <cell r="A2404" t="str">
            <v>pa140226n3_c</v>
          </cell>
          <cell r="B2404" t="str">
            <v>pa140226n3</v>
          </cell>
          <cell r="C2404" t="str">
            <v>1-tetradecanoyl-2-4,7,10,13,16,19-docosahexaenoyl-sn-glycerol-3-phosphate</v>
          </cell>
        </row>
        <row r="2405">
          <cell r="A2405" t="str">
            <v>pa160226n3_c</v>
          </cell>
          <cell r="B2405" t="str">
            <v>pa160226n3</v>
          </cell>
          <cell r="C2405" t="str">
            <v>1-hexadecanoyl-2-4,7,10,13,16,19-docosahexaenoyl-sn-glycerol-3-phosphate</v>
          </cell>
        </row>
        <row r="2406">
          <cell r="A2406" t="str">
            <v>pa1619Z180_c</v>
          </cell>
          <cell r="B2406" t="str">
            <v>pa1619Z180</v>
          </cell>
          <cell r="C2406" t="str">
            <v>1-9-hexadecenoyl-2-octadecanoyl-sn-glycerol-3-phosphate</v>
          </cell>
        </row>
        <row r="2407">
          <cell r="A2407" t="str">
            <v>pa1619Z1819Z_c</v>
          </cell>
          <cell r="B2407" t="str">
            <v>pa1619Z1819Z</v>
          </cell>
          <cell r="C2407" t="str">
            <v>1-9-hexadecenoyl-2-9-octadecenoyl-sn-glycerol-3-phosphate</v>
          </cell>
        </row>
        <row r="2408">
          <cell r="A2408" t="str">
            <v>pa1619Z205n3_c</v>
          </cell>
          <cell r="B2408" t="str">
            <v>pa1619Z205n3</v>
          </cell>
          <cell r="C2408" t="str">
            <v>1-9-hexadecenoyl-2-5,8,11,14,17-eicosapentaenoyl-sn-glycerol-3-phosphate</v>
          </cell>
        </row>
        <row r="2409">
          <cell r="A2409" t="str">
            <v>pa205n3140_c</v>
          </cell>
          <cell r="B2409" t="str">
            <v>pa205n3140</v>
          </cell>
          <cell r="C2409" t="str">
            <v>1-5,8,11,14,17-eicosapentaenoyl-2-tetradecanoyl-sn-glycerol-3-phosphate</v>
          </cell>
        </row>
        <row r="2410">
          <cell r="A2410" t="str">
            <v>pa205n3160_c</v>
          </cell>
          <cell r="B2410" t="str">
            <v>pa205n3160</v>
          </cell>
          <cell r="C2410" t="str">
            <v>1-5,8,11,14,17-eicosapentaenoyl-2-hexadecanoyl-sn-glycerol-3-phosphate</v>
          </cell>
        </row>
        <row r="2411">
          <cell r="A2411" t="str">
            <v>pa205n31819Z_c</v>
          </cell>
          <cell r="B2411" t="str">
            <v>pa205n31819Z</v>
          </cell>
          <cell r="C2411" t="str">
            <v>1-5,8,11,14,17-eicosapentaenoyl-2-9-octadecenoyl-sn-glycerol-3-phosphate</v>
          </cell>
        </row>
        <row r="2412">
          <cell r="A2412" t="str">
            <v>pa205n3226n3_c</v>
          </cell>
          <cell r="B2412" t="str">
            <v>pa205n3226n3</v>
          </cell>
          <cell r="C2412" t="str">
            <v>1-5,8,11,14,17-eicosapentaenoyl-2-4,7,10,13,16,19-docosahexaenoyl-sn-glycerol-3-phosphate</v>
          </cell>
        </row>
        <row r="2413">
          <cell r="A2413" t="str">
            <v>pa226n3140_c</v>
          </cell>
          <cell r="B2413" t="str">
            <v>pa226n3140</v>
          </cell>
          <cell r="C2413" t="str">
            <v>1-4,7,10,13,16,19-docosahexaenoyl-2-tetradecanoyl-sn-glycerol-3-phosphate</v>
          </cell>
        </row>
        <row r="2414">
          <cell r="A2414" t="str">
            <v>pa226n3205n3_c</v>
          </cell>
          <cell r="B2414" t="str">
            <v>pa226n3205n3</v>
          </cell>
          <cell r="C2414" t="str">
            <v>1-4,7,10,13,16,19-docosahexaenoyl-2-5,8,11,14,17-eicosapentaenoyl-sn-glycerol-3-phosphate</v>
          </cell>
        </row>
        <row r="2415">
          <cell r="A2415" t="str">
            <v>12dgr140160_c</v>
          </cell>
          <cell r="B2415" t="str">
            <v>12dgr140160</v>
          </cell>
          <cell r="C2415" t="str">
            <v>1,2-Diacyl-sn-glycerol(14:0/16:0)</v>
          </cell>
        </row>
        <row r="2416">
          <cell r="A2416" t="str">
            <v>12dgr1401619Z_c</v>
          </cell>
          <cell r="B2416" t="str">
            <v>12dgr1401619Z</v>
          </cell>
          <cell r="C2416" t="str">
            <v>1,2-Diacyl-sn-glycerol(14:0/16:1(9Z))</v>
          </cell>
        </row>
        <row r="2417">
          <cell r="A2417" t="str">
            <v>12dgr1401819Z_c</v>
          </cell>
          <cell r="B2417" t="str">
            <v>12dgr1401819Z</v>
          </cell>
          <cell r="C2417" t="str">
            <v>1,2-Diacyl-sn-glycerol(14:0/18:1(9Z))</v>
          </cell>
        </row>
        <row r="2418">
          <cell r="A2418" t="str">
            <v>12dgr1601619Z_c</v>
          </cell>
          <cell r="B2418" t="str">
            <v>12dgr1601619Z</v>
          </cell>
          <cell r="C2418" t="str">
            <v>1,2-Diacyl-sn-glycerol(16:0/16:1(9Z))</v>
          </cell>
        </row>
        <row r="2419">
          <cell r="A2419" t="str">
            <v>12dgr160205n3_c</v>
          </cell>
          <cell r="B2419" t="str">
            <v>12dgr160205n3</v>
          </cell>
          <cell r="C2419" t="str">
            <v>1,2-Diacyl-sn-glycerol(16:0/20:5(5Z,8Z,11Z,14Z,17Z))</v>
          </cell>
        </row>
        <row r="2420">
          <cell r="A2420" t="str">
            <v>12dgr1619Z1819Z_c</v>
          </cell>
          <cell r="B2420" t="str">
            <v>12dgr1619Z1819Z</v>
          </cell>
          <cell r="C2420" t="str">
            <v>1,2-Diacyl-sn-glycerol(16:1(9Z)/18:1(9Z))</v>
          </cell>
        </row>
        <row r="2421">
          <cell r="A2421" t="str">
            <v>12dgr1619Z205n3_c</v>
          </cell>
          <cell r="B2421" t="str">
            <v>12dgr1619Z205n3</v>
          </cell>
          <cell r="C2421" t="str">
            <v>1,2-Diacyl-sn-glycerol(16:1(9Z)/20:5(5Z,8Z,11Z,14Z,17Z))</v>
          </cell>
        </row>
        <row r="2422">
          <cell r="A2422" t="str">
            <v>12dgr180205n3_c</v>
          </cell>
          <cell r="B2422" t="str">
            <v>12dgr180205n3</v>
          </cell>
          <cell r="C2422" t="str">
            <v>1,2-Diacyl-sn-glycerol(18:0/20:5(5Z,8Z,11Z,14Z,17Z))</v>
          </cell>
        </row>
        <row r="2423">
          <cell r="A2423" t="str">
            <v>12dgr1819Z140_c</v>
          </cell>
          <cell r="B2423" t="str">
            <v>12dgr1819Z140</v>
          </cell>
          <cell r="C2423" t="str">
            <v>1,2-Diacyl-sn-glycerol(18:1(9Z)/14:0)</v>
          </cell>
        </row>
        <row r="2424">
          <cell r="A2424" t="str">
            <v>12dgr1819Z205n3_c</v>
          </cell>
          <cell r="B2424" t="str">
            <v>12dgr1819Z205n3</v>
          </cell>
          <cell r="C2424" t="str">
            <v>1,2-Diacyl-sn-glycerol(18:1(9Z)/20:5(5Z,8Z,11Z,14Z,17Z))</v>
          </cell>
        </row>
        <row r="2425">
          <cell r="A2425" t="str">
            <v>12dgr205n3140_c</v>
          </cell>
          <cell r="B2425" t="str">
            <v>12dgr205n3140</v>
          </cell>
          <cell r="C2425" t="str">
            <v>1,2-Diacyl-sn-glycerol(20:5(5Z,8Z,11Z,14Z,17Z)/14:0)</v>
          </cell>
        </row>
        <row r="2426">
          <cell r="A2426" t="str">
            <v>12dgr205n31819Z_c</v>
          </cell>
          <cell r="B2426" t="str">
            <v>12dgr205n31819Z</v>
          </cell>
          <cell r="C2426" t="str">
            <v>1,2-Diacyl-sn-glycerol(20:5(5Z,8Z,11Z,14Z,17Z)/18:1(9Z))</v>
          </cell>
        </row>
        <row r="2427">
          <cell r="A2427" t="str">
            <v>12dgr205n3_c</v>
          </cell>
          <cell r="B2427" t="str">
            <v>12dgr205n3</v>
          </cell>
          <cell r="C2427" t="str">
            <v>1,2-Diacyl-sn-glycerol(20:5(5Z,8Z,11Z,14Z,17Z)/20:5(5Z,8Z,11Z,14Z,17Z))</v>
          </cell>
        </row>
        <row r="2428">
          <cell r="A2428" t="str">
            <v>12dgr205n3226n3_c</v>
          </cell>
          <cell r="B2428" t="str">
            <v>12dgr205n3226n3</v>
          </cell>
          <cell r="C2428" t="str">
            <v>1,2-Diacyl-sn-glycerol(20:5(5Z,8Z,11Z,14Z,17Z)/22:6(4Z,7Z,10Z,13Z,16Z,19Z))</v>
          </cell>
        </row>
        <row r="2429">
          <cell r="A2429" t="str">
            <v>pc140_c</v>
          </cell>
          <cell r="B2429" t="str">
            <v>pc140</v>
          </cell>
          <cell r="C2429" t="str">
            <v>Phosphatidylcholine(14:0/14:0)</v>
          </cell>
        </row>
        <row r="2430">
          <cell r="A2430" t="str">
            <v>pc160_c</v>
          </cell>
          <cell r="B2430" t="str">
            <v>pc160</v>
          </cell>
          <cell r="C2430" t="str">
            <v>Phosphatidylcholine(16:0/16:0)</v>
          </cell>
        </row>
        <row r="2431">
          <cell r="A2431" t="str">
            <v>pc1619Z140_c</v>
          </cell>
          <cell r="B2431" t="str">
            <v>pc1619Z140</v>
          </cell>
          <cell r="C2431" t="str">
            <v>Phosphatidylcholine(16:1(9Z)/14:0)</v>
          </cell>
        </row>
        <row r="2432">
          <cell r="A2432" t="str">
            <v>pc1801619Z_c</v>
          </cell>
          <cell r="B2432" t="str">
            <v>pc1801619Z</v>
          </cell>
          <cell r="C2432" t="str">
            <v>Phosphatidylcholine(18:0/16:1(9Z))</v>
          </cell>
        </row>
        <row r="2433">
          <cell r="A2433" t="str">
            <v>pc205n3226n3_c</v>
          </cell>
          <cell r="B2433" t="str">
            <v>pc205n3226n3</v>
          </cell>
          <cell r="C2433" t="str">
            <v>Phosphatidylcholine(20:5(5Z,8Z,11Z,14Z,17Z)/22:6(4Z,7Z,10Z,13Z,16Z,19Z))</v>
          </cell>
        </row>
        <row r="2434">
          <cell r="A2434" t="str">
            <v>pc226n31619Z_c</v>
          </cell>
          <cell r="B2434" t="str">
            <v>pc226n31619Z</v>
          </cell>
          <cell r="C2434" t="str">
            <v>Phosphatidylcholine(22:6(4Z,7Z,10Z,13Z,16Z,19Z)/16:1(9Z))</v>
          </cell>
        </row>
        <row r="2435">
          <cell r="A2435" t="str">
            <v>pc182n6180_c</v>
          </cell>
          <cell r="B2435" t="str">
            <v>pc182n6180</v>
          </cell>
          <cell r="C2435" t="str">
            <v>Phosphatidylcholine(18:2(9Z,12Z)/18:0)</v>
          </cell>
        </row>
        <row r="2436">
          <cell r="A2436" t="str">
            <v>pc182_9_12_c</v>
          </cell>
          <cell r="B2436" t="str">
            <v>pc182_9_12</v>
          </cell>
          <cell r="C2436" t="str">
            <v>Phosphatidylcholine(18:2(9Z,12Z)/18:2(9Z,12Z))</v>
          </cell>
        </row>
        <row r="2437">
          <cell r="A2437" t="str">
            <v>pc1819Z183n6_c</v>
          </cell>
          <cell r="B2437" t="str">
            <v>pc1819Z183n6</v>
          </cell>
          <cell r="C2437" t="str">
            <v>Phosphatidylcholine(18:1(9Z)/18:3(6Z,9Z,12Z))</v>
          </cell>
        </row>
        <row r="2438">
          <cell r="A2438" t="str">
            <v>pc205n3183n6_c</v>
          </cell>
          <cell r="B2438" t="str">
            <v>pc205n3183n6</v>
          </cell>
          <cell r="C2438" t="str">
            <v>Phosphatidylcholine(20:5(5Z,8Z,11Z,14Z,17Z)/18:3(6Z,9Z,12Z))</v>
          </cell>
        </row>
        <row r="2439">
          <cell r="A2439" t="str">
            <v>pc1819Z183n3_c</v>
          </cell>
          <cell r="B2439" t="str">
            <v>pc1819Z183n3</v>
          </cell>
          <cell r="C2439" t="str">
            <v>Phosphatidylcholine(18:1(9Z)/18:3(9Z,12Z,15Z))</v>
          </cell>
        </row>
        <row r="2440">
          <cell r="A2440" t="str">
            <v>pc1619Z184n3_c</v>
          </cell>
          <cell r="B2440" t="str">
            <v>pc1619Z184n3</v>
          </cell>
          <cell r="C2440" t="str">
            <v>Phosphatidylcholine(16:1(9Z)/18:4(6Z,9Z,12Z,15Z))</v>
          </cell>
        </row>
        <row r="2441">
          <cell r="A2441" t="str">
            <v>hd691215ea_h</v>
          </cell>
          <cell r="B2441" t="str">
            <v>hd691215ea</v>
          </cell>
          <cell r="C2441" t="str">
            <v>(6Z,9Z,12Z,15Z)-hexadecatetraenoate (C16:4)</v>
          </cell>
        </row>
        <row r="2442">
          <cell r="A2442" t="str">
            <v>1agpc140_c</v>
          </cell>
          <cell r="B2442" t="str">
            <v>1agpc140</v>
          </cell>
          <cell r="C2442" t="str">
            <v>1-14:0-2-lysophosphatidylcholine</v>
          </cell>
        </row>
        <row r="2443">
          <cell r="A2443" t="str">
            <v>1agpc160_c</v>
          </cell>
          <cell r="B2443" t="str">
            <v>1agpc160</v>
          </cell>
          <cell r="C2443" t="str">
            <v>1-16:0-2-lysophosphatidylcholine</v>
          </cell>
        </row>
        <row r="2444">
          <cell r="A2444" t="str">
            <v>1agpc181_c</v>
          </cell>
          <cell r="B2444" t="str">
            <v>1agpc181</v>
          </cell>
          <cell r="C2444" t="str">
            <v>1-18:1(9Z)-2-lysophosphatidylcholine</v>
          </cell>
        </row>
        <row r="2445">
          <cell r="A2445" t="str">
            <v>3oeicoscoa_c</v>
          </cell>
          <cell r="B2445" t="str">
            <v>3oeicoscoa</v>
          </cell>
          <cell r="C2445" t="str">
            <v>3-oxo-eicosanoyl-CoA</v>
          </cell>
        </row>
        <row r="2446">
          <cell r="A2446" t="str">
            <v>3heicoscoa_c</v>
          </cell>
          <cell r="B2446" t="str">
            <v>3heicoscoa</v>
          </cell>
          <cell r="C2446" t="str">
            <v>3-hydroxyeicosanoyl-CoA</v>
          </cell>
        </row>
        <row r="2447">
          <cell r="A2447" t="str">
            <v>3httccoa_c</v>
          </cell>
          <cell r="B2447" t="str">
            <v>3httccoa</v>
          </cell>
          <cell r="C2447" t="str">
            <v>3-hydroxytetracosanoyl-CoA</v>
          </cell>
        </row>
        <row r="2448">
          <cell r="A2448" t="str">
            <v>pc140203n6_c</v>
          </cell>
          <cell r="B2448" t="str">
            <v>pc140203n6</v>
          </cell>
          <cell r="C2448" t="str">
            <v>Phosphatidylcholine(14:0/20:3(8Z,11Z,14Z))</v>
          </cell>
        </row>
        <row r="2449">
          <cell r="A2449" t="str">
            <v>pc226n3203n6_c</v>
          </cell>
          <cell r="B2449" t="str">
            <v>pc226n3203n6</v>
          </cell>
          <cell r="C2449" t="str">
            <v>Phosphatidylcholine(22:6(4Z,7Z,10Z,13Z,16Z,19Z)/20:3(8Z,11Z,14Z))</v>
          </cell>
        </row>
        <row r="2450">
          <cell r="A2450" t="str">
            <v>pc180204n6_c</v>
          </cell>
          <cell r="B2450" t="str">
            <v>pc180204n6</v>
          </cell>
          <cell r="C2450" t="str">
            <v>Phosphatidylcholine(18:0/20:4(5Z,8Z,11Z,14Z))</v>
          </cell>
        </row>
        <row r="2451">
          <cell r="A2451" t="str">
            <v>docos710131619coa_c</v>
          </cell>
          <cell r="B2451" t="str">
            <v>docos710131619coa</v>
          </cell>
          <cell r="C2451" t="str">
            <v>(7Z,10Z,13Z,16Z,19Z)-docosapentaenoyl-CoA</v>
          </cell>
        </row>
        <row r="2452">
          <cell r="A2452" t="str">
            <v>pc160225n3_c</v>
          </cell>
          <cell r="B2452" t="str">
            <v>pc160225n3</v>
          </cell>
          <cell r="C2452" t="str">
            <v>Phosphatidylcholine(16:0/22:5(7Z,10Z,13Z,16Z,19Z))</v>
          </cell>
        </row>
        <row r="2453">
          <cell r="A2453" t="str">
            <v>pa140182n6_c</v>
          </cell>
          <cell r="B2453" t="str">
            <v>pa140182n6</v>
          </cell>
          <cell r="C2453" t="str">
            <v>1-tetradecanoyl-2-9,12-octadecadienoyl-sn-glycerol-3-phosphate</v>
          </cell>
        </row>
        <row r="2454">
          <cell r="A2454" t="str">
            <v>pa160182n6_c</v>
          </cell>
          <cell r="B2454" t="str">
            <v>pa160182n6</v>
          </cell>
          <cell r="C2454" t="str">
            <v>1-hexadecanoyl-2-9,12-octadecadienoyl-sn-glycerol-3-phosphate</v>
          </cell>
        </row>
        <row r="2455">
          <cell r="A2455" t="str">
            <v>pa180182n6_c</v>
          </cell>
          <cell r="B2455" t="str">
            <v>pa180182n6</v>
          </cell>
          <cell r="C2455" t="str">
            <v>1-octadecanoyl-2-9,12-octadecadienoyl-sn-glycerol-3-phosphate</v>
          </cell>
        </row>
        <row r="2456">
          <cell r="A2456" t="str">
            <v>pa226n3182n6_c</v>
          </cell>
          <cell r="B2456" t="str">
            <v>pa226n3182n6</v>
          </cell>
          <cell r="C2456" t="str">
            <v>1-4,7,10,13,16,19-docosahexaenoyl-2-9,12-octadecadienoyl-sn-glycerol-3-phosphate</v>
          </cell>
        </row>
        <row r="2457">
          <cell r="A2457" t="str">
            <v>pa140183n6_c</v>
          </cell>
          <cell r="B2457" t="str">
            <v>pa140183n6</v>
          </cell>
          <cell r="C2457" t="str">
            <v>1-tetradecanoyl-2-6,9,12-octadecatrienoyl-sn-glycerol-3-phosphate</v>
          </cell>
        </row>
        <row r="2458">
          <cell r="A2458" t="str">
            <v>pa1619Z183n6_c</v>
          </cell>
          <cell r="B2458" t="str">
            <v>pa1619Z183n6</v>
          </cell>
          <cell r="C2458" t="str">
            <v>1-9-hexadecenoyl-2-6,9,12-octadecatrienoyl-sn-glycerol-3-phosphate</v>
          </cell>
        </row>
        <row r="2459">
          <cell r="A2459" t="str">
            <v>pa180183n6_c</v>
          </cell>
          <cell r="B2459" t="str">
            <v>pa180183n6</v>
          </cell>
          <cell r="C2459" t="str">
            <v>1-octadecanoyl-2-6,9,12-octadecatrienoyl-sn-glycerol-3-phosphate</v>
          </cell>
        </row>
        <row r="2460">
          <cell r="A2460" t="str">
            <v>pa1619Z183n3_c</v>
          </cell>
          <cell r="B2460" t="str">
            <v>pa1619Z183n3</v>
          </cell>
          <cell r="C2460" t="str">
            <v>1-9-hexadecenoyl-2-9,12,15-octadecatrienoyl-sn-glycerol-3-phosphate</v>
          </cell>
        </row>
        <row r="2461">
          <cell r="A2461" t="str">
            <v>pa180183n3_c</v>
          </cell>
          <cell r="B2461" t="str">
            <v>pa180183n3</v>
          </cell>
          <cell r="C2461" t="str">
            <v>1-octadecanoyl-2-9,12,15-octadecatrienoyl-sn-glycerol-3-phosphate</v>
          </cell>
        </row>
        <row r="2462">
          <cell r="A2462" t="str">
            <v>pa160204n6_c</v>
          </cell>
          <cell r="B2462" t="str">
            <v>pa160204n6</v>
          </cell>
          <cell r="C2462" t="str">
            <v>1-hexadecanoyl-2-5,8,11,14-eicosatetraenoyl-sn-glycerol-3-phosphate</v>
          </cell>
        </row>
        <row r="2463">
          <cell r="A2463" t="str">
            <v>pa1619Z204n6_c</v>
          </cell>
          <cell r="B2463" t="str">
            <v>pa1619Z204n6</v>
          </cell>
          <cell r="C2463" t="str">
            <v>1-9-hexadecenoyl-2-5,8,11,14-eicosatetraenoyl-sn-glycerol-3-phosphate</v>
          </cell>
        </row>
        <row r="2464">
          <cell r="A2464" t="str">
            <v>pa180204n6_c</v>
          </cell>
          <cell r="B2464" t="str">
            <v>pa180204n6</v>
          </cell>
          <cell r="C2464" t="str">
            <v>1-octadecanoyl-2-5,8,11,14-eicosatetraenoyl-sn-glycerol-3-phosphate</v>
          </cell>
        </row>
        <row r="2465">
          <cell r="A2465" t="str">
            <v>pa182n6204n6_c</v>
          </cell>
          <cell r="B2465" t="str">
            <v>pa182n6204n6</v>
          </cell>
          <cell r="C2465" t="str">
            <v>1-9,12-octadecadienoyl-2-5,8,11,14-eicosatetraenoyl-sn-glycerol-3-phosphate</v>
          </cell>
        </row>
        <row r="2466">
          <cell r="A2466" t="str">
            <v>pa226n3204n6_c</v>
          </cell>
          <cell r="B2466" t="str">
            <v>pa226n3204n6</v>
          </cell>
          <cell r="C2466" t="str">
            <v>1-4,7,10,13,16,19-docosahexaenoyl-2-5,8,11,14-eicosatetraenoyl-sn-glycerol-3-phosphate</v>
          </cell>
        </row>
        <row r="2467">
          <cell r="A2467" t="str">
            <v>12dgr160182n6_c</v>
          </cell>
          <cell r="B2467" t="str">
            <v>12dgr160182n6</v>
          </cell>
          <cell r="C2467" t="str">
            <v>1,2-Diacyl-sn-glycerol(16:0/18:2(9Z,12Z))</v>
          </cell>
        </row>
        <row r="2468">
          <cell r="A2468" t="str">
            <v>12dgr182n6140_c</v>
          </cell>
          <cell r="B2468" t="str">
            <v>12dgr182n6140</v>
          </cell>
          <cell r="C2468" t="str">
            <v>1,2-Diacyl-sn-glycerol(18:2(9Z,12Z)/14:0)</v>
          </cell>
        </row>
        <row r="2469">
          <cell r="A2469" t="str">
            <v>12dgr182n61619Z_c</v>
          </cell>
          <cell r="B2469" t="str">
            <v>12dgr182n61619Z</v>
          </cell>
          <cell r="C2469" t="str">
            <v>1,2-Diacyl-sn-glycerol(18:2(9Z,12Z)/16:1(9Z))</v>
          </cell>
        </row>
        <row r="2470">
          <cell r="A2470" t="str">
            <v>12dgr182n6180_c</v>
          </cell>
          <cell r="B2470" t="str">
            <v>12dgr182n6180</v>
          </cell>
          <cell r="C2470" t="str">
            <v>1,2-Diacyl-sn-glycerol(18:2(9Z,12Z)/18:0)</v>
          </cell>
        </row>
        <row r="2471">
          <cell r="A2471" t="str">
            <v>12dgr205n3182n6_c</v>
          </cell>
          <cell r="B2471" t="str">
            <v>12dgr205n3182n6</v>
          </cell>
          <cell r="C2471" t="str">
            <v>1,2-Diacyl-sn-glycerol(20:5(5Z,8Z,11Z,14Z,17Z)/18:2(9Z,12Z))</v>
          </cell>
        </row>
        <row r="2472">
          <cell r="A2472" t="str">
            <v>12dgr1819Z183n6_c</v>
          </cell>
          <cell r="B2472" t="str">
            <v>12dgr1819Z183n6</v>
          </cell>
          <cell r="C2472" t="str">
            <v>1,2-Diacyl-sn-glycerol(18:1(9Z)/18:3(6Z,9Z,12Z))</v>
          </cell>
        </row>
        <row r="2473">
          <cell r="A2473" t="str">
            <v>12dgr226n3183n6_c</v>
          </cell>
          <cell r="B2473" t="str">
            <v>12dgr226n3183n6</v>
          </cell>
          <cell r="C2473" t="str">
            <v>1,2-Diacyl-sn-glycerol(22:6(4Z,7Z,10Z,13Z,16Z,19Z)/18:3(6Z,9Z,12Z))</v>
          </cell>
        </row>
        <row r="2474">
          <cell r="A2474" t="str">
            <v>12dgr140183n3_c</v>
          </cell>
          <cell r="B2474" t="str">
            <v>12dgr140183n3</v>
          </cell>
          <cell r="C2474" t="str">
            <v>1,2-Diacyl-sn-glycerol(14:0/18:3(9Z,12Z,15Z))</v>
          </cell>
        </row>
        <row r="2475">
          <cell r="A2475" t="str">
            <v>12dgr160204n6_c</v>
          </cell>
          <cell r="B2475" t="str">
            <v>12dgr160204n6</v>
          </cell>
          <cell r="C2475" t="str">
            <v>1,2-Diacyl-sn-glycerol(16:0/20:4(5Z,8Z,11Z,14Z))</v>
          </cell>
        </row>
        <row r="2476">
          <cell r="A2476" t="str">
            <v>12dgr180204n6_c</v>
          </cell>
          <cell r="B2476" t="str">
            <v>12dgr180204n6</v>
          </cell>
          <cell r="C2476" t="str">
            <v>1,2-Diacyl-sn-glycerol(18:0/20:4(5Z,8Z,11Z,14Z))</v>
          </cell>
        </row>
        <row r="2477">
          <cell r="A2477" t="str">
            <v>12dgr226n3204n6_c</v>
          </cell>
          <cell r="B2477" t="str">
            <v>12dgr226n3204n6</v>
          </cell>
          <cell r="C2477" t="str">
            <v>1,2-Diacyl-sn-glycerol(22:6(4Z,7Z,10Z,13Z,16Z,19Z)/20:4(5Z,8Z,11Z,14Z))</v>
          </cell>
        </row>
        <row r="2478">
          <cell r="A2478" t="str">
            <v>cdp12dgr160_c</v>
          </cell>
          <cell r="B2478" t="str">
            <v>cdp12dgr160</v>
          </cell>
          <cell r="C2478" t="str">
            <v>CDP-1,2-diacyl-sn-glycerol(16:0/16:0)</v>
          </cell>
        </row>
        <row r="2479">
          <cell r="A2479" t="str">
            <v>cdp12dgr160205n3_c</v>
          </cell>
          <cell r="B2479" t="str">
            <v>cdp12dgr160205n3</v>
          </cell>
          <cell r="C2479" t="str">
            <v>CDP-1,2-diacyl-sn-glycerol(16:0/20:5(5Z,8Z,11Z,14Z,17Z))</v>
          </cell>
        </row>
        <row r="2480">
          <cell r="A2480" t="str">
            <v>cdp12dgr1619Z160_c</v>
          </cell>
          <cell r="B2480" t="str">
            <v>cdp12dgr1619Z160</v>
          </cell>
          <cell r="C2480" t="str">
            <v>CDP-1,2-diacyl-sn-glycerol(16:1(9Z)/16:0)</v>
          </cell>
        </row>
        <row r="2481">
          <cell r="A2481" t="str">
            <v>cdp12dgr205n31619Z_c</v>
          </cell>
          <cell r="B2481" t="str">
            <v>cdp12dgr205n31619Z</v>
          </cell>
          <cell r="C2481" t="str">
            <v>CDP-1,2-diacyl-sn-glycerol(20:5(5Z,8Z,11Z,14Z,17Z)/16:1(9Z))</v>
          </cell>
        </row>
        <row r="2482">
          <cell r="A2482" t="str">
            <v>cdp12dgr160182n6_c</v>
          </cell>
          <cell r="B2482" t="str">
            <v>cdp12dgr160182n6</v>
          </cell>
          <cell r="C2482" t="str">
            <v>CDP-1,2-diacyl-sn-glycerol(16:0/18:2(9Z,12Z))</v>
          </cell>
        </row>
        <row r="2483">
          <cell r="A2483" t="str">
            <v>pe140205n3_c</v>
          </cell>
          <cell r="B2483" t="str">
            <v>pe140205n3</v>
          </cell>
          <cell r="C2483" t="str">
            <v>Phosphatidylethanolamine(14:0/20:5(5Z,8Z,11Z,14Z,17Z))</v>
          </cell>
        </row>
        <row r="2484">
          <cell r="A2484" t="str">
            <v>pe140226n3_c</v>
          </cell>
          <cell r="B2484" t="str">
            <v>pe140226n3</v>
          </cell>
          <cell r="C2484" t="str">
            <v>Phosphatidylethanolamine(14:0/22:6(4Z,7Z,10Z,13Z,16Z,19Z))</v>
          </cell>
        </row>
        <row r="2485">
          <cell r="A2485" t="str">
            <v>pe1601619Z_c</v>
          </cell>
          <cell r="B2485" t="str">
            <v>pe1601619Z</v>
          </cell>
          <cell r="C2485" t="str">
            <v>Phosphatidylethanolamine(16:0/16:1(9Z))</v>
          </cell>
        </row>
        <row r="2486">
          <cell r="A2486" t="str">
            <v>pe160180_c</v>
          </cell>
          <cell r="B2486" t="str">
            <v>pe160180</v>
          </cell>
          <cell r="C2486" t="str">
            <v>Phosphatidylethanolamine(16:0/18:0)</v>
          </cell>
        </row>
        <row r="2487">
          <cell r="A2487" t="str">
            <v>pe1619Z180_c</v>
          </cell>
          <cell r="B2487" t="str">
            <v>pe1619Z180</v>
          </cell>
          <cell r="C2487" t="str">
            <v>Phosphatidylethanolamine(16:1(9Z)/18:0)</v>
          </cell>
        </row>
        <row r="2488">
          <cell r="A2488" t="str">
            <v>pe1619Z1819Z_c</v>
          </cell>
          <cell r="B2488" t="str">
            <v>pe1619Z1819Z</v>
          </cell>
          <cell r="C2488" t="str">
            <v>Phosphatidylethanolamine(16:1(9Z)/18:1(9Z))</v>
          </cell>
        </row>
        <row r="2489">
          <cell r="A2489" t="str">
            <v>pe1819Z140_c</v>
          </cell>
          <cell r="B2489" t="str">
            <v>pe1819Z140</v>
          </cell>
          <cell r="C2489" t="str">
            <v>Phosphatidylethanolamine(18:1(9Z)/14:0)</v>
          </cell>
        </row>
        <row r="2490">
          <cell r="A2490" t="str">
            <v>pe1819Z1619Z_c</v>
          </cell>
          <cell r="B2490" t="str">
            <v>pe1819Z1619Z</v>
          </cell>
          <cell r="C2490" t="str">
            <v>Phosphatidylethanolamine(18:1(9Z)/16:1(9Z))</v>
          </cell>
        </row>
        <row r="2491">
          <cell r="A2491" t="str">
            <v>pe205n3160_c</v>
          </cell>
          <cell r="B2491" t="str">
            <v>pe205n3160</v>
          </cell>
          <cell r="C2491" t="str">
            <v>Phosphatidylethanolamine(20:5(5Z,8Z,11Z,14Z,17Z)/16:0)</v>
          </cell>
        </row>
        <row r="2492">
          <cell r="A2492" t="str">
            <v>pe205n3_c</v>
          </cell>
          <cell r="B2492" t="str">
            <v>pe205n3</v>
          </cell>
          <cell r="C2492" t="str">
            <v>Phosphatidylethanolamine(20:5(5Z,8Z,11Z,14Z,17Z)/20:5(5Z,8Z,11Z,14Z,17Z))</v>
          </cell>
        </row>
        <row r="2493">
          <cell r="A2493" t="str">
            <v>pe226n3140_c</v>
          </cell>
          <cell r="B2493" t="str">
            <v>pe226n3140</v>
          </cell>
          <cell r="C2493" t="str">
            <v>Phosphatidylethanolamine(22:6(4Z,7Z,10Z,13Z,16Z,19Z)/14:0)</v>
          </cell>
        </row>
        <row r="2494">
          <cell r="A2494" t="str">
            <v>pe160182n6_c</v>
          </cell>
          <cell r="B2494" t="str">
            <v>pe160182n6</v>
          </cell>
          <cell r="C2494" t="str">
            <v>Phosphatidylethanolamine(16:0/18:2(9Z,12Z))</v>
          </cell>
        </row>
        <row r="2495">
          <cell r="A2495" t="str">
            <v>pe182n61819Z_c</v>
          </cell>
          <cell r="B2495" t="str">
            <v>pe182n61819Z</v>
          </cell>
          <cell r="C2495" t="str">
            <v>Phosphatidylethanolamine(18:2(9Z,12Z)/18:1(9Z))</v>
          </cell>
        </row>
        <row r="2496">
          <cell r="A2496" t="str">
            <v>pe1819Z182n6_c</v>
          </cell>
          <cell r="B2496" t="str">
            <v>pe1819Z182n6</v>
          </cell>
          <cell r="C2496" t="str">
            <v>Phosphatidylethanolamine(18:1(9Z)/18:2(9Z,12Z))</v>
          </cell>
        </row>
        <row r="2497">
          <cell r="A2497" t="str">
            <v>pe140183n6_c</v>
          </cell>
          <cell r="B2497" t="str">
            <v>pe140183n6</v>
          </cell>
          <cell r="C2497" t="str">
            <v>Phosphatidylethanolamine(14:0/18:3(6Z,9Z,12Z))</v>
          </cell>
        </row>
        <row r="2498">
          <cell r="A2498" t="str">
            <v>pe182n6183n6_c</v>
          </cell>
          <cell r="B2498" t="str">
            <v>pe182n6183n6</v>
          </cell>
          <cell r="C2498" t="str">
            <v>Phosphatidylethanolamine(18:2(9Z,12Z)/18:3(6Z,9Z,12Z))</v>
          </cell>
        </row>
        <row r="2499">
          <cell r="A2499" t="str">
            <v>pe226n3183n6_c</v>
          </cell>
          <cell r="B2499" t="str">
            <v>pe226n3183n6</v>
          </cell>
          <cell r="C2499" t="str">
            <v>Phosphatidylethanolamine(22:6(4Z,7Z,10Z,13Z,16Z,19Z)/18:3(6Z,9Z,12Z))</v>
          </cell>
        </row>
        <row r="2500">
          <cell r="A2500" t="str">
            <v>pe1619Z183n3_c</v>
          </cell>
          <cell r="B2500" t="str">
            <v>pe1619Z183n3</v>
          </cell>
          <cell r="C2500" t="str">
            <v>Phosphatidylethanolamine(16:1(9Z)/18:3(9Z,12Z,15Z))</v>
          </cell>
        </row>
        <row r="2501">
          <cell r="A2501" t="str">
            <v>pe180183n3_c</v>
          </cell>
          <cell r="B2501" t="str">
            <v>pe180183n3</v>
          </cell>
          <cell r="C2501" t="str">
            <v>Phosphatidylethanolamine(18:0/18:3(9Z,12Z,15Z))</v>
          </cell>
        </row>
        <row r="2502">
          <cell r="A2502" t="str">
            <v>pe205n3183n3_c</v>
          </cell>
          <cell r="B2502" t="str">
            <v>pe205n3183n3</v>
          </cell>
          <cell r="C2502" t="str">
            <v>Phosphatidylethanolamine(20:5(5Z,8Z,11Z,14Z,17Z)/18:3(9Z,12Z,15Z))</v>
          </cell>
        </row>
        <row r="2503">
          <cell r="A2503" t="str">
            <v>pe226n3183n3_c</v>
          </cell>
          <cell r="B2503" t="str">
            <v>pe226n3183n3</v>
          </cell>
          <cell r="C2503" t="str">
            <v>Phosphatidylethanolamine(22:6(4Z,7Z,10Z,13Z,16Z,19Z)/18:3(9Z,12Z,15Z))</v>
          </cell>
        </row>
        <row r="2504">
          <cell r="A2504" t="str">
            <v>pe160204n6_c</v>
          </cell>
          <cell r="B2504" t="str">
            <v>pe160204n6</v>
          </cell>
          <cell r="C2504" t="str">
            <v>Phosphatidylethanolamine(16:0/20:4(5Z,8Z,11Z,14Z))</v>
          </cell>
        </row>
        <row r="2505">
          <cell r="A2505" t="str">
            <v>pe226n3204n6_c</v>
          </cell>
          <cell r="B2505" t="str">
            <v>pe226n3204n6</v>
          </cell>
          <cell r="C2505" t="str">
            <v>Phosphatidylethanolamine(22:6(4Z,7Z,10Z,13Z,16Z,19Z)/20:4(5Z,8Z,11Z,14Z))</v>
          </cell>
        </row>
        <row r="2506">
          <cell r="A2506" t="str">
            <v>pail161_c</v>
          </cell>
          <cell r="B2506" t="str">
            <v>pail161</v>
          </cell>
          <cell r="C2506" t="str">
            <v>Phosphatidylinositol(16:1(9Z)/16:1(9Z))</v>
          </cell>
        </row>
        <row r="2507">
          <cell r="A2507" t="str">
            <v>pail1619Z182n6_c</v>
          </cell>
          <cell r="B2507" t="str">
            <v>pail1619Z182n6</v>
          </cell>
          <cell r="C2507" t="str">
            <v>Phosphatidylinositol(16:1(9Z)/18:2(9Z,12Z))</v>
          </cell>
        </row>
        <row r="2508">
          <cell r="A2508" t="str">
            <v>pail182n6160_c</v>
          </cell>
          <cell r="B2508" t="str">
            <v>pail182n6160</v>
          </cell>
          <cell r="C2508" t="str">
            <v>Phosphatidylinositol(18:2(9Z,12Z)/16:0)</v>
          </cell>
        </row>
        <row r="2509">
          <cell r="A2509" t="str">
            <v>pail205n3182n6_c</v>
          </cell>
          <cell r="B2509" t="str">
            <v>pail205n3182n6</v>
          </cell>
          <cell r="C2509" t="str">
            <v>Phosphatidylinositol(20:5(5Z,8Z,11Z,14Z,17Z)/18:2(9Z,12Z))</v>
          </cell>
        </row>
        <row r="2510">
          <cell r="A2510" t="str">
            <v>cholp_m</v>
          </cell>
          <cell r="B2510" t="str">
            <v>cholp</v>
          </cell>
          <cell r="C2510" t="str">
            <v>Choline phosphate C5H13NO4P</v>
          </cell>
        </row>
        <row r="2511">
          <cell r="A2511" t="str">
            <v>pail4p1601619Z_c</v>
          </cell>
          <cell r="B2511" t="str">
            <v>pail4p1601619Z</v>
          </cell>
          <cell r="C2511" t="str">
            <v>1-Phosphatidyl-1D-myo-inositol 4-phosphate(16:0/16:1(9Z))</v>
          </cell>
        </row>
        <row r="2512">
          <cell r="A2512" t="str">
            <v>pail4p182n6160_c</v>
          </cell>
          <cell r="B2512" t="str">
            <v>pail4p182n6160</v>
          </cell>
          <cell r="C2512" t="str">
            <v>1-Phosphatidyl-1D-myo-inositol 4-phosphate(18:2(9Z,12Z)/16:0)</v>
          </cell>
        </row>
        <row r="2513">
          <cell r="A2513" t="str">
            <v>pail4p182_9_12_c</v>
          </cell>
          <cell r="B2513" t="str">
            <v>pail4p182_9_12</v>
          </cell>
          <cell r="C2513" t="str">
            <v>1-Phosphatidyl-1D-myo-inositol 4-phosphate(18:2(9Z,12Z)/18:2(9Z,12Z))</v>
          </cell>
        </row>
        <row r="2514">
          <cell r="A2514" t="str">
            <v>pail4p182n6205n3_c</v>
          </cell>
          <cell r="B2514" t="str">
            <v>pail4p182n6205n3</v>
          </cell>
          <cell r="C2514" t="str">
            <v>1-Phosphatidyl-1D-myo-inositol 4-phosphate(18:2(9Z,12Z)/20:5(5Z,8Z,11Z,14Z,17Z))</v>
          </cell>
        </row>
        <row r="2515">
          <cell r="A2515" t="str">
            <v>pail45p160205n3_c</v>
          </cell>
          <cell r="B2515" t="str">
            <v>pail45p160205n3</v>
          </cell>
          <cell r="C2515" t="str">
            <v>1-Phosphatidyl-1D-myo-inositol 4,5-bisphosphate(16:0/20:5(5Z,8Z,11Z,14Z,17Z))</v>
          </cell>
        </row>
        <row r="2516">
          <cell r="A2516" t="str">
            <v>pail45p1619Z160_c</v>
          </cell>
          <cell r="B2516" t="str">
            <v>pail45p1619Z160</v>
          </cell>
          <cell r="C2516" t="str">
            <v>1-Phosphatidyl-1D-myo-inositol 4,5-bisphosphate(16:1(9Z)/16:0)</v>
          </cell>
        </row>
        <row r="2517">
          <cell r="A2517" t="str">
            <v>pail45p205n3_c</v>
          </cell>
          <cell r="B2517" t="str">
            <v>pail45p205n3</v>
          </cell>
          <cell r="C2517" t="str">
            <v>1-Phosphatidyl-1D-myo-inositol 4,5-bisphosphate(20:5(5Z,8Z,11Z,14Z,17Z)/20:5(5Z,8Z,11Z,14Z,17Z))</v>
          </cell>
        </row>
        <row r="2518">
          <cell r="A2518" t="str">
            <v>pail3p1619Z205n3_c</v>
          </cell>
          <cell r="B2518" t="str">
            <v>pail3p1619Z205n3</v>
          </cell>
          <cell r="C2518" t="str">
            <v>1-Phosphatidyl-1D-myo-inositol 3-phosphate(16:1(9Z)/20:5(5Z,8Z,11Z,14Z,17Z))</v>
          </cell>
        </row>
        <row r="2519">
          <cell r="A2519" t="str">
            <v>1agpe140_c</v>
          </cell>
          <cell r="B2519" t="str">
            <v>1agpe140</v>
          </cell>
          <cell r="C2519" t="str">
            <v>1-Acyl-sn-glycero-3-phosphoethanolamine (n-C14:0)</v>
          </cell>
        </row>
        <row r="2520">
          <cell r="A2520" t="str">
            <v>1agpe160_c</v>
          </cell>
          <cell r="B2520" t="str">
            <v>1agpe160</v>
          </cell>
          <cell r="C2520" t="str">
            <v>1-Acyl-sn-glycero-3-phosphoethanolamine (n-C16:0)</v>
          </cell>
        </row>
        <row r="2521">
          <cell r="A2521" t="str">
            <v>1agpe181_c</v>
          </cell>
          <cell r="B2521" t="str">
            <v>1agpe181</v>
          </cell>
          <cell r="C2521" t="str">
            <v>1-Acyl-sn-glycero-3-phosphoethanolamine (n-C18:1)</v>
          </cell>
        </row>
        <row r="2522">
          <cell r="A2522" t="str">
            <v>1agpe182_c</v>
          </cell>
          <cell r="B2522" t="str">
            <v>1agpe182</v>
          </cell>
          <cell r="C2522" t="str">
            <v>1-18:2(9Z,12Z)-2-lysophosphatidylethanolamine</v>
          </cell>
        </row>
        <row r="2523">
          <cell r="A2523" t="str">
            <v>tag226n3205n3226n3_c</v>
          </cell>
          <cell r="B2523" t="str">
            <v>tag226n3205n3226n3</v>
          </cell>
          <cell r="C2523" t="str">
            <v>Triacylglycerol (22:6(4Z,7Z,10Z,13Z,16Z,19Z)/20:5(5Z,8Z,11Z,14Z,17Z)/22:6(4Z,7Z,10Z,13Z,16Z,19Z))</v>
          </cell>
        </row>
        <row r="2524">
          <cell r="A2524" t="str">
            <v>tag182n61601619Z_c</v>
          </cell>
          <cell r="B2524" t="str">
            <v>tag182n61601619Z</v>
          </cell>
          <cell r="C2524" t="str">
            <v>Triacylglycerol (18:2(9Z,12Z)/16:0/16:1(9Z))</v>
          </cell>
        </row>
        <row r="2525">
          <cell r="A2525" t="str">
            <v>tag1819Z1601619Z_c</v>
          </cell>
          <cell r="B2525" t="str">
            <v>tag1819Z1601619Z</v>
          </cell>
          <cell r="C2525" t="str">
            <v>Triacylglycerol (18:1(9Z)/16:0/16:1(9Z))</v>
          </cell>
        </row>
        <row r="2526">
          <cell r="A2526" t="str">
            <v>tag1619Z204n6160_c</v>
          </cell>
          <cell r="B2526" t="str">
            <v>tag1619Z204n6160</v>
          </cell>
          <cell r="C2526" t="str">
            <v>Triacylglycerol (16:1(9Z)/20:4(5Z,8Z,11Z,14Z)/16:0)</v>
          </cell>
        </row>
        <row r="2527">
          <cell r="A2527" t="str">
            <v>tag160205n3182n6_c</v>
          </cell>
          <cell r="B2527" t="str">
            <v>tag160205n3182n6</v>
          </cell>
          <cell r="C2527" t="str">
            <v>Triacylglycerol (16:0/20:5(5Z,8Z,11Z,14Z,17Z)/18:2(9Z,12Z))</v>
          </cell>
        </row>
        <row r="2528">
          <cell r="A2528" t="str">
            <v>tag1619Z1401619Z_c</v>
          </cell>
          <cell r="B2528" t="str">
            <v>tag1619Z1401619Z</v>
          </cell>
          <cell r="C2528" t="str">
            <v>Triacylglycerol (16:1(9Z)/14:0/16:1(9Z))</v>
          </cell>
        </row>
        <row r="2529">
          <cell r="A2529" t="str">
            <v>tag1619Z205n31819Z_c</v>
          </cell>
          <cell r="B2529" t="str">
            <v>tag1619Z205n31819Z</v>
          </cell>
          <cell r="C2529" t="str">
            <v>Triacylglycerol (16:1(9Z)/20:5(5Z,8Z,11Z,14Z,17Z)/18:1(9Z))</v>
          </cell>
        </row>
        <row r="2530">
          <cell r="A2530" t="str">
            <v>tag140205n31619Z_c</v>
          </cell>
          <cell r="B2530" t="str">
            <v>tag140205n31619Z</v>
          </cell>
          <cell r="C2530" t="str">
            <v>Triacylglycerol (14:0/20:5(5Z,8Z,11Z,14Z,17Z)/16:1(9Z))</v>
          </cell>
        </row>
        <row r="2531">
          <cell r="A2531" t="str">
            <v>tag205n3205n3182n6_c</v>
          </cell>
          <cell r="B2531" t="str">
            <v>tag205n3205n3182n6</v>
          </cell>
          <cell r="C2531" t="str">
            <v>Triacylglycerol (20:5(5Z,8Z,11Z,14Z,17Z)/20:5(5Z,8Z,11Z,14Z,17Z)/18:2(9Z,12Z))</v>
          </cell>
        </row>
        <row r="2532">
          <cell r="A2532" t="str">
            <v>tag205n3205n3226n3_c</v>
          </cell>
          <cell r="B2532" t="str">
            <v>tag205n3205n3226n3</v>
          </cell>
          <cell r="C2532" t="str">
            <v>Triacylglycerol (20:5(5Z,8Z,11Z,14Z,17Z)/20:5(5Z,8Z,11Z,14Z,17Z)/22:6(4Z,7Z,10Z,13Z,16Z,19Z))</v>
          </cell>
        </row>
        <row r="2533">
          <cell r="A2533" t="str">
            <v>tag205n3205n3160_c</v>
          </cell>
          <cell r="B2533" t="str">
            <v>tag205n3205n3160</v>
          </cell>
          <cell r="C2533" t="str">
            <v>Triacylglycerol (20:5(5Z,8Z,11Z,14Z,17Z)/20:5(5Z,8Z,11Z,14Z,17Z)/16:0)</v>
          </cell>
        </row>
        <row r="2534">
          <cell r="A2534" t="str">
            <v>tag1619Z205n3205n3_c</v>
          </cell>
          <cell r="B2534" t="str">
            <v>tag1619Z205n3205n3</v>
          </cell>
          <cell r="C2534" t="str">
            <v>Triacylglycerol (16:1(9Z)/20:5(5Z,8Z,11Z,14Z,17Z)/20:5(5Z,8Z,11Z,14Z,17Z))</v>
          </cell>
        </row>
        <row r="2535">
          <cell r="A2535" t="str">
            <v>1tdecg3p_h</v>
          </cell>
          <cell r="B2535" t="str">
            <v>1tdecg3p</v>
          </cell>
          <cell r="C2535" t="str">
            <v>1-tetradecanoyl-sn-glycerol 3-phosphate</v>
          </cell>
        </row>
        <row r="2536">
          <cell r="A2536" t="str">
            <v>mgdg161_h</v>
          </cell>
          <cell r="B2536" t="str">
            <v>mgdg161</v>
          </cell>
          <cell r="C2536" t="str">
            <v>1,2-Diacyl-3-beta-D-galactosyl-sn-glycerol (n-C16 1)</v>
          </cell>
        </row>
        <row r="2537">
          <cell r="A2537" t="str">
            <v>mgdg1819Z162n4_h</v>
          </cell>
          <cell r="B2537" t="str">
            <v>mgdg1819Z162n4</v>
          </cell>
          <cell r="C2537" t="str">
            <v>1,2-Diacyl-3-O-galactosyl-sn-glycerol(18:1(9Z)/16:2(9Z,12Z))</v>
          </cell>
        </row>
        <row r="2538">
          <cell r="A2538" t="str">
            <v>mgdg140163n4_h</v>
          </cell>
          <cell r="B2538" t="str">
            <v>mgdg140163n4</v>
          </cell>
          <cell r="C2538" t="str">
            <v>1,2-Diacyl-3-O-galactosyl-sn-glycerol(14:0/16:3(6Z,9Z,12Z))</v>
          </cell>
        </row>
        <row r="2539">
          <cell r="A2539" t="str">
            <v>mgdg1619Z163n4_h</v>
          </cell>
          <cell r="B2539" t="str">
            <v>mgdg1619Z163n4</v>
          </cell>
          <cell r="C2539" t="str">
            <v>1,2-Diacyl-3-O-galactosyl-sn-glycerol(16:1(9Z)/16:3(6Z,9Z,12Z))</v>
          </cell>
        </row>
        <row r="2540">
          <cell r="A2540" t="str">
            <v>mgdg1819Z163n4_h</v>
          </cell>
          <cell r="B2540" t="str">
            <v>mgdg1819Z163n4</v>
          </cell>
          <cell r="C2540" t="str">
            <v>1,2-Diacyl-3-O-galactosyl-sn-glycerol(18:1(9Z)/16:3(6Z,9Z,12Z))</v>
          </cell>
        </row>
        <row r="2541">
          <cell r="A2541" t="str">
            <v>mgdg205n3163n4_h</v>
          </cell>
          <cell r="B2541" t="str">
            <v>mgdg205n3163n4</v>
          </cell>
          <cell r="C2541" t="str">
            <v>1,2-Diacyl-3-O-galactosyl-sn-glycerol(20:5(5Z,8Z,11Z,14Z,17Z)/16:3(6Z,9Z,12Z))</v>
          </cell>
        </row>
        <row r="2542">
          <cell r="A2542" t="str">
            <v>dgdg1619Z160_h</v>
          </cell>
          <cell r="B2542" t="str">
            <v>dgdg1619Z160</v>
          </cell>
          <cell r="C2542" t="str">
            <v>Digalactosyl-diacylglycerol(16:1(9Z)/16:0)</v>
          </cell>
        </row>
        <row r="2543">
          <cell r="A2543" t="str">
            <v>dgdg161_h</v>
          </cell>
          <cell r="B2543" t="str">
            <v>dgdg161</v>
          </cell>
          <cell r="C2543" t="str">
            <v>Digalactosyl-diacylglycerol(n-C16 1)</v>
          </cell>
        </row>
        <row r="2544">
          <cell r="A2544" t="str">
            <v>dgdg1819Z162n4_h</v>
          </cell>
          <cell r="B2544" t="str">
            <v>dgdg1819Z162n4</v>
          </cell>
          <cell r="C2544" t="str">
            <v>Digalactosyl-diacylglycerol(18:1(9Z)/16:2(9Z,12Z))</v>
          </cell>
        </row>
        <row r="2545">
          <cell r="A2545" t="str">
            <v>dgdg205n3162n4_h</v>
          </cell>
          <cell r="B2545" t="str">
            <v>dgdg205n3162n4</v>
          </cell>
          <cell r="C2545" t="str">
            <v>Digalactosyl-diacylglycerol(20:5(5Z,8Z,11Z,14Z,17Z)/16:2(9Z,12Z))</v>
          </cell>
        </row>
        <row r="2546">
          <cell r="A2546" t="str">
            <v>cdp12dgr205n3160_h</v>
          </cell>
          <cell r="B2546" t="str">
            <v>cdp12dgr205n3160</v>
          </cell>
          <cell r="C2546" t="str">
            <v>CDP-1,2-diacyl-sn-glycerol(20:5(5Z,8Z,11Z,14Z,17Z)/16:0)</v>
          </cell>
        </row>
        <row r="2547">
          <cell r="A2547" t="str">
            <v>pgp160_h</v>
          </cell>
          <cell r="B2547" t="str">
            <v>pgp160</v>
          </cell>
          <cell r="C2547" t="str">
            <v>Phosphatidylglycerophosphate (dihexadecanoyl, n-C16:0)</v>
          </cell>
        </row>
        <row r="2548">
          <cell r="A2548" t="str">
            <v>pg160_h</v>
          </cell>
          <cell r="B2548" t="str">
            <v>pg160</v>
          </cell>
          <cell r="C2548" t="str">
            <v>Phosphatidylglycerol (dihexadecanoyl, n-C16:0)</v>
          </cell>
        </row>
        <row r="2549">
          <cell r="A2549" t="str">
            <v>pg1619Z160_h</v>
          </cell>
          <cell r="B2549" t="str">
            <v>pg1619Z160</v>
          </cell>
          <cell r="C2549" t="str">
            <v>Phosphatidylglycerol(16:1(9Z)/16:0)</v>
          </cell>
        </row>
        <row r="2550">
          <cell r="A2550" t="str">
            <v>pg1601613E_h</v>
          </cell>
          <cell r="B2550" t="str">
            <v>pg1601613E</v>
          </cell>
          <cell r="C2550" t="str">
            <v>Phosphatidylglycerol(16:0/16:1(3E))</v>
          </cell>
        </row>
        <row r="2551">
          <cell r="A2551" t="str">
            <v>pg1619Z1613E_h</v>
          </cell>
          <cell r="B2551" t="str">
            <v>pg1619Z1613E</v>
          </cell>
          <cell r="C2551" t="str">
            <v>Phosphatidylglycerol(16:1(9Z)/16:1(3E))</v>
          </cell>
        </row>
        <row r="2552">
          <cell r="A2552" t="str">
            <v>12dgr140162n4_h</v>
          </cell>
          <cell r="B2552" t="str">
            <v>12dgr140162n4</v>
          </cell>
          <cell r="C2552" t="str">
            <v>1,2-Diacyl-sn-glycerol(14:0/16:2(9Z,12Z))</v>
          </cell>
        </row>
        <row r="2553">
          <cell r="A2553" t="str">
            <v>tag1819Z1619Z1819Z_h</v>
          </cell>
          <cell r="B2553" t="str">
            <v>tag1819Z1619Z1819Z</v>
          </cell>
          <cell r="C2553" t="str">
            <v>Triacylglycerol (18:1(9Z)/16:1(9Z)/18:1(9Z))</v>
          </cell>
        </row>
        <row r="2554">
          <cell r="A2554" t="str">
            <v>tag1619Z205n3164n1_c</v>
          </cell>
          <cell r="B2554" t="str">
            <v>tag1619Z205n3164n1</v>
          </cell>
          <cell r="C2554" t="str">
            <v>Triacylglycerol (16:1(9Z)/20:5(5Z,8Z,11Z,14Z,17Z)/16:4(6Z,9Z,12Z,15Z))</v>
          </cell>
        </row>
        <row r="2555">
          <cell r="A2555" t="str">
            <v>dgdg205n3_c</v>
          </cell>
          <cell r="B2555" t="str">
            <v>dgdg205n3</v>
          </cell>
          <cell r="C2555" t="str">
            <v>Digalactosyl-diacylglycerol(20:5(5Z,8Z,11Z,14Z,17Z)/20:5(5Z,8Z,11Z,14Z,17Z))</v>
          </cell>
        </row>
        <row r="2556">
          <cell r="A2556" t="str">
            <v>crvnc_x</v>
          </cell>
          <cell r="B2556" t="str">
            <v>crvnc</v>
          </cell>
          <cell r="C2556" t="str">
            <v>Cervonic acid, C22:6 n-3</v>
          </cell>
        </row>
        <row r="2557">
          <cell r="A2557" t="str">
            <v>3httccoa_x</v>
          </cell>
          <cell r="B2557" t="str">
            <v>3httccoa</v>
          </cell>
          <cell r="C2557" t="str">
            <v>3-hydroxytetracosanoyl-CoA</v>
          </cell>
        </row>
        <row r="2558">
          <cell r="A2558" t="str">
            <v>3heicoscoa_x</v>
          </cell>
          <cell r="B2558" t="str">
            <v>3heicoscoa</v>
          </cell>
          <cell r="C2558" t="str">
            <v>3-hydroxyeicosanoyl-CoA</v>
          </cell>
        </row>
        <row r="2559">
          <cell r="A2559" t="str">
            <v>3oeicoscoa_x</v>
          </cell>
          <cell r="B2559" t="str">
            <v>3oeicoscoa</v>
          </cell>
          <cell r="C2559" t="str">
            <v>3-oxo-eicosanoyl-CoA</v>
          </cell>
        </row>
        <row r="2560">
          <cell r="A2560" t="str">
            <v>ocdccoa_x</v>
          </cell>
          <cell r="B2560" t="str">
            <v>ocdccoa</v>
          </cell>
          <cell r="C2560" t="str">
            <v>Octadecanoyl-coa</v>
          </cell>
        </row>
        <row r="2561">
          <cell r="A2561" t="str">
            <v>c6912odtte2coa_x</v>
          </cell>
          <cell r="B2561" t="str">
            <v>c6912odtte2coa</v>
          </cell>
          <cell r="C2561" t="str">
            <v>(2E,6Z,9Z,12Z)-octadecatetraenoyl-CoA</v>
          </cell>
        </row>
        <row r="2562">
          <cell r="A2562" t="str">
            <v>3hod6912coa_x</v>
          </cell>
          <cell r="B2562" t="str">
            <v>3hod6912coa</v>
          </cell>
          <cell r="C2562" t="str">
            <v>3-hydroxy-(6Z,9Z,12Z)-octadecatrienoyl-CoA</v>
          </cell>
        </row>
        <row r="2563">
          <cell r="A2563" t="str">
            <v>3otd58coa_x</v>
          </cell>
          <cell r="B2563" t="str">
            <v>3otd58coa</v>
          </cell>
          <cell r="C2563" t="str">
            <v>3-oxo-(5Z,8Z)-tetradecadienoyl-CoA</v>
          </cell>
        </row>
        <row r="2564">
          <cell r="A2564" t="str">
            <v>dd26coa_x</v>
          </cell>
          <cell r="B2564" t="str">
            <v>dd26coa</v>
          </cell>
          <cell r="C2564" t="str">
            <v>(2E,6Z)-dodecadienoyl-CoA</v>
          </cell>
        </row>
        <row r="2565">
          <cell r="A2565" t="str">
            <v>eico258111417coa_x</v>
          </cell>
          <cell r="B2565" t="str">
            <v>eico258111417coa</v>
          </cell>
          <cell r="C2565" t="str">
            <v>(2E,5Z,8Z,11Z,14Z,17Z)-eicosahexaenoyl-CoA</v>
          </cell>
        </row>
        <row r="2566">
          <cell r="A2566" t="str">
            <v>od3691215coa_x</v>
          </cell>
          <cell r="B2566" t="str">
            <v>od3691215coa</v>
          </cell>
          <cell r="C2566" t="str">
            <v>(3Z,6Z,9Z,12Z,15Z)-octadecapentaenoyl-CoA</v>
          </cell>
        </row>
        <row r="2567">
          <cell r="A2567" t="str">
            <v>hd271013coa_x</v>
          </cell>
          <cell r="B2567" t="str">
            <v>hd271013coa</v>
          </cell>
          <cell r="C2567" t="str">
            <v>(2E,7Z,10Z,13Z)-hexadecatetraenoyl-CoA</v>
          </cell>
        </row>
        <row r="2568">
          <cell r="A2568" t="str">
            <v>3hhd71013coa_x</v>
          </cell>
          <cell r="B2568" t="str">
            <v>3hhd71013coa</v>
          </cell>
          <cell r="C2568" t="str">
            <v>3-hydroxy-(7Z,10Z,13Z)-hexadecatrienoyl-CoA</v>
          </cell>
        </row>
        <row r="2569">
          <cell r="A2569" t="str">
            <v>3otd5811coa_x</v>
          </cell>
          <cell r="B2569" t="str">
            <v>3otd5811coa</v>
          </cell>
          <cell r="C2569" t="str">
            <v>3-oxo-(5Z,8Z,11Z)-tetradecatrienoyl-CoA</v>
          </cell>
        </row>
        <row r="2570">
          <cell r="A2570" t="str">
            <v>3odc7coa_x</v>
          </cell>
          <cell r="B2570" t="str">
            <v>3odc7coa</v>
          </cell>
          <cell r="C2570" t="str">
            <v>3-oxo-(7Z)-decenoyl-CoA</v>
          </cell>
        </row>
        <row r="2571">
          <cell r="A2571" t="str">
            <v>hd912crn_c</v>
          </cell>
          <cell r="B2571" t="str">
            <v>hd912crn</v>
          </cell>
          <cell r="C2571" t="str">
            <v>(9Z,12Z)-hexadecadienoyl-l-carnitine</v>
          </cell>
        </row>
        <row r="2572">
          <cell r="A2572" t="str">
            <v>octcrn_m</v>
          </cell>
          <cell r="B2572" t="str">
            <v>octcrn</v>
          </cell>
          <cell r="C2572" t="str">
            <v>L-octanoylcarnitine</v>
          </cell>
        </row>
        <row r="2573">
          <cell r="A2573" t="str">
            <v>oc5coa_m</v>
          </cell>
          <cell r="B2573" t="str">
            <v>oc5coa</v>
          </cell>
          <cell r="C2573" t="str">
            <v>(5Z)-octenoyl-CoA</v>
          </cell>
        </row>
        <row r="2574">
          <cell r="A2574" t="str">
            <v>hd6912coa_m</v>
          </cell>
          <cell r="B2574" t="str">
            <v>hd6912coa</v>
          </cell>
          <cell r="C2574" t="str">
            <v>(6Z,9Z,12Z)-hexadecatrienoyl-CoA (C16:3)</v>
          </cell>
        </row>
        <row r="2575">
          <cell r="A2575" t="str">
            <v>3hodcoa_m</v>
          </cell>
          <cell r="B2575" t="str">
            <v>3hodcoa</v>
          </cell>
          <cell r="C2575" t="str">
            <v>(S)-3-Hydroxyoctadecanoyl-CoA</v>
          </cell>
        </row>
        <row r="2576">
          <cell r="A2576" t="str">
            <v>oc25coa_m</v>
          </cell>
          <cell r="B2576" t="str">
            <v>oc25coa</v>
          </cell>
          <cell r="C2576" t="str">
            <v>(2E,5Z)-octadienoyl-CoA</v>
          </cell>
        </row>
        <row r="2577">
          <cell r="A2577" t="str">
            <v>3hoc5coa_m</v>
          </cell>
          <cell r="B2577" t="str">
            <v>3hoc5coa</v>
          </cell>
          <cell r="C2577" t="str">
            <v>3-hydroxy-(5Z)-octenoyl-CoA</v>
          </cell>
        </row>
        <row r="2578">
          <cell r="A2578" t="str">
            <v>3ooc5coa_m</v>
          </cell>
          <cell r="B2578" t="str">
            <v>3ooc5coa</v>
          </cell>
          <cell r="C2578" t="str">
            <v>3-oxo-(5Z)-octenoyl-CoA</v>
          </cell>
        </row>
        <row r="2579">
          <cell r="A2579" t="str">
            <v>3ood9coa_m</v>
          </cell>
          <cell r="B2579" t="str">
            <v>3ood9coa</v>
          </cell>
          <cell r="C2579" t="str">
            <v>3-oxo-(9Z)-octadecenoyl-CoA</v>
          </cell>
        </row>
        <row r="2580">
          <cell r="A2580" t="str">
            <v>3ohd7coa_m</v>
          </cell>
          <cell r="B2580" t="str">
            <v>3ohd7coa</v>
          </cell>
          <cell r="C2580" t="str">
            <v>3-oxo-(7Z)-hexadecenoyl-CoA</v>
          </cell>
        </row>
        <row r="2581">
          <cell r="A2581" t="str">
            <v>3htd5coa_m</v>
          </cell>
          <cell r="B2581" t="str">
            <v>3htd5coa</v>
          </cell>
          <cell r="C2581" t="str">
            <v>3-hydroxy-(5Z)-tetradecenoyl-CoA</v>
          </cell>
        </row>
        <row r="2582">
          <cell r="A2582" t="str">
            <v>od2912coa_m</v>
          </cell>
          <cell r="B2582" t="str">
            <v>od2912coa</v>
          </cell>
          <cell r="C2582" t="str">
            <v>(2E,9Z,12Z)-octadecatrienoyl-CoA</v>
          </cell>
        </row>
        <row r="2583">
          <cell r="A2583" t="str">
            <v>hd710coa_m</v>
          </cell>
          <cell r="B2583" t="str">
            <v>hd710coa</v>
          </cell>
          <cell r="C2583" t="str">
            <v>(7Z,10Z)-hexadecadienoyl-CoA</v>
          </cell>
        </row>
        <row r="2584">
          <cell r="A2584" t="str">
            <v>td58coa_m</v>
          </cell>
          <cell r="B2584" t="str">
            <v>td58coa</v>
          </cell>
          <cell r="C2584" t="str">
            <v>(5Z,8Z)-tetradecadienoyl-CoA</v>
          </cell>
        </row>
        <row r="2585">
          <cell r="A2585" t="str">
            <v>dd36coa_m</v>
          </cell>
          <cell r="B2585" t="str">
            <v>dd36coa</v>
          </cell>
          <cell r="C2585" t="str">
            <v>(3Z,6Z)-dodecadienoyl-CoA</v>
          </cell>
        </row>
        <row r="2586">
          <cell r="A2586" t="str">
            <v>3ood6912coa_m</v>
          </cell>
          <cell r="B2586" t="str">
            <v>3ood6912coa</v>
          </cell>
          <cell r="C2586" t="str">
            <v>3-oxo-(6Z,9Z,12Z)-octadecatrienoyl-CoA</v>
          </cell>
        </row>
        <row r="2587">
          <cell r="A2587" t="str">
            <v>hd4710coa_m</v>
          </cell>
          <cell r="B2587" t="str">
            <v>hd4710coa</v>
          </cell>
          <cell r="C2587" t="str">
            <v>(4Z,7Z,10Z)-hexadecatrienoyl-CoA</v>
          </cell>
        </row>
        <row r="2588">
          <cell r="A2588" t="str">
            <v>od291215coa_m</v>
          </cell>
          <cell r="B2588" t="str">
            <v>od291215coa</v>
          </cell>
          <cell r="C2588" t="str">
            <v>(2E,9Z,12Z,15Z)-octadecatetraenoyl-CoA</v>
          </cell>
        </row>
        <row r="2589">
          <cell r="A2589" t="str">
            <v>3hdd69coa_m</v>
          </cell>
          <cell r="B2589" t="str">
            <v>3hdd69coa</v>
          </cell>
          <cell r="C2589" t="str">
            <v>3-hydroxy-(6Z,9Z)-dodecadienoyl-CoA</v>
          </cell>
        </row>
        <row r="2590">
          <cell r="A2590" t="str">
            <v>dc47coa_m</v>
          </cell>
          <cell r="B2590" t="str">
            <v>dc47coa</v>
          </cell>
          <cell r="C2590" t="str">
            <v>(4Z,7Z)-decadienoyl-CoA</v>
          </cell>
        </row>
        <row r="2591">
          <cell r="A2591" t="str">
            <v>dc247coa_m</v>
          </cell>
          <cell r="B2591" t="str">
            <v>dc247coa</v>
          </cell>
          <cell r="C2591" t="str">
            <v>(2E,4Z,7Z)-decatrienoyl-CoA</v>
          </cell>
        </row>
        <row r="2592">
          <cell r="A2592" t="str">
            <v>dc37coa_m</v>
          </cell>
          <cell r="B2592" t="str">
            <v>dc37coa</v>
          </cell>
          <cell r="C2592" t="str">
            <v>(3E,7Z)-decadienoyl-CoA</v>
          </cell>
        </row>
        <row r="2593">
          <cell r="A2593" t="str">
            <v>td7coa_m</v>
          </cell>
          <cell r="B2593" t="str">
            <v>td7coa</v>
          </cell>
          <cell r="C2593" t="str">
            <v>(7Z)-tetradecenoyl-CoA</v>
          </cell>
        </row>
        <row r="2594">
          <cell r="A2594" t="str">
            <v>td27coa_m</v>
          </cell>
          <cell r="B2594" t="str">
            <v>td27coa</v>
          </cell>
          <cell r="C2594" t="str">
            <v>(2E,7Z)-tetradecadienoyl-CoA</v>
          </cell>
        </row>
        <row r="2595">
          <cell r="A2595" t="str">
            <v>dd5coa_m</v>
          </cell>
          <cell r="B2595" t="str">
            <v>dd5coa</v>
          </cell>
          <cell r="C2595" t="str">
            <v>(5Z)-dodecenoyl-CoA</v>
          </cell>
        </row>
        <row r="2596">
          <cell r="A2596" t="str">
            <v>3hdd5coa_m</v>
          </cell>
          <cell r="B2596" t="str">
            <v>3hdd5coa</v>
          </cell>
          <cell r="C2596" t="str">
            <v>3-hydroxy-(5Z)-dodecenoyl-CoA</v>
          </cell>
        </row>
        <row r="2597">
          <cell r="A2597" t="str">
            <v>dd3ecoa_m</v>
          </cell>
          <cell r="B2597" t="str">
            <v>dd3ecoa</v>
          </cell>
          <cell r="C2597" t="str">
            <v>(3Z)-decenoyl-CoA</v>
          </cell>
        </row>
        <row r="2598">
          <cell r="A2598" t="str">
            <v>3otd710coa_m</v>
          </cell>
          <cell r="B2598" t="str">
            <v>3otd710coa</v>
          </cell>
          <cell r="C2598" t="str">
            <v>3-oxo-(7Z,10Z)-tetradecadienoyl-CoA</v>
          </cell>
        </row>
        <row r="2599">
          <cell r="A2599" t="str">
            <v>td471013coa_m</v>
          </cell>
          <cell r="B2599" t="str">
            <v>td471013coa</v>
          </cell>
          <cell r="C2599" t="str">
            <v>(4Z,7Z,10Z,13Z)-tetradecatetraenoyl-CoA</v>
          </cell>
        </row>
        <row r="2600">
          <cell r="A2600" t="str">
            <v>3htd71013coa_m</v>
          </cell>
          <cell r="B2600" t="str">
            <v>3htd71013coa</v>
          </cell>
          <cell r="C2600" t="str">
            <v>3-hydroxy-(7Z,10Z,13Z)-tetradecatrienoyl-CoA</v>
          </cell>
        </row>
        <row r="2601">
          <cell r="A2601" t="str">
            <v>3hdc69coa_m</v>
          </cell>
          <cell r="B2601" t="str">
            <v>3hdc69coa</v>
          </cell>
          <cell r="C2601" t="str">
            <v>3-hydroxy-(6Z,9Z)-decadienoyl-CoA</v>
          </cell>
        </row>
        <row r="2602">
          <cell r="A2602" t="str">
            <v>oc27coa_m</v>
          </cell>
          <cell r="B2602" t="str">
            <v>oc27coa</v>
          </cell>
          <cell r="C2602" t="str">
            <v>(2E,7Z)-octadienoyl-CoA</v>
          </cell>
        </row>
        <row r="2603">
          <cell r="A2603" t="str">
            <v>3hh5coa_m</v>
          </cell>
          <cell r="B2603" t="str">
            <v>3hh5coa</v>
          </cell>
          <cell r="C2603" t="str">
            <v>3-hydroxy-(5Z)-hexenoyl-CoA</v>
          </cell>
        </row>
        <row r="2604">
          <cell r="A2604" t="str">
            <v>btnCCP_m</v>
          </cell>
          <cell r="B2604" t="str">
            <v>btnCCP</v>
          </cell>
          <cell r="C2604" t="str">
            <v>Holo-[carboxylase]</v>
          </cell>
        </row>
        <row r="2605">
          <cell r="A2605" t="str">
            <v>actACP_m</v>
          </cell>
          <cell r="B2605" t="str">
            <v>actACP</v>
          </cell>
          <cell r="C2605" t="str">
            <v>Acetoacetyl-ACP</v>
          </cell>
        </row>
        <row r="2606">
          <cell r="A2606" t="str">
            <v>but2eACP_m</v>
          </cell>
          <cell r="B2606" t="str">
            <v>but2eACP</v>
          </cell>
          <cell r="C2606" t="str">
            <v>But-2-enoyl-[acyl-carrier protein]</v>
          </cell>
        </row>
        <row r="2607">
          <cell r="A2607" t="str">
            <v>butACP_m</v>
          </cell>
          <cell r="B2607" t="str">
            <v>butACP</v>
          </cell>
          <cell r="C2607" t="str">
            <v>Butyryl-ACP (n-C4:0ACP)</v>
          </cell>
        </row>
        <row r="2608">
          <cell r="A2608" t="str">
            <v>3hhexACP_m</v>
          </cell>
          <cell r="B2608" t="str">
            <v>3hhexACP</v>
          </cell>
          <cell r="C2608" t="str">
            <v>(R)-3-Hydroxyhexanoyl-[acyl-carrier protein]</v>
          </cell>
        </row>
        <row r="2609">
          <cell r="A2609" t="str">
            <v>3ooctACP_m</v>
          </cell>
          <cell r="B2609" t="str">
            <v>3ooctACP</v>
          </cell>
          <cell r="C2609" t="str">
            <v>3-Oxooctanoyl-[acyl-carrier protein]</v>
          </cell>
        </row>
        <row r="2610">
          <cell r="A2610" t="str">
            <v>3odecACP_m</v>
          </cell>
          <cell r="B2610" t="str">
            <v>3odecACP</v>
          </cell>
          <cell r="C2610" t="str">
            <v>3-Oxodecanoyl-[acyl-carrier protein]</v>
          </cell>
        </row>
        <row r="2611">
          <cell r="A2611" t="str">
            <v>3omrsACP_m</v>
          </cell>
          <cell r="B2611" t="str">
            <v>3omrsACP</v>
          </cell>
          <cell r="C2611" t="str">
            <v>3-Oxotetradecanoyl-[acyl-carrier protein]</v>
          </cell>
        </row>
        <row r="2612">
          <cell r="A2612" t="str">
            <v>3hmrsACP_m</v>
          </cell>
          <cell r="B2612" t="str">
            <v>3hmrsACP</v>
          </cell>
          <cell r="C2612" t="str">
            <v>(R)-3-Hydroxytetradecanoyl-[acyl-carrier protein]</v>
          </cell>
        </row>
        <row r="2613">
          <cell r="A2613" t="str">
            <v>tmrs2eACP_m</v>
          </cell>
          <cell r="B2613" t="str">
            <v>tmrs2eACP</v>
          </cell>
          <cell r="C2613" t="str">
            <v>Trans-Tetradec-2-enoyl-[acyl-carrier protein]</v>
          </cell>
        </row>
        <row r="2614">
          <cell r="A2614" t="str">
            <v>tpalm2eACP_m</v>
          </cell>
          <cell r="B2614" t="str">
            <v>tpalm2eACP</v>
          </cell>
          <cell r="C2614" t="str">
            <v>Trans-Hexadec-2-enoyl-[acyl-carrier protein]</v>
          </cell>
        </row>
        <row r="2615">
          <cell r="A2615" t="str">
            <v>pgp160_m</v>
          </cell>
          <cell r="B2615" t="str">
            <v>pgp160</v>
          </cell>
          <cell r="C2615" t="str">
            <v>Phosphatidylglycerophosphate (dihexadecanoyl, n-C16:0)</v>
          </cell>
        </row>
        <row r="2616">
          <cell r="A2616" t="str">
            <v>pg160_m</v>
          </cell>
          <cell r="B2616" t="str">
            <v>pg160</v>
          </cell>
          <cell r="C2616" t="str">
            <v>Phosphatidylglycerol (dihexadecanoyl, n-C16:0)</v>
          </cell>
        </row>
        <row r="2617">
          <cell r="A2617" t="str">
            <v>clpn160_m</v>
          </cell>
          <cell r="B2617" t="str">
            <v>clpn160</v>
          </cell>
          <cell r="C2617" t="str">
            <v>Cardiolipin (tetrahexadecanoyl, n-C16:0)</v>
          </cell>
        </row>
        <row r="2618">
          <cell r="A2618" t="str">
            <v>5hiu_c</v>
          </cell>
          <cell r="B2618" t="str">
            <v>5hiu</v>
          </cell>
          <cell r="C2618" t="str">
            <v>5-Hydroxyisourate</v>
          </cell>
        </row>
        <row r="2619">
          <cell r="A2619" t="str">
            <v>5houdic_c</v>
          </cell>
          <cell r="B2619" t="str">
            <v>5houdic</v>
          </cell>
          <cell r="C2619" t="str">
            <v>5-Hydroxy-2-oxo-4-ureido-2,5-dihydro-1H-imidazole-5-carboxylate</v>
          </cell>
        </row>
        <row r="2620">
          <cell r="A2620" t="str">
            <v>2oxosucc_h</v>
          </cell>
          <cell r="B2620" t="str">
            <v>2oxosucc</v>
          </cell>
          <cell r="C2620" t="str">
            <v>2-Oxosuccinamate</v>
          </cell>
        </row>
        <row r="2621">
          <cell r="A2621" t="str">
            <v>2oxosucc_m</v>
          </cell>
          <cell r="B2621" t="str">
            <v>2oxosucc</v>
          </cell>
          <cell r="C2621" t="str">
            <v>2-Oxosuccinamate</v>
          </cell>
        </row>
        <row r="2622">
          <cell r="A2622" t="str">
            <v>m6mpdol_c</v>
          </cell>
          <cell r="B2622" t="str">
            <v>m6mpdol</v>
          </cell>
          <cell r="C2622" t="str">
            <v>(alpha-D-Mannosyl)6-beta-D-mannosyl-diacetylchitobiosyldiphosphodolichol</v>
          </cell>
        </row>
        <row r="2623">
          <cell r="A2623" t="str">
            <v>g1m8mpdol_c</v>
          </cell>
          <cell r="B2623" t="str">
            <v>g1m8mpdol</v>
          </cell>
          <cell r="C2623" t="str">
            <v>Alpha-D-Glucosyl-(alpha-D-mannosyl)8-beta-D-mannosyl-diacetylchitobiosyldiphosphodolichol</v>
          </cell>
        </row>
        <row r="2624">
          <cell r="A2624" t="str">
            <v>2m6sbenzq_h</v>
          </cell>
          <cell r="B2624" t="str">
            <v>2m6sbenzq</v>
          </cell>
          <cell r="C2624" t="str">
            <v>2-Methyl-6-solanyl-1,4-benzoquinol</v>
          </cell>
        </row>
        <row r="2625">
          <cell r="A2625" t="str">
            <v>me3dhnpdh_m</v>
          </cell>
          <cell r="B2625" t="str">
            <v>me3dhnpdh</v>
          </cell>
          <cell r="C2625" t="str">
            <v>3-nonaprenyl-4-hydroxy-5-methoxybenzoate</v>
          </cell>
        </row>
        <row r="2626">
          <cell r="A2626" t="str">
            <v>q9_m</v>
          </cell>
          <cell r="B2626" t="str">
            <v>q9</v>
          </cell>
          <cell r="C2626" t="str">
            <v>Ubiquinone-9</v>
          </cell>
        </row>
        <row r="2627">
          <cell r="A2627" t="str">
            <v>dhcer_18_c</v>
          </cell>
          <cell r="B2627" t="str">
            <v>dhcer_18</v>
          </cell>
          <cell r="C2627" t="str">
            <v>N-octadecanoylsphinganine</v>
          </cell>
        </row>
        <row r="2628">
          <cell r="A2628" t="str">
            <v>cer_18_c</v>
          </cell>
          <cell r="B2628" t="str">
            <v>cer_18</v>
          </cell>
          <cell r="C2628" t="str">
            <v>N-octadecanoylsphingosine</v>
          </cell>
        </row>
        <row r="2629">
          <cell r="A2629" t="str">
            <v>iscsh_h</v>
          </cell>
          <cell r="B2629" t="str">
            <v>iscsh</v>
          </cell>
          <cell r="C2629" t="str">
            <v>Thiamine biosynthesis intermediate 2</v>
          </cell>
        </row>
        <row r="2630">
          <cell r="A2630" t="str">
            <v>iscssh_h</v>
          </cell>
          <cell r="B2630" t="str">
            <v>iscssh</v>
          </cell>
          <cell r="C2630" t="str">
            <v>IscS with bound sulfur</v>
          </cell>
        </row>
        <row r="2631">
          <cell r="A2631" t="str">
            <v>athis_h</v>
          </cell>
          <cell r="B2631" t="str">
            <v>athis</v>
          </cell>
          <cell r="C2631" t="str">
            <v>Thiamine biosynthesis intermediate 4</v>
          </cell>
        </row>
        <row r="2632">
          <cell r="A2632" t="str">
            <v>thmmp_h</v>
          </cell>
          <cell r="B2632" t="str">
            <v>thmmp</v>
          </cell>
          <cell r="C2632" t="str">
            <v>Thiamin monophosphate</v>
          </cell>
        </row>
        <row r="2633">
          <cell r="A2633" t="str">
            <v>thm_h</v>
          </cell>
          <cell r="B2633" t="str">
            <v>thm</v>
          </cell>
          <cell r="C2633" t="str">
            <v>Thiamin</v>
          </cell>
        </row>
        <row r="2634">
          <cell r="A2634" t="str">
            <v>thmtp_h</v>
          </cell>
          <cell r="B2634" t="str">
            <v>thmtp</v>
          </cell>
          <cell r="C2634" t="str">
            <v>Thiamin triphosphate C12H16N4O10P3S</v>
          </cell>
        </row>
        <row r="2635">
          <cell r="A2635" t="str">
            <v>sephcpc_h</v>
          </cell>
          <cell r="B2635" t="str">
            <v>sephcpc</v>
          </cell>
          <cell r="C2635" t="str">
            <v>2-Succinyl-5-enolpyruvyl-6-hydroxy-3-cyclohexene-1-carboxylate</v>
          </cell>
        </row>
        <row r="2636">
          <cell r="A2636" t="str">
            <v>pimACP_m</v>
          </cell>
          <cell r="B2636" t="str">
            <v>pimACP</v>
          </cell>
          <cell r="C2636" t="str">
            <v>Pimeloyl-[acyl-carrier protein]</v>
          </cell>
        </row>
        <row r="2637">
          <cell r="A2637" t="str">
            <v>8aonn_m</v>
          </cell>
          <cell r="B2637" t="str">
            <v>8aonn</v>
          </cell>
          <cell r="C2637" t="str">
            <v>8-Amino-7-oxononanoate</v>
          </cell>
        </row>
        <row r="2638">
          <cell r="A2638" t="str">
            <v>25drapp_h</v>
          </cell>
          <cell r="B2638" t="str">
            <v>25drapp</v>
          </cell>
          <cell r="C2638" t="str">
            <v>2,5-Diamino-6-(ribosylamino)-4-(3H)-pyrimidinone 5'-phosphate</v>
          </cell>
        </row>
        <row r="2639">
          <cell r="A2639" t="str">
            <v>trnaala_h</v>
          </cell>
          <cell r="B2639" t="str">
            <v>trnaala</v>
          </cell>
          <cell r="C2639" t="str">
            <v>TRNA(Ala)</v>
          </cell>
        </row>
        <row r="2640">
          <cell r="A2640" t="str">
            <v>trnaasn_h</v>
          </cell>
          <cell r="B2640" t="str">
            <v>trnaasn</v>
          </cell>
          <cell r="C2640" t="str">
            <v>TRNA Asn  C10H17O10PR2</v>
          </cell>
        </row>
        <row r="2641">
          <cell r="A2641" t="str">
            <v>sertrna_h</v>
          </cell>
          <cell r="B2641" t="str">
            <v>sertrna</v>
          </cell>
          <cell r="C2641" t="str">
            <v>L-Seryl-tRNA(Ser)</v>
          </cell>
        </row>
        <row r="2642">
          <cell r="A2642" t="str">
            <v>trnaphe_h</v>
          </cell>
          <cell r="B2642" t="str">
            <v>trnaphe</v>
          </cell>
          <cell r="C2642" t="str">
            <v>TRNA(Phe)</v>
          </cell>
        </row>
        <row r="2643">
          <cell r="A2643" t="str">
            <v>trptrna_h</v>
          </cell>
          <cell r="B2643" t="str">
            <v>trptrna</v>
          </cell>
          <cell r="C2643" t="str">
            <v>L-Tryptophanyl-tRNA(Trp)</v>
          </cell>
        </row>
        <row r="2644">
          <cell r="A2644" t="str">
            <v>iasp_m</v>
          </cell>
          <cell r="B2644" t="str">
            <v>iasp</v>
          </cell>
          <cell r="C2644" t="str">
            <v>Iminoaspartate</v>
          </cell>
        </row>
        <row r="2645">
          <cell r="A2645" t="str">
            <v>zeax_h</v>
          </cell>
          <cell r="B2645" t="str">
            <v>zeax</v>
          </cell>
          <cell r="C2645" t="str">
            <v>Zeaxanthin</v>
          </cell>
        </row>
        <row r="2646">
          <cell r="A2646" t="str">
            <v>neoxan_h</v>
          </cell>
          <cell r="B2646" t="str">
            <v>neoxan</v>
          </cell>
          <cell r="C2646" t="str">
            <v>Neoxanthin</v>
          </cell>
        </row>
        <row r="2647">
          <cell r="A2647" t="str">
            <v>diatox_h</v>
          </cell>
          <cell r="B2647" t="str">
            <v>diatox</v>
          </cell>
          <cell r="C2647" t="str">
            <v>N-octadecanoylsphinganine</v>
          </cell>
        </row>
        <row r="2648">
          <cell r="A2648" t="str">
            <v>achms_m</v>
          </cell>
          <cell r="B2648" t="str">
            <v>achms</v>
          </cell>
          <cell r="C2648" t="str">
            <v>O Acetyl L homoserine C6H11NO4</v>
          </cell>
        </row>
        <row r="2649">
          <cell r="A2649" t="str">
            <v>rbl__D_h</v>
          </cell>
          <cell r="B2649" t="str">
            <v>rbl__D</v>
          </cell>
          <cell r="C2649" t="str">
            <v>D-Ribulose</v>
          </cell>
        </row>
        <row r="2650">
          <cell r="A2650" t="str">
            <v>udprmn_c</v>
          </cell>
          <cell r="B2650" t="str">
            <v>udprmn</v>
          </cell>
          <cell r="C2650" t="str">
            <v>UDP-beta-L-rhamnose</v>
          </cell>
        </row>
        <row r="2651">
          <cell r="A2651" t="str">
            <v>phllqne_h</v>
          </cell>
          <cell r="B2651" t="str">
            <v>phllqne</v>
          </cell>
          <cell r="C2651" t="str">
            <v>Phylloquinone</v>
          </cell>
        </row>
        <row r="2652">
          <cell r="A2652" t="str">
            <v>apoC_h</v>
          </cell>
          <cell r="B2652" t="str">
            <v>apoC</v>
          </cell>
          <cell r="C2652" t="str">
            <v>Apocarboxlase (no lys residue)</v>
          </cell>
        </row>
        <row r="2653">
          <cell r="A2653" t="str">
            <v>hd2coa_c</v>
          </cell>
          <cell r="B2653" t="str">
            <v>hd2coa</v>
          </cell>
          <cell r="C2653" t="str">
            <v>(E)-hexadec-2-enoyl-CoA</v>
          </cell>
        </row>
        <row r="2654">
          <cell r="A2654" t="str">
            <v>biomass_rna_c</v>
          </cell>
          <cell r="B2654" t="str">
            <v>biomass_rna</v>
          </cell>
          <cell r="C2654" t="str">
            <v>Biomass: RNA</v>
          </cell>
        </row>
        <row r="2655">
          <cell r="A2655" t="str">
            <v>gdpman2s_c</v>
          </cell>
          <cell r="B2655" t="str">
            <v>gdpman2s</v>
          </cell>
          <cell r="C2655" t="str">
            <v>GDP-mannose-2-sulfate</v>
          </cell>
        </row>
        <row r="2656">
          <cell r="A2656" t="str">
            <v>biomass_carb_c</v>
          </cell>
          <cell r="B2656" t="str">
            <v>biomass_carb</v>
          </cell>
          <cell r="C2656" t="str">
            <v>Biomass: carbohydrates</v>
          </cell>
        </row>
        <row r="2657">
          <cell r="A2657" t="str">
            <v>pa1801619Z_h</v>
          </cell>
          <cell r="B2657" t="str">
            <v>pa1801619Z</v>
          </cell>
          <cell r="C2657" t="str">
            <v>1-octadecanoyl-2-9-hexadecenoyl-sn-glycerol-3-phosphate</v>
          </cell>
        </row>
        <row r="2658">
          <cell r="A2658" t="str">
            <v>12dgr1801619Z_h</v>
          </cell>
          <cell r="B2658" t="str">
            <v>12dgr1801619Z</v>
          </cell>
          <cell r="C2658" t="str">
            <v>1,2-Diacyl-sn-glycerol(18:0/16:1(9Z))</v>
          </cell>
        </row>
        <row r="2659">
          <cell r="A2659" t="str">
            <v>mgdg180163n4_h</v>
          </cell>
          <cell r="B2659" t="str">
            <v>mgdg180163n4</v>
          </cell>
          <cell r="C2659" t="str">
            <v>1,2-Diacyl-3-O-galactosyl-sn-glycerol(18:0/16:3(6Z,9Z,12Z))</v>
          </cell>
        </row>
        <row r="2660">
          <cell r="A2660" t="str">
            <v>mgdg162n4163n4_h</v>
          </cell>
          <cell r="B2660" t="str">
            <v>mgdg162n4163n4</v>
          </cell>
          <cell r="C2660" t="str">
            <v>1,2-Diacyl-3-O-galactosyl-sn-glycerol(16:2(9Z,12Z)/16:3(6Z,9Z,12Z))</v>
          </cell>
        </row>
        <row r="2661">
          <cell r="A2661" t="str">
            <v>tag1401619Z1619Z_c</v>
          </cell>
          <cell r="B2661" t="str">
            <v>tag1401619Z1619Z</v>
          </cell>
          <cell r="C2661" t="str">
            <v>Triacylglycerol (14:0/16:1(9Z)/16:1(9Z))</v>
          </cell>
        </row>
        <row r="2662">
          <cell r="A2662" t="str">
            <v>tag1401619Z160_c</v>
          </cell>
          <cell r="B2662" t="str">
            <v>tag1401619Z160</v>
          </cell>
          <cell r="C2662" t="str">
            <v>Triacylglycerol (14:0/16:1(9Z)/16:0)</v>
          </cell>
        </row>
        <row r="2663">
          <cell r="A2663" t="str">
            <v>tag1619Z160160_c</v>
          </cell>
          <cell r="B2663" t="str">
            <v>tag1619Z160160</v>
          </cell>
          <cell r="C2663" t="str">
            <v>Triacylglycerol (16:1(9Z)/16:0/16:0)</v>
          </cell>
        </row>
        <row r="2664">
          <cell r="A2664" t="str">
            <v>tag1619Z160205n3_c</v>
          </cell>
          <cell r="B2664" t="str">
            <v>tag1619Z160205n3</v>
          </cell>
          <cell r="C2664" t="str">
            <v>Triacylglycerol (16:1(9Z)/16:0/20:5(5Z,8Z,11Z,14Z,17Z))</v>
          </cell>
        </row>
        <row r="2665">
          <cell r="A2665" t="str">
            <v>dmshb_c</v>
          </cell>
          <cell r="B2665" t="str">
            <v>dmshb</v>
          </cell>
          <cell r="C2665" t="str">
            <v>4-dimethylsulfonio-2-hydroxybutanoate</v>
          </cell>
        </row>
        <row r="2666">
          <cell r="A2666" t="str">
            <v>13glucan_c</v>
          </cell>
          <cell r="B2666" t="str">
            <v>13glucan</v>
          </cell>
          <cell r="C2666" t="str">
            <v>Beta-1,3-glucan</v>
          </cell>
        </row>
        <row r="2667">
          <cell r="A2667" t="str">
            <v>isomal_e</v>
          </cell>
          <cell r="B2667" t="str">
            <v>isomal</v>
          </cell>
          <cell r="C2667" t="str">
            <v>Isomaltose C12H22O11</v>
          </cell>
        </row>
        <row r="2668">
          <cell r="A2668" t="str">
            <v>itp_e</v>
          </cell>
          <cell r="B2668" t="str">
            <v>itp</v>
          </cell>
          <cell r="C2668" t="str">
            <v>ITP C10H11N4O14P3</v>
          </cell>
        </row>
        <row r="2669">
          <cell r="A2669" t="str">
            <v>HC00617_c</v>
          </cell>
          <cell r="B2669" t="str">
            <v>HC00617</v>
          </cell>
          <cell r="C2669" t="str">
            <v>Ferricytochrome B5</v>
          </cell>
        </row>
        <row r="2670">
          <cell r="A2670" t="str">
            <v>HC01223_m</v>
          </cell>
          <cell r="B2670" t="str">
            <v>HC01223</v>
          </cell>
          <cell r="C2670" t="str">
            <v>3-Hydroxyisobutyryl Coenzyme A</v>
          </cell>
        </row>
        <row r="2671">
          <cell r="A2671" t="str">
            <v>HC10857_m</v>
          </cell>
          <cell r="B2671" t="str">
            <v>HC10857</v>
          </cell>
          <cell r="C2671" t="str">
            <v>(S)-3-Hydroxyoleyleoyl Coenzyme A</v>
          </cell>
        </row>
        <row r="2672">
          <cell r="A2672" t="str">
            <v>HC10858_m</v>
          </cell>
          <cell r="B2672" t="str">
            <v>HC10858</v>
          </cell>
          <cell r="C2672" t="str">
            <v>3-Oxooleoyl Coenzyme A</v>
          </cell>
        </row>
        <row r="2673">
          <cell r="A2673" t="str">
            <v>CE2421_m</v>
          </cell>
          <cell r="B2673" t="str">
            <v>CE2421</v>
          </cell>
          <cell r="C2673" t="str">
            <v>(3S)-3-hydroxylinoleoyl-CoA</v>
          </cell>
        </row>
        <row r="2674">
          <cell r="A2674" t="str">
            <v>CE1950_e</v>
          </cell>
          <cell r="B2674" t="str">
            <v>CE1950</v>
          </cell>
          <cell r="C2674" t="str">
            <v>Cyanosulfurous Acid Anion</v>
          </cell>
        </row>
        <row r="2675">
          <cell r="A2675" t="str">
            <v>pail45p_hs_m</v>
          </cell>
          <cell r="B2675" t="str">
            <v>pail45p_hs</v>
          </cell>
          <cell r="C2675" t="str">
            <v>Phosphatidylinositol 4,5-bisphosphate (Homo sapiens)</v>
          </cell>
        </row>
        <row r="2676">
          <cell r="A2676" t="str">
            <v>CE5101_m</v>
          </cell>
          <cell r="B2676" t="str">
            <v>CE5101</v>
          </cell>
          <cell r="C2676" t="str">
            <v>1-Phosphatidyl-1D-Myo-Inositol 5-Phosphate</v>
          </cell>
        </row>
        <row r="2677">
          <cell r="A2677" t="str">
            <v>CE2434_x</v>
          </cell>
          <cell r="B2677" t="str">
            <v>CE2434</v>
          </cell>
          <cell r="C2677" t="str">
            <v>Trans,Cis,Cis-2,9,12-Octadecatrienoyl Coenzyme A</v>
          </cell>
        </row>
        <row r="2678">
          <cell r="A2678" t="str">
            <v>CE0785_m</v>
          </cell>
          <cell r="B2678" t="str">
            <v>CE0785</v>
          </cell>
          <cell r="C2678" t="str">
            <v>Cis,Cis-Myristo-5,8-Dienoyl Coenzyme A</v>
          </cell>
        </row>
        <row r="2679">
          <cell r="A2679" t="str">
            <v>C05279_x</v>
          </cell>
          <cell r="B2679" t="str">
            <v>C05279</v>
          </cell>
          <cell r="C2679" t="str">
            <v>Trans,Cis-Lauro-2,6-Dienoyl Coenzyme A</v>
          </cell>
        </row>
        <row r="2680">
          <cell r="A2680" t="str">
            <v>CE2418_x</v>
          </cell>
          <cell r="B2680" t="str">
            <v>CE2418</v>
          </cell>
          <cell r="C2680" t="str">
            <v>(3S)-3-hydroxy-cis,cis-palmito-7,10-dienoyl-CoA</v>
          </cell>
        </row>
        <row r="2681">
          <cell r="A2681" t="str">
            <v>CE2424_m</v>
          </cell>
          <cell r="B2681" t="str">
            <v>CE2424</v>
          </cell>
          <cell r="C2681" t="str">
            <v>3-oxo-cis,cis-5,8-tetradecadienoyl-CoA</v>
          </cell>
        </row>
        <row r="2682">
          <cell r="A2682" t="str">
            <v>CE0693_x</v>
          </cell>
          <cell r="B2682" t="str">
            <v>CE0693</v>
          </cell>
          <cell r="C2682" t="str">
            <v>3-oxolaur-6-cis-enoyl-CoA</v>
          </cell>
        </row>
        <row r="2683">
          <cell r="A2683" t="str">
            <v>dece4coa_m</v>
          </cell>
          <cell r="B2683" t="str">
            <v>dece4coa</v>
          </cell>
          <cell r="C2683" t="str">
            <v>4-Decenoyl Coenzyme A</v>
          </cell>
        </row>
        <row r="2684">
          <cell r="A2684" t="str">
            <v>CE1261_c</v>
          </cell>
          <cell r="B2684" t="str">
            <v>CE1261</v>
          </cell>
          <cell r="C2684" t="str">
            <v>5-S-Cysteinyldopa</v>
          </cell>
        </row>
        <row r="2685">
          <cell r="A2685" t="str">
            <v>CE5791_e</v>
          </cell>
          <cell r="B2685" t="str">
            <v>CE5791</v>
          </cell>
          <cell r="C2685" t="str">
            <v>Kinetensin 4-8</v>
          </cell>
        </row>
        <row r="2686">
          <cell r="A2686" t="str">
            <v>cholcoar_m</v>
          </cell>
          <cell r="B2686" t="str">
            <v>cholcoar</v>
          </cell>
          <cell r="C2686" t="str">
            <v>3alpha,7alpha,12alpha-Trihydroxy-5beta-cholestanoyl-CoA</v>
          </cell>
        </row>
        <row r="2687">
          <cell r="A2687" t="str">
            <v>CE5166_x</v>
          </cell>
          <cell r="B2687" t="str">
            <v>CE5166</v>
          </cell>
          <cell r="C2687" t="str">
            <v>25(S)-Trihydroxycoprostanoyl Coenzyme A</v>
          </cell>
        </row>
        <row r="2688">
          <cell r="A2688" t="str">
            <v>galside_hs_n</v>
          </cell>
          <cell r="B2688" t="str">
            <v>galside_hs</v>
          </cell>
          <cell r="C2688" t="str">
            <v>Galactocerebroside (homo sapiens)</v>
          </cell>
        </row>
        <row r="2689">
          <cell r="A2689" t="str">
            <v>CE5125_x</v>
          </cell>
          <cell r="B2689" t="str">
            <v>CE5125</v>
          </cell>
          <cell r="C2689" t="str">
            <v>(2S)-Pristanoyl Coenzyme A</v>
          </cell>
        </row>
        <row r="2690">
          <cell r="A2690" t="str">
            <v>CE4795_x</v>
          </cell>
          <cell r="B2690" t="str">
            <v>CE4795</v>
          </cell>
          <cell r="C2690" t="str">
            <v>2-Trans-Cis,Cis,Cis,Cis-4,8,11,14-Eicosapentaenoyl Coenzyme A</v>
          </cell>
        </row>
        <row r="2691">
          <cell r="A2691" t="str">
            <v>CE5114_x</v>
          </cell>
          <cell r="B2691" t="str">
            <v>CE5114</v>
          </cell>
          <cell r="C2691" t="str">
            <v>Trans-2-cis,cis,cis-8,11,14-eicosatetraenoyl-CoA</v>
          </cell>
        </row>
        <row r="2692">
          <cell r="A2692" t="str">
            <v>CE4793_x</v>
          </cell>
          <cell r="B2692" t="str">
            <v>CE4793</v>
          </cell>
          <cell r="C2692" t="str">
            <v>3-oxo-dihomo-gama-linolenoyl-CoA</v>
          </cell>
        </row>
        <row r="2693">
          <cell r="A2693" t="str">
            <v>CE2440_x</v>
          </cell>
          <cell r="B2693" t="str">
            <v>CE2440</v>
          </cell>
          <cell r="C2693" t="str">
            <v>4Z,7Z,10Z-Hexadecatrienoyl Coenzyme A</v>
          </cell>
        </row>
        <row r="2694">
          <cell r="A2694" t="str">
            <v>CE2442_m</v>
          </cell>
          <cell r="B2694" t="str">
            <v>CE2442</v>
          </cell>
          <cell r="C2694" t="str">
            <v>3Z,7Z,10Z-Hexadecatrienoyl Coenzyme A</v>
          </cell>
        </row>
        <row r="2695">
          <cell r="A2695" t="str">
            <v>CE5120_m</v>
          </cell>
          <cell r="B2695" t="str">
            <v>CE5120</v>
          </cell>
          <cell r="C2695" t="str">
            <v>Trans-2-Cis-8-Tetradecadienoyl Coenzyme A</v>
          </cell>
        </row>
        <row r="2696">
          <cell r="A2696" t="str">
            <v>CE4790_m</v>
          </cell>
          <cell r="B2696" t="str">
            <v>CE4790</v>
          </cell>
          <cell r="C2696" t="str">
            <v>(3S)-3-Hydroxy-Cis-8-Tetradecenoyl Coenzyme A</v>
          </cell>
        </row>
        <row r="2697">
          <cell r="A2697" t="str">
            <v>C05770_c</v>
          </cell>
          <cell r="B2697" t="str">
            <v>C05770</v>
          </cell>
          <cell r="C2697" t="str">
            <v>Coproporphyrin Iii</v>
          </cell>
        </row>
        <row r="2698">
          <cell r="A2698" t="str">
            <v>C07297_x</v>
          </cell>
          <cell r="B2698" t="str">
            <v>C07297</v>
          </cell>
          <cell r="C2698" t="str">
            <v>3-Oxopristanoyl Coenzyme A</v>
          </cell>
        </row>
        <row r="2699">
          <cell r="A2699" t="str">
            <v>tmtrdcoa_x</v>
          </cell>
          <cell r="B2699" t="str">
            <v>tmtrdcoa</v>
          </cell>
          <cell r="C2699" t="str">
            <v>4,8,12-Trimethyl Tridecanoyl Coenzyme A</v>
          </cell>
        </row>
        <row r="2700">
          <cell r="A2700" t="str">
            <v>lnlncacoa_r</v>
          </cell>
          <cell r="B2700" t="str">
            <v>lnlncacoa</v>
          </cell>
          <cell r="C2700" t="str">
            <v>Alpha-Linolenoyl-CoA</v>
          </cell>
        </row>
        <row r="2701">
          <cell r="A2701" t="str">
            <v>CE4832_x</v>
          </cell>
          <cell r="B2701" t="str">
            <v>CE4832</v>
          </cell>
          <cell r="C2701" t="str">
            <v>3(S)-Hydroxy-Tetracosa-6,9,12,15,18-All-Cis-Pentaenoyl Coenzyme A</v>
          </cell>
        </row>
        <row r="2702">
          <cell r="A2702" t="str">
            <v>CE4838_x</v>
          </cell>
          <cell r="B2702" t="str">
            <v>CE4838</v>
          </cell>
          <cell r="C2702" t="str">
            <v>Trans-2-All-Cis-6,9,12,15,18-Tetracosahexaenoyl Coenzyme A</v>
          </cell>
        </row>
        <row r="2703">
          <cell r="A2703" t="str">
            <v>CE4803_m</v>
          </cell>
          <cell r="B2703" t="str">
            <v>CE4803</v>
          </cell>
          <cell r="C2703" t="str">
            <v>3-Oxo-4(R),8-Dimethyl-Nonanoyl Coenzyme A</v>
          </cell>
        </row>
        <row r="2704">
          <cell r="A2704" t="str">
            <v>CE4800_m</v>
          </cell>
          <cell r="B2704" t="str">
            <v>CE4800</v>
          </cell>
          <cell r="C2704" t="str">
            <v>3(S)-Hydroxy-2(S),6-Dimethyl-Heptanoyl Coenzyme A</v>
          </cell>
        </row>
        <row r="2705">
          <cell r="A2705" t="str">
            <v>CE4806_m</v>
          </cell>
          <cell r="B2705" t="str">
            <v>CE4806</v>
          </cell>
          <cell r="C2705" t="str">
            <v>4(R),8-Dimethyl-Trans-2-Nonenoyl Coenzyme A</v>
          </cell>
        </row>
        <row r="2706">
          <cell r="A2706" t="str">
            <v>CE4798_m</v>
          </cell>
          <cell r="B2706" t="str">
            <v>CE4798</v>
          </cell>
          <cell r="C2706" t="str">
            <v>2(S),6-Dimethyl-Heptanoyl Coenzyme A</v>
          </cell>
        </row>
        <row r="2707">
          <cell r="A2707" t="str">
            <v>dec24dicoa_m</v>
          </cell>
          <cell r="B2707" t="str">
            <v>dec24dicoa</v>
          </cell>
          <cell r="C2707" t="str">
            <v>2,4-Decadienoyl Coenzyme A</v>
          </cell>
        </row>
        <row r="2708">
          <cell r="A2708" t="str">
            <v>c101coa_c</v>
          </cell>
          <cell r="B2708" t="str">
            <v>c101coa</v>
          </cell>
          <cell r="C2708" t="str">
            <v>Decenoyl Coenzyme A</v>
          </cell>
        </row>
        <row r="2709">
          <cell r="A2709" t="str">
            <v>decdicrn_c</v>
          </cell>
          <cell r="B2709" t="str">
            <v>decdicrn</v>
          </cell>
          <cell r="C2709" t="str">
            <v>Decadienoyl Carnitine</v>
          </cell>
        </row>
        <row r="2710">
          <cell r="A2710" t="str">
            <v>c10crn_e</v>
          </cell>
          <cell r="B2710" t="str">
            <v>c10crn</v>
          </cell>
          <cell r="C2710" t="str">
            <v>Decanoyl Carnitine</v>
          </cell>
        </row>
        <row r="2711">
          <cell r="A2711" t="str">
            <v>c12dccoa_x</v>
          </cell>
          <cell r="B2711" t="str">
            <v>c12dccoa</v>
          </cell>
          <cell r="C2711" t="str">
            <v>Dodecanedioyl Coenzyme A</v>
          </cell>
        </row>
        <row r="2712">
          <cell r="A2712" t="str">
            <v>c12dccoa_c</v>
          </cell>
          <cell r="B2712" t="str">
            <v>c12dccoa</v>
          </cell>
          <cell r="C2712" t="str">
            <v>Dodecanedioyl Coenzyme A</v>
          </cell>
        </row>
        <row r="2713">
          <cell r="A2713" t="str">
            <v>c12dc_e</v>
          </cell>
          <cell r="B2713" t="str">
            <v>c12dc</v>
          </cell>
          <cell r="C2713" t="str">
            <v>Dodecanedioyl Carnitine</v>
          </cell>
        </row>
        <row r="2714">
          <cell r="A2714" t="str">
            <v>3tetd7ecoa_m</v>
          </cell>
          <cell r="B2714" t="str">
            <v>3tetd7ecoa</v>
          </cell>
          <cell r="C2714" t="str">
            <v>3-Hydroxy Tetradecenoyl-7 Coenzyme A</v>
          </cell>
        </row>
        <row r="2715">
          <cell r="A2715" t="str">
            <v>3thexddcoa_m</v>
          </cell>
          <cell r="B2715" t="str">
            <v>3thexddcoa</v>
          </cell>
          <cell r="C2715" t="str">
            <v>3-Hydroxy Trans7,10-Hexadecadienoyl Coenzyme A</v>
          </cell>
        </row>
        <row r="2716">
          <cell r="A2716" t="str">
            <v>3thexddcoacrn_e</v>
          </cell>
          <cell r="B2716" t="str">
            <v>3thexddcoacrn</v>
          </cell>
          <cell r="C2716" t="str">
            <v>3-Hydroxy Trans7,10-Hexadecadienoyl Carnitine</v>
          </cell>
        </row>
        <row r="2717">
          <cell r="A2717" t="str">
            <v>hexdicoa_c</v>
          </cell>
          <cell r="B2717" t="str">
            <v>hexdicoa</v>
          </cell>
          <cell r="C2717" t="str">
            <v>Hexadecanedioyl Coenzyme A</v>
          </cell>
        </row>
        <row r="2718">
          <cell r="A2718" t="str">
            <v>3octdece1crn_c</v>
          </cell>
          <cell r="B2718" t="str">
            <v>3octdece1crn</v>
          </cell>
          <cell r="C2718" t="str">
            <v>3-Hydroxy-Octadecenoyl Carnitine</v>
          </cell>
        </row>
        <row r="2719">
          <cell r="A2719" t="str">
            <v>c3dc_c</v>
          </cell>
          <cell r="B2719" t="str">
            <v>c3dc</v>
          </cell>
          <cell r="C2719" t="str">
            <v>Malonyl Carnitine</v>
          </cell>
        </row>
        <row r="2720">
          <cell r="A2720" t="str">
            <v>c5dc_e</v>
          </cell>
          <cell r="B2720" t="str">
            <v>c5dc</v>
          </cell>
          <cell r="C2720" t="str">
            <v>Glutaryl Carnitine</v>
          </cell>
        </row>
        <row r="2721">
          <cell r="A2721" t="str">
            <v>c6crn_c</v>
          </cell>
          <cell r="B2721" t="str">
            <v>c6crn</v>
          </cell>
          <cell r="C2721" t="str">
            <v>Hexanoyl Carnitine</v>
          </cell>
        </row>
        <row r="2722">
          <cell r="A2722" t="str">
            <v>c6crn_x</v>
          </cell>
          <cell r="B2722" t="str">
            <v>c6crn</v>
          </cell>
          <cell r="C2722" t="str">
            <v>Hexanoyl Carnitine</v>
          </cell>
        </row>
        <row r="2723">
          <cell r="A2723" t="str">
            <v>c81coa_c</v>
          </cell>
          <cell r="B2723" t="str">
            <v>c81coa</v>
          </cell>
          <cell r="C2723" t="str">
            <v>Octenoyl Coenzyme A</v>
          </cell>
        </row>
        <row r="2724">
          <cell r="A2724" t="str">
            <v>c81crn_c</v>
          </cell>
          <cell r="B2724" t="str">
            <v>c81crn</v>
          </cell>
          <cell r="C2724" t="str">
            <v>Octenoyl Carnitine</v>
          </cell>
        </row>
        <row r="2725">
          <cell r="A2725" t="str">
            <v>ddece1crn_e</v>
          </cell>
          <cell r="B2725" t="str">
            <v>ddece1crn</v>
          </cell>
          <cell r="C2725" t="str">
            <v>Dodecenoyl Carnitine</v>
          </cell>
        </row>
        <row r="2726">
          <cell r="A2726" t="str">
            <v>doco13ecoa_c</v>
          </cell>
          <cell r="B2726" t="str">
            <v>doco13ecoa</v>
          </cell>
          <cell r="C2726" t="str">
            <v>13-Docosenoyl Coenzyme A</v>
          </cell>
        </row>
        <row r="2727">
          <cell r="A2727" t="str">
            <v>doco13ecoa_x</v>
          </cell>
          <cell r="B2727" t="str">
            <v>doco13ecoa</v>
          </cell>
          <cell r="C2727" t="str">
            <v>13-Docosenoyl Coenzyme A</v>
          </cell>
        </row>
        <row r="2728">
          <cell r="A2728" t="str">
            <v>3hdececrn_e</v>
          </cell>
          <cell r="B2728" t="str">
            <v>3hdececrn</v>
          </cell>
          <cell r="C2728" t="str">
            <v>3-Hydroxyhexadecenoylcarnitine</v>
          </cell>
        </row>
        <row r="2729">
          <cell r="A2729" t="str">
            <v>tetdec2crn_e</v>
          </cell>
          <cell r="B2729" t="str">
            <v>tetdec2crn</v>
          </cell>
          <cell r="C2729" t="str">
            <v>Tetradecadienoyl Carnitine</v>
          </cell>
        </row>
        <row r="2730">
          <cell r="A2730" t="str">
            <v>dece3coa_x</v>
          </cell>
          <cell r="B2730" t="str">
            <v>dece3coa</v>
          </cell>
          <cell r="C2730" t="str">
            <v>3-Decenoyl Coenzyme A</v>
          </cell>
        </row>
        <row r="2731">
          <cell r="A2731" t="str">
            <v>2decdicoa_x</v>
          </cell>
          <cell r="B2731" t="str">
            <v>2decdicoa</v>
          </cell>
          <cell r="C2731" t="str">
            <v>2,7-Decadienoyl Coenzyme A</v>
          </cell>
        </row>
        <row r="2732">
          <cell r="A2732" t="str">
            <v>tmuncoa_x</v>
          </cell>
          <cell r="B2732" t="str">
            <v>tmuncoa</v>
          </cell>
          <cell r="C2732" t="str">
            <v>2,6,10-Trimethyl Undecanoyl Coenzyme A</v>
          </cell>
        </row>
        <row r="2733">
          <cell r="A2733" t="str">
            <v>dd3coa_x</v>
          </cell>
          <cell r="B2733" t="str">
            <v>dd3coa</v>
          </cell>
          <cell r="C2733" t="str">
            <v>3-dodecenoyl CoA</v>
          </cell>
        </row>
        <row r="2734">
          <cell r="A2734" t="str">
            <v>2ddecdicoa_x</v>
          </cell>
          <cell r="B2734" t="str">
            <v>2ddecdicoa</v>
          </cell>
          <cell r="C2734" t="str">
            <v>2,6-Dodecadienoyl Coenzyme A</v>
          </cell>
        </row>
        <row r="2735">
          <cell r="A2735" t="str">
            <v>3ddecdicoa_x</v>
          </cell>
          <cell r="B2735" t="str">
            <v>3ddecdicoa</v>
          </cell>
          <cell r="C2735" t="str">
            <v>3,6-Dodecadienoyl Coenzyme A</v>
          </cell>
        </row>
        <row r="2736">
          <cell r="A2736" t="str">
            <v>tetdecdicoa_x</v>
          </cell>
          <cell r="B2736" t="str">
            <v>tetdecdicoa</v>
          </cell>
          <cell r="C2736" t="str">
            <v>5,8-Tetradecadienoyl Coenzyme A</v>
          </cell>
        </row>
        <row r="2737">
          <cell r="A2737" t="str">
            <v>5tedtricoa_x</v>
          </cell>
          <cell r="B2737" t="str">
            <v>5tedtricoa</v>
          </cell>
          <cell r="C2737" t="str">
            <v>5,8,11-Tetradecatrienoyl Coenzyme A</v>
          </cell>
        </row>
        <row r="2738">
          <cell r="A2738" t="str">
            <v>thexddcoa_m</v>
          </cell>
          <cell r="B2738" t="str">
            <v>thexddcoa</v>
          </cell>
          <cell r="C2738" t="str">
            <v>Trans7,10-Hexadecadienoyl Coenzyme A</v>
          </cell>
        </row>
        <row r="2739">
          <cell r="A2739" t="str">
            <v>2hexdtricoa_m</v>
          </cell>
          <cell r="B2739" t="str">
            <v>2hexdtricoa</v>
          </cell>
          <cell r="C2739" t="str">
            <v>2,7,10-Hexadecatrienoyl Coenzyme A</v>
          </cell>
        </row>
        <row r="2740">
          <cell r="A2740" t="str">
            <v>2hexdtetcoa_m</v>
          </cell>
          <cell r="B2740" t="str">
            <v>2hexdtetcoa</v>
          </cell>
          <cell r="C2740" t="str">
            <v>2,7,10,13-Hexadecatetraenoyl Coenzyme A</v>
          </cell>
        </row>
        <row r="2741">
          <cell r="A2741" t="str">
            <v>4hexdtetcoa_x</v>
          </cell>
          <cell r="B2741" t="str">
            <v>4hexdtetcoa</v>
          </cell>
          <cell r="C2741" t="str">
            <v>4,7,10,13-Hexadecatetraenoyl Coenzyme A</v>
          </cell>
        </row>
        <row r="2742">
          <cell r="A2742" t="str">
            <v>hexdpencoa_x</v>
          </cell>
          <cell r="B2742" t="str">
            <v>hexdpencoa</v>
          </cell>
          <cell r="C2742" t="str">
            <v>2,4,7,10,13-Hexadecapentaenoyl Coenzyme A</v>
          </cell>
        </row>
        <row r="2743">
          <cell r="A2743" t="str">
            <v>hexdicoa_x</v>
          </cell>
          <cell r="B2743" t="str">
            <v>hexdicoa</v>
          </cell>
          <cell r="C2743" t="str">
            <v>Hexadecanedioyl Coenzyme A</v>
          </cell>
        </row>
        <row r="2744">
          <cell r="A2744" t="str">
            <v>hexdicoa_r</v>
          </cell>
          <cell r="B2744" t="str">
            <v>hexdicoa</v>
          </cell>
          <cell r="C2744" t="str">
            <v>Hexadecanedioyl Coenzyme A</v>
          </cell>
        </row>
        <row r="2745">
          <cell r="A2745" t="str">
            <v>whhdca_r</v>
          </cell>
          <cell r="B2745" t="str">
            <v>whhdca</v>
          </cell>
          <cell r="C2745" t="str">
            <v>Omega hydroxy hexadecanoate (n-C16:0)</v>
          </cell>
        </row>
        <row r="2746">
          <cell r="A2746" t="str">
            <v>octdececoa_m</v>
          </cell>
          <cell r="B2746" t="str">
            <v>octdececoa</v>
          </cell>
          <cell r="C2746" t="str">
            <v>Octadecenoyl Coenzyme A</v>
          </cell>
        </row>
        <row r="2747">
          <cell r="A2747" t="str">
            <v>eipencoa_x</v>
          </cell>
          <cell r="B2747" t="str">
            <v>eipencoa</v>
          </cell>
          <cell r="C2747" t="str">
            <v>2,5,8,11,14-Eicosapentaenoyl Coenzyme A</v>
          </cell>
        </row>
        <row r="2748">
          <cell r="A2748" t="str">
            <v>5eipencoa_m</v>
          </cell>
          <cell r="B2748" t="str">
            <v>5eipencoa</v>
          </cell>
          <cell r="C2748" t="str">
            <v>5,8,11,14,17-Eicosapentenoyl Coenzyme A</v>
          </cell>
        </row>
        <row r="2749">
          <cell r="A2749" t="str">
            <v>docohexcoa_m</v>
          </cell>
          <cell r="B2749" t="str">
            <v>docohexcoa</v>
          </cell>
          <cell r="C2749" t="str">
            <v>2,4,7,10,13,16-Docosahexenoyl Coenzyme A</v>
          </cell>
        </row>
        <row r="2750">
          <cell r="A2750" t="str">
            <v>3ivcoa_c</v>
          </cell>
          <cell r="B2750" t="str">
            <v>3ivcoa</v>
          </cell>
          <cell r="C2750" t="str">
            <v>3-Hydroxyisovaleryl Coenzyme A</v>
          </cell>
        </row>
        <row r="2751">
          <cell r="A2751" t="str">
            <v>hexe3coa_x</v>
          </cell>
          <cell r="B2751" t="str">
            <v>hexe3coa</v>
          </cell>
          <cell r="C2751" t="str">
            <v>3-Hexenoyl Coenzyme A</v>
          </cell>
        </row>
        <row r="2752">
          <cell r="A2752" t="str">
            <v>hepcoa_m</v>
          </cell>
          <cell r="B2752" t="str">
            <v>hepcoa</v>
          </cell>
          <cell r="C2752" t="str">
            <v>Heptanoyl Coenzyme A</v>
          </cell>
        </row>
        <row r="2753">
          <cell r="A2753" t="str">
            <v>cala_e</v>
          </cell>
          <cell r="B2753" t="str">
            <v>cala</v>
          </cell>
          <cell r="C2753" t="str">
            <v>N-Carbamoyl-beta-alanine</v>
          </cell>
        </row>
        <row r="2754">
          <cell r="A2754" t="str">
            <v>crtn_e</v>
          </cell>
          <cell r="B2754" t="str">
            <v>crtn</v>
          </cell>
          <cell r="C2754" t="str">
            <v>Creatinine</v>
          </cell>
        </row>
        <row r="2755">
          <cell r="A2755" t="str">
            <v>kynate_e</v>
          </cell>
          <cell r="B2755" t="str">
            <v>kynate</v>
          </cell>
          <cell r="C2755" t="str">
            <v>4-Hydroxy-2-quinolinecarboxylic acid</v>
          </cell>
        </row>
        <row r="2756">
          <cell r="A2756" t="str">
            <v>3hanthrn_e</v>
          </cell>
          <cell r="B2756" t="str">
            <v>3hanthrn</v>
          </cell>
          <cell r="C2756" t="str">
            <v>3 Hydroxyanthranilate C7H7NO3</v>
          </cell>
        </row>
        <row r="2757">
          <cell r="A2757" t="str">
            <v>hLkynr_e</v>
          </cell>
          <cell r="B2757" t="str">
            <v>hLkynr</v>
          </cell>
          <cell r="C2757" t="str">
            <v>3 Hydroxy L kynurenine C10H12N2O4</v>
          </cell>
        </row>
        <row r="2758">
          <cell r="A2758" t="str">
            <v>dmgly_e</v>
          </cell>
          <cell r="B2758" t="str">
            <v>dmgly</v>
          </cell>
          <cell r="C2758" t="str">
            <v>N,N-Dimethylglycine</v>
          </cell>
        </row>
        <row r="2759">
          <cell r="A2759" t="str">
            <v>orot5p_e</v>
          </cell>
          <cell r="B2759" t="str">
            <v>orot5p</v>
          </cell>
          <cell r="C2759" t="str">
            <v>Orotidine 5'-phosphate</v>
          </cell>
        </row>
        <row r="2760">
          <cell r="A2760" t="str">
            <v>argsuc_e</v>
          </cell>
          <cell r="B2760" t="str">
            <v>argsuc</v>
          </cell>
          <cell r="C2760" t="str">
            <v>N(omega)-(L-Arginino)succinate</v>
          </cell>
        </row>
        <row r="2761">
          <cell r="A2761" t="str">
            <v>adpoh_c</v>
          </cell>
          <cell r="B2761" t="str">
            <v>adpoh</v>
          </cell>
          <cell r="C2761" t="str">
            <v>2-Hydroxyadipic Acid</v>
          </cell>
        </row>
        <row r="2762">
          <cell r="A2762" t="str">
            <v>ttdceacoa_c</v>
          </cell>
          <cell r="B2762" t="str">
            <v>ttdceacoa</v>
          </cell>
          <cell r="C2762" t="str">
            <v>Tetradecenoyl Coenzyme A (N-C14:1)</v>
          </cell>
        </row>
        <row r="2763">
          <cell r="A2763" t="str">
            <v>21hprgnlone_c</v>
          </cell>
          <cell r="B2763" t="str">
            <v>21hprgnlone</v>
          </cell>
          <cell r="C2763" t="str">
            <v>21-Hydroxypregnenolone</v>
          </cell>
        </row>
        <row r="2764">
          <cell r="A2764" t="str">
            <v>hmcr_c</v>
          </cell>
          <cell r="B2764" t="str">
            <v>hmcr</v>
          </cell>
          <cell r="C2764" t="str">
            <v>Homocitrulline</v>
          </cell>
        </row>
        <row r="2765">
          <cell r="A2765" t="str">
            <v>pcholmyr_hs_e</v>
          </cell>
          <cell r="B2765" t="str">
            <v>pcholmyr_hs</v>
          </cell>
          <cell r="C2765" t="str">
            <v>1-Myristoylglycerophosphocholine</v>
          </cell>
        </row>
        <row r="2766">
          <cell r="A2766" t="str">
            <v>pepalm_hs_e</v>
          </cell>
          <cell r="B2766" t="str">
            <v>pepalm_hs</v>
          </cell>
          <cell r="C2766" t="str">
            <v>1-Palmitoylglycerophosphoethanolamine</v>
          </cell>
        </row>
        <row r="2767">
          <cell r="A2767" t="str">
            <v>pail_hs_e</v>
          </cell>
          <cell r="B2767" t="str">
            <v>pail_hs</v>
          </cell>
          <cell r="C2767" t="str">
            <v>Phosphatidylinositol (homo sapiens)</v>
          </cell>
        </row>
        <row r="2768">
          <cell r="A2768" t="str">
            <v>pailpalm_hs_e</v>
          </cell>
          <cell r="B2768" t="str">
            <v>pailpalm_hs</v>
          </cell>
          <cell r="C2768" t="str">
            <v>1-Palmitoylglycerophosphoinositol</v>
          </cell>
        </row>
        <row r="2769">
          <cell r="A2769" t="str">
            <v>pchol2linl_hs_e</v>
          </cell>
          <cell r="B2769" t="str">
            <v>pchol2linl_hs</v>
          </cell>
          <cell r="C2769" t="str">
            <v>2-Linoleoylglycerophosphocholine</v>
          </cell>
        </row>
        <row r="2770">
          <cell r="A2770" t="str">
            <v>pchol2ole_hs_e</v>
          </cell>
          <cell r="B2770" t="str">
            <v>pchol2ole_hs</v>
          </cell>
          <cell r="C2770" t="str">
            <v>2-Oleoylglycerophosphocholine</v>
          </cell>
        </row>
        <row r="2771">
          <cell r="A2771" t="str">
            <v>pchol2palm_hs_e</v>
          </cell>
          <cell r="B2771" t="str">
            <v>pchol2palm_hs</v>
          </cell>
          <cell r="C2771" t="str">
            <v>2-Palmitoylglycerophosphocholine</v>
          </cell>
        </row>
        <row r="2772">
          <cell r="A2772" t="str">
            <v>xolest183_hs_e</v>
          </cell>
          <cell r="B2772" t="str">
            <v>xolest183_hs</v>
          </cell>
          <cell r="C2772" t="str">
            <v>1-Gamma-Linolenoyl-Cholesterol, Cholesterol-Ester (18:3, Delta 6, 9, 12)</v>
          </cell>
        </row>
        <row r="2773">
          <cell r="A2773" t="str">
            <v>xolest205_hs_e</v>
          </cell>
          <cell r="B2773" t="str">
            <v>xolest205_hs</v>
          </cell>
          <cell r="C2773" t="str">
            <v>1-Timnodnoyl-Cholesterol, Cholesterol-Ester (20:5, Delta 5,8,11,14,17)</v>
          </cell>
        </row>
        <row r="2774">
          <cell r="A2774" t="str">
            <v>xolest204_hs_e</v>
          </cell>
          <cell r="B2774" t="str">
            <v>xolest204_hs</v>
          </cell>
          <cell r="C2774" t="str">
            <v>Cholesteryl Arachidonate, Cholesterol-Ester (20:4, Delta 5,8,11,14)</v>
          </cell>
        </row>
        <row r="2775">
          <cell r="A2775" t="str">
            <v>pcholn15_hs_e</v>
          </cell>
          <cell r="B2775" t="str">
            <v>pcholn15_hs</v>
          </cell>
          <cell r="C2775" t="str">
            <v>1-Pentadecanoylglycerophosphocholine, Sn1-Lpc (15:0)</v>
          </cell>
        </row>
        <row r="2776">
          <cell r="A2776" t="str">
            <v>pcholn183_hs_e</v>
          </cell>
          <cell r="B2776" t="str">
            <v>pcholn183_hs</v>
          </cell>
          <cell r="C2776" t="str">
            <v>1-Octadeca-Trienoylglycerophosphocholine, Sn1-Lpc (18:3, Delta 9, 12, 15)</v>
          </cell>
        </row>
        <row r="2777">
          <cell r="A2777" t="str">
            <v>pcholn204_hs_e</v>
          </cell>
          <cell r="B2777" t="str">
            <v>pcholn204_hs</v>
          </cell>
          <cell r="C2777" t="str">
            <v>1-Eicosatetraenoylglycerophosphocholine (Delta 8, 11, 14, 17), Sn1-Lpc (20:4)</v>
          </cell>
        </row>
        <row r="2778">
          <cell r="A2778" t="str">
            <v>pe203_hs_e</v>
          </cell>
          <cell r="B2778" t="str">
            <v>pe203_hs</v>
          </cell>
          <cell r="C2778" t="str">
            <v>1-Eicosatrienoylglycerophosphoethanolamine (Delta 11, 14, 17), Lpe (20:3)</v>
          </cell>
        </row>
        <row r="2779">
          <cell r="A2779" t="str">
            <v>pe12_hs_e</v>
          </cell>
          <cell r="B2779" t="str">
            <v>pe12_hs</v>
          </cell>
          <cell r="C2779" t="str">
            <v>1-Didecanoylglycerophosphoethanolamine (C12:0 Pe)</v>
          </cell>
        </row>
        <row r="2780">
          <cell r="A2780" t="str">
            <v>pe17_hs_e</v>
          </cell>
          <cell r="B2780" t="str">
            <v>pe17_hs</v>
          </cell>
          <cell r="C2780" t="str">
            <v>1-Heptadecanoylglycerophosphoethanolamine (C17:0 Pe)</v>
          </cell>
        </row>
        <row r="2781">
          <cell r="A2781" t="str">
            <v>pcholn24_hs_e</v>
          </cell>
          <cell r="B2781" t="str">
            <v>pcholn24_hs</v>
          </cell>
          <cell r="C2781" t="str">
            <v>1-Lignocericylglycerophosphocholine (24:0), Lysopc A C24</v>
          </cell>
        </row>
        <row r="2782">
          <cell r="A2782" t="str">
            <v>pcholn261_hs_e</v>
          </cell>
          <cell r="B2782" t="str">
            <v>pcholn261_hs</v>
          </cell>
          <cell r="C2782" t="str">
            <v>Lysopc A C26:1 (Delta 5)</v>
          </cell>
        </row>
        <row r="2783">
          <cell r="A2783" t="str">
            <v>pcholn281_hs_e</v>
          </cell>
          <cell r="B2783" t="str">
            <v>pcholn281_hs</v>
          </cell>
          <cell r="C2783" t="str">
            <v>Lysopc A C28:1 (Delta 5)</v>
          </cell>
        </row>
        <row r="2784">
          <cell r="A2784" t="str">
            <v>pcholn28_hs_e</v>
          </cell>
          <cell r="B2784" t="str">
            <v>pcholn28_hs</v>
          </cell>
          <cell r="C2784" t="str">
            <v>Lysopc A C28:0</v>
          </cell>
        </row>
        <row r="2785">
          <cell r="A2785" t="str">
            <v>pcholet_hs_e</v>
          </cell>
          <cell r="B2785" t="str">
            <v>pcholet_hs</v>
          </cell>
          <cell r="C2785" t="str">
            <v>1-Eicosatrienoylglycerophosphocholine (Delta 11, 14, 17)</v>
          </cell>
        </row>
        <row r="2786">
          <cell r="A2786" t="str">
            <v>pcholhep_hs_e</v>
          </cell>
          <cell r="B2786" t="str">
            <v>pcholhep_hs</v>
          </cell>
          <cell r="C2786" t="str">
            <v>1-Heptadecanoylglycerophosphocholine</v>
          </cell>
        </row>
        <row r="2787">
          <cell r="A2787" t="str">
            <v>pchollinl_hs_e</v>
          </cell>
          <cell r="B2787" t="str">
            <v>pchollinl_hs</v>
          </cell>
          <cell r="C2787" t="str">
            <v>1-Linoleoylglycerophosphocholine (Delta 9,12)</v>
          </cell>
        </row>
        <row r="2788">
          <cell r="A2788" t="str">
            <v>sphmyln18114_hs_c</v>
          </cell>
          <cell r="B2788" t="str">
            <v>sphmyln18114_hs</v>
          </cell>
          <cell r="C2788" t="str">
            <v>Sm (D18:1/14:0), Sphingomyelin</v>
          </cell>
        </row>
        <row r="2789">
          <cell r="A2789" t="str">
            <v>sphmyln180241_hs_c</v>
          </cell>
          <cell r="B2789" t="str">
            <v>sphmyln180241_hs</v>
          </cell>
          <cell r="C2789" t="str">
            <v>Sm (D18:0/24:1), Sphingomyelin</v>
          </cell>
        </row>
        <row r="2790">
          <cell r="A2790" t="str">
            <v>sphmyln18116_hs_c</v>
          </cell>
          <cell r="B2790" t="str">
            <v>sphmyln18116_hs</v>
          </cell>
          <cell r="C2790" t="str">
            <v>Sm (D18:1/16:0), Sphingomyelin</v>
          </cell>
        </row>
        <row r="2791">
          <cell r="A2791" t="str">
            <v>sphmyln18118_hs_c</v>
          </cell>
          <cell r="B2791" t="str">
            <v>sphmyln18118_hs</v>
          </cell>
          <cell r="C2791" t="str">
            <v>Sm (D18:1/18:0), Sphingomyelin</v>
          </cell>
        </row>
        <row r="2792">
          <cell r="A2792" t="str">
            <v>sphmyln181201_hs_c</v>
          </cell>
          <cell r="B2792" t="str">
            <v>sphmyln181201_hs</v>
          </cell>
          <cell r="C2792" t="str">
            <v>Sm (D18:1/20:1), Sphingomyelin</v>
          </cell>
        </row>
        <row r="2793">
          <cell r="A2793" t="str">
            <v>sphmyln18120_hs_c</v>
          </cell>
          <cell r="B2793" t="str">
            <v>sphmyln18120_hs</v>
          </cell>
          <cell r="C2793" t="str">
            <v>Sm (D18:1/20:0), Sphingomyelin</v>
          </cell>
        </row>
        <row r="2794">
          <cell r="A2794" t="str">
            <v>xolest226_hs_l</v>
          </cell>
          <cell r="B2794" t="str">
            <v>xolest226_hs</v>
          </cell>
          <cell r="C2794" t="str">
            <v>Cholesteryl Docosahexanoate, Cholesterol-Ester (22:6, Delta 4,7,10,13,16,19)</v>
          </cell>
        </row>
        <row r="2795">
          <cell r="A2795" t="str">
            <v>magste_hs_e</v>
          </cell>
          <cell r="B2795" t="str">
            <v>magste_hs</v>
          </cell>
          <cell r="C2795" t="str">
            <v>1-Stearoylglycerol</v>
          </cell>
        </row>
        <row r="2796">
          <cell r="A2796" t="str">
            <v>peole_hs_c</v>
          </cell>
          <cell r="B2796" t="str">
            <v>peole_hs</v>
          </cell>
          <cell r="C2796" t="str">
            <v>1-Oleoylglycerophosphoethanolamine (Delta 9)</v>
          </cell>
        </row>
        <row r="2797">
          <cell r="A2797" t="str">
            <v>pchol2ste_hs_c</v>
          </cell>
          <cell r="B2797" t="str">
            <v>pchol2ste_hs</v>
          </cell>
          <cell r="C2797" t="str">
            <v>2-Stearoylglycerophosphocholine</v>
          </cell>
        </row>
        <row r="2798">
          <cell r="A2798" t="str">
            <v>pcholn225_hs_c</v>
          </cell>
          <cell r="B2798" t="str">
            <v>pcholn225_hs</v>
          </cell>
          <cell r="C2798" t="str">
            <v>1-Docosapentenoylglycerophosphocholine (Delta 7, 10, 13, 16, 19), Sn1-Lpc (22:5)-W3</v>
          </cell>
        </row>
        <row r="2799">
          <cell r="A2799" t="str">
            <v>pe224_hs_c</v>
          </cell>
          <cell r="B2799" t="str">
            <v>pe224_hs</v>
          </cell>
          <cell r="C2799" t="str">
            <v>1-Docosatetraenoyglycerophosphoethanolamine (22:4, Delta 7, 10, 13, 16)</v>
          </cell>
        </row>
        <row r="2800">
          <cell r="A2800" t="str">
            <v>pedh203_hs_c</v>
          </cell>
          <cell r="B2800" t="str">
            <v>pedh203_hs</v>
          </cell>
          <cell r="C2800" t="str">
            <v>1-Dihomo-Linolenoylglycerophosphoethanolamine (20:3, Delta 8, 11, 14)</v>
          </cell>
        </row>
        <row r="2801">
          <cell r="A2801" t="str">
            <v>pe14_hs_c</v>
          </cell>
          <cell r="B2801" t="str">
            <v>pe14_hs</v>
          </cell>
          <cell r="C2801" t="str">
            <v>1-Myristoylglycerophosphoethanolamine (C14:0 Pe)</v>
          </cell>
        </row>
        <row r="2802">
          <cell r="A2802" t="str">
            <v>pe13_hs_c</v>
          </cell>
          <cell r="B2802" t="str">
            <v>pe13_hs</v>
          </cell>
          <cell r="C2802" t="str">
            <v>1-Tridecanoylglycerophosphoethanolamine (C13:0 Pe)</v>
          </cell>
        </row>
        <row r="2803">
          <cell r="A2803" t="str">
            <v>pcholeic_hs_c</v>
          </cell>
          <cell r="B2803" t="str">
            <v>pcholeic_hs</v>
          </cell>
          <cell r="C2803" t="str">
            <v>1-Eicosadienoylglycerophosphocholine (Delta 11,14)</v>
          </cell>
        </row>
        <row r="2804">
          <cell r="A2804" t="str">
            <v>3mtp_e</v>
          </cell>
          <cell r="B2804" t="str">
            <v>3mtp</v>
          </cell>
          <cell r="C2804" t="str">
            <v>3 Methylthiopropionate C4H7O2S</v>
          </cell>
        </row>
        <row r="2805">
          <cell r="A2805" t="str">
            <v>phlac_e</v>
          </cell>
          <cell r="B2805" t="str">
            <v>phlac</v>
          </cell>
          <cell r="C2805" t="str">
            <v>Phenyllactate</v>
          </cell>
        </row>
        <row r="2806">
          <cell r="A2806" t="str">
            <v>34hpl_c</v>
          </cell>
          <cell r="B2806" t="str">
            <v>34hpl</v>
          </cell>
          <cell r="C2806" t="str">
            <v>3  4 Hydroxyphenyl lactate C9H9O4</v>
          </cell>
        </row>
        <row r="2807">
          <cell r="A2807" t="str">
            <v>3hmp_e</v>
          </cell>
          <cell r="B2807" t="str">
            <v>3hmp</v>
          </cell>
          <cell r="C2807" t="str">
            <v>3-Hydroxy-2-methylpropanoate</v>
          </cell>
        </row>
        <row r="2808">
          <cell r="A2808" t="str">
            <v>3hpppnohgluc_c</v>
          </cell>
          <cell r="B2808" t="str">
            <v>3hpppnohgluc</v>
          </cell>
          <cell r="C2808" t="str">
            <v>3-(3-Hydroxy-Phenyl)Propionate Hydroxy Derivative Glucuronide</v>
          </cell>
        </row>
        <row r="2809">
          <cell r="A2809" t="str">
            <v>3mhis_e</v>
          </cell>
          <cell r="B2809" t="str">
            <v>3mhis</v>
          </cell>
          <cell r="C2809" t="str">
            <v>3-Methylhistidine</v>
          </cell>
        </row>
        <row r="2810">
          <cell r="A2810" t="str">
            <v>3uib_e</v>
          </cell>
          <cell r="B2810" t="str">
            <v>3uib</v>
          </cell>
          <cell r="C2810" t="str">
            <v>3-Ureidoisobutyrate</v>
          </cell>
        </row>
        <row r="2811">
          <cell r="A2811" t="str">
            <v>56dura_e</v>
          </cell>
          <cell r="B2811" t="str">
            <v>56dura</v>
          </cell>
          <cell r="C2811" t="str">
            <v>5,6-dihydrouracil</v>
          </cell>
        </row>
        <row r="2812">
          <cell r="A2812" t="str">
            <v>acgly_c</v>
          </cell>
          <cell r="B2812" t="str">
            <v>acgly</v>
          </cell>
          <cell r="C2812" t="str">
            <v>Acetyl-Glycine</v>
          </cell>
        </row>
        <row r="2813">
          <cell r="A2813" t="str">
            <v>aclys_e</v>
          </cell>
          <cell r="B2813" t="str">
            <v>aclys</v>
          </cell>
          <cell r="C2813" t="str">
            <v>Acetyl-L-Lysine</v>
          </cell>
        </row>
        <row r="2814">
          <cell r="A2814" t="str">
            <v>adpac_e</v>
          </cell>
          <cell r="B2814" t="str">
            <v>adpac</v>
          </cell>
          <cell r="C2814" t="str">
            <v>Adipic acid; hexane-1,6-dioic acid</v>
          </cell>
        </row>
        <row r="2815">
          <cell r="A2815" t="str">
            <v>pa_hs_e</v>
          </cell>
          <cell r="B2815" t="str">
            <v>pa_hs</v>
          </cell>
          <cell r="C2815" t="str">
            <v>Phosphatidic acid (homo sapiens)</v>
          </cell>
        </row>
        <row r="2816">
          <cell r="A2816" t="str">
            <v>aracheth_e</v>
          </cell>
          <cell r="B2816" t="str">
            <v>aracheth</v>
          </cell>
          <cell r="C2816" t="str">
            <v>O-Arachidonoyl Ethanolamine</v>
          </cell>
        </row>
        <row r="2817">
          <cell r="A2817" t="str">
            <v>C04717_e</v>
          </cell>
          <cell r="B2817" t="str">
            <v>C04717</v>
          </cell>
          <cell r="C2817" t="str">
            <v>13(S)-HPODE(1-)</v>
          </cell>
        </row>
        <row r="2818">
          <cell r="A2818" t="str">
            <v>C04805_e</v>
          </cell>
          <cell r="B2818" t="str">
            <v>C04805</v>
          </cell>
          <cell r="C2818" t="str">
            <v>5(S)-HETE</v>
          </cell>
        </row>
        <row r="2819">
          <cell r="A2819" t="str">
            <v>C06315_e</v>
          </cell>
          <cell r="B2819" t="str">
            <v>C06315</v>
          </cell>
          <cell r="C2819" t="str">
            <v>Lipoxin B4(1-)</v>
          </cell>
        </row>
        <row r="2820">
          <cell r="A2820" t="str">
            <v>C14769_e</v>
          </cell>
          <cell r="B2820" t="str">
            <v>C14769</v>
          </cell>
          <cell r="C2820" t="str">
            <v>8,9-EET</v>
          </cell>
        </row>
        <row r="2821">
          <cell r="A2821" t="str">
            <v>C14770_e</v>
          </cell>
          <cell r="B2821" t="str">
            <v>C14770</v>
          </cell>
          <cell r="C2821" t="str">
            <v>11,12-EET</v>
          </cell>
        </row>
        <row r="2822">
          <cell r="A2822" t="str">
            <v>C14825_e</v>
          </cell>
          <cell r="B2822" t="str">
            <v>C14825</v>
          </cell>
          <cell r="C2822" t="str">
            <v>9(10)-EpOME</v>
          </cell>
        </row>
        <row r="2823">
          <cell r="A2823" t="str">
            <v>CE7172_e</v>
          </cell>
          <cell r="B2823" t="str">
            <v>CE7172</v>
          </cell>
          <cell r="C2823" t="str">
            <v>14,15-DiHETE</v>
          </cell>
        </row>
        <row r="2824">
          <cell r="A2824" t="str">
            <v>docohxeth_e</v>
          </cell>
          <cell r="B2824" t="str">
            <v>docohxeth</v>
          </cell>
          <cell r="C2824" t="str">
            <v>Docosahexaenoyl Ethanolamide</v>
          </cell>
        </row>
        <row r="2825">
          <cell r="A2825" t="str">
            <v>dodecanac_e</v>
          </cell>
          <cell r="B2825" t="str">
            <v>dodecanac</v>
          </cell>
          <cell r="C2825" t="str">
            <v>Dodecanedioic Acid</v>
          </cell>
        </row>
        <row r="2826">
          <cell r="A2826" t="str">
            <v>hepdeceth_e</v>
          </cell>
          <cell r="B2826" t="str">
            <v>hepdeceth</v>
          </cell>
          <cell r="C2826" t="str">
            <v>Heptadecanoyl Thanolamide (C17:0)</v>
          </cell>
        </row>
        <row r="2827">
          <cell r="A2827" t="str">
            <v>hxcoa_e</v>
          </cell>
          <cell r="B2827" t="str">
            <v>hxcoa</v>
          </cell>
          <cell r="C2827" t="str">
            <v>Hexanoyl-CoA (n-C6:0CoA)</v>
          </cell>
        </row>
        <row r="2828">
          <cell r="A2828" t="str">
            <v>mev__R_e</v>
          </cell>
          <cell r="B2828" t="str">
            <v>mev__R</v>
          </cell>
          <cell r="C2828" t="str">
            <v xml:space="preserve"> R  Mevalonate C6H11O4</v>
          </cell>
        </row>
        <row r="2829">
          <cell r="A2829" t="str">
            <v>mi1p__D_e</v>
          </cell>
          <cell r="B2829" t="str">
            <v>mi1p__D</v>
          </cell>
          <cell r="C2829" t="str">
            <v>1D-myo-Inositol 1-phosphate</v>
          </cell>
        </row>
        <row r="2830">
          <cell r="A2830" t="str">
            <v>Nacasp_e</v>
          </cell>
          <cell r="B2830" t="str">
            <v>Nacasp</v>
          </cell>
          <cell r="C2830" t="str">
            <v>N-Acetyl-L-aspartate</v>
          </cell>
        </row>
        <row r="2831">
          <cell r="A2831" t="str">
            <v>pendecaeth_e</v>
          </cell>
          <cell r="B2831" t="str">
            <v>pendecaeth</v>
          </cell>
          <cell r="C2831" t="str">
            <v>Pentadecanoyl Thanolamide (C15:0)</v>
          </cell>
        </row>
        <row r="2832">
          <cell r="A2832" t="str">
            <v>sphmyln18121_hs_e</v>
          </cell>
          <cell r="B2832" t="str">
            <v>sphmyln18121_hs</v>
          </cell>
          <cell r="C2832" t="str">
            <v>Sm (D18:1/21:0), Sphingomyelin</v>
          </cell>
        </row>
        <row r="2833">
          <cell r="A2833" t="str">
            <v>sphmyln18122_hs_e</v>
          </cell>
          <cell r="B2833" t="str">
            <v>sphmyln18122_hs</v>
          </cell>
          <cell r="C2833" t="str">
            <v>Sm (D18:1/22:0), Sphingomyelin</v>
          </cell>
        </row>
        <row r="2834">
          <cell r="A2834" t="str">
            <v>sphmyln181221_hs_e</v>
          </cell>
          <cell r="B2834" t="str">
            <v>sphmyln181221_hs</v>
          </cell>
          <cell r="C2834" t="str">
            <v>Sm (D18:1/22:1), Sphingomyelin</v>
          </cell>
        </row>
        <row r="2835">
          <cell r="A2835" t="str">
            <v>tetdeca511ac_e</v>
          </cell>
          <cell r="B2835" t="str">
            <v>tetdeca511ac</v>
          </cell>
          <cell r="C2835" t="str">
            <v>Cia-5,8, Tetradecadienoic Acid</v>
          </cell>
        </row>
        <row r="2836">
          <cell r="A2836" t="str">
            <v>thrnt_e</v>
          </cell>
          <cell r="B2836" t="str">
            <v>thrnt</v>
          </cell>
          <cell r="C2836" t="str">
            <v>L-Threonate</v>
          </cell>
        </row>
        <row r="2837">
          <cell r="A2837" t="str">
            <v>tmlys_e</v>
          </cell>
          <cell r="B2837" t="str">
            <v>tmlys</v>
          </cell>
          <cell r="C2837" t="str">
            <v>N6,N6,N6-Trimethyl-L-lysine</v>
          </cell>
        </row>
        <row r="2838">
          <cell r="A2838" t="str">
            <v>urcan_e</v>
          </cell>
          <cell r="B2838" t="str">
            <v>urcan</v>
          </cell>
          <cell r="C2838" t="str">
            <v>Urocanate C6H5N2O2</v>
          </cell>
        </row>
        <row r="2839">
          <cell r="A2839" t="str">
            <v>acile__L_c</v>
          </cell>
          <cell r="B2839" t="str">
            <v>acile__L</v>
          </cell>
          <cell r="C2839" t="str">
            <v>Acetyl Isoleucine (Chemspider Id: 9964364)</v>
          </cell>
        </row>
        <row r="2840">
          <cell r="A2840" t="str">
            <v>acleu__L_c</v>
          </cell>
          <cell r="B2840" t="str">
            <v>acleu__L</v>
          </cell>
          <cell r="C2840" t="str">
            <v>N-Acetylleucine</v>
          </cell>
        </row>
        <row r="2841">
          <cell r="A2841" t="str">
            <v>achom__L_m</v>
          </cell>
          <cell r="B2841" t="str">
            <v>achom__L</v>
          </cell>
          <cell r="C2841" t="str">
            <v>Acetylhomoserine</v>
          </cell>
        </row>
        <row r="2842">
          <cell r="A2842" t="str">
            <v>7klitchol_c</v>
          </cell>
          <cell r="B2842" t="str">
            <v>7klitchol</v>
          </cell>
          <cell r="C2842" t="str">
            <v>7-Ketolithocholate</v>
          </cell>
        </row>
        <row r="2843">
          <cell r="A2843" t="str">
            <v>bz_m</v>
          </cell>
          <cell r="B2843" t="str">
            <v>bz</v>
          </cell>
          <cell r="C2843" t="str">
            <v>Benzoate</v>
          </cell>
        </row>
        <row r="2844">
          <cell r="A2844" t="str">
            <v>pcresol_c</v>
          </cell>
          <cell r="B2844" t="str">
            <v>pcresol</v>
          </cell>
          <cell r="C2844" t="str">
            <v>P-Cresol</v>
          </cell>
        </row>
        <row r="2845">
          <cell r="A2845" t="str">
            <v>dhbpt_e</v>
          </cell>
          <cell r="B2845" t="str">
            <v>dhbpt</v>
          </cell>
          <cell r="C2845" t="str">
            <v>6,7-Dihydrobiopterin</v>
          </cell>
        </row>
        <row r="2846">
          <cell r="A2846" t="str">
            <v>alalysthr_e</v>
          </cell>
          <cell r="B2846" t="str">
            <v>alalysthr</v>
          </cell>
          <cell r="C2846" t="str">
            <v>Alanyl-Lysine-Threonine</v>
          </cell>
        </row>
        <row r="2847">
          <cell r="A2847" t="str">
            <v>argalaala_e</v>
          </cell>
          <cell r="B2847" t="str">
            <v>argalaala</v>
          </cell>
          <cell r="C2847" t="str">
            <v>Arginyl-Alanyl-Alanine</v>
          </cell>
        </row>
        <row r="2848">
          <cell r="A2848" t="str">
            <v>argarg_e</v>
          </cell>
          <cell r="B2848" t="str">
            <v>argarg</v>
          </cell>
          <cell r="C2848" t="str">
            <v>Arginyl-Arginine</v>
          </cell>
        </row>
        <row r="2849">
          <cell r="A2849" t="str">
            <v>arggluglu_e</v>
          </cell>
          <cell r="B2849" t="str">
            <v>arggluglu</v>
          </cell>
          <cell r="C2849" t="str">
            <v>Arginyl-Glutamyl-Glutamate</v>
          </cell>
        </row>
        <row r="2850">
          <cell r="A2850" t="str">
            <v>argprothr_e</v>
          </cell>
          <cell r="B2850" t="str">
            <v>argprothr</v>
          </cell>
          <cell r="C2850" t="str">
            <v>Arginyl-Prolyl-Threonine</v>
          </cell>
        </row>
        <row r="2851">
          <cell r="A2851" t="str">
            <v>argserser_e</v>
          </cell>
          <cell r="B2851" t="str">
            <v>argserser</v>
          </cell>
          <cell r="C2851" t="str">
            <v>Arginyl-Seryl-Serine</v>
          </cell>
        </row>
        <row r="2852">
          <cell r="A2852" t="str">
            <v>asntyrgly_e</v>
          </cell>
          <cell r="B2852" t="str">
            <v>asntyrgly</v>
          </cell>
          <cell r="C2852" t="str">
            <v>Asparaginyl-Tyrosyl-Glycine</v>
          </cell>
        </row>
        <row r="2853">
          <cell r="A2853" t="str">
            <v>aspasnglu_e</v>
          </cell>
          <cell r="B2853" t="str">
            <v>aspasnglu</v>
          </cell>
          <cell r="C2853" t="str">
            <v>Aspartyl-Asparaginyl-Glutamate</v>
          </cell>
        </row>
        <row r="2854">
          <cell r="A2854" t="str">
            <v>asplysglu_e</v>
          </cell>
          <cell r="B2854" t="str">
            <v>asplysglu</v>
          </cell>
          <cell r="C2854" t="str">
            <v>Aspartyl-Lysyl-Glutamate</v>
          </cell>
        </row>
        <row r="2855">
          <cell r="A2855" t="str">
            <v>cysasnmet_e</v>
          </cell>
          <cell r="B2855" t="str">
            <v>cysasnmet</v>
          </cell>
          <cell r="C2855" t="str">
            <v>Cystyl-Asparaginyl-Methionine</v>
          </cell>
        </row>
        <row r="2856">
          <cell r="A2856" t="str">
            <v>cysglnmet_e</v>
          </cell>
          <cell r="B2856" t="str">
            <v>cysglnmet</v>
          </cell>
          <cell r="C2856" t="str">
            <v>Cystyl-Glutaminyl-Methionine</v>
          </cell>
        </row>
        <row r="2857">
          <cell r="A2857" t="str">
            <v>cysgluhis_e</v>
          </cell>
          <cell r="B2857" t="str">
            <v>cysgluhis</v>
          </cell>
          <cell r="C2857" t="str">
            <v>Cystyl-Glutamyl-Histidine</v>
          </cell>
        </row>
        <row r="2858">
          <cell r="A2858" t="str">
            <v>cysglutrp_e</v>
          </cell>
          <cell r="B2858" t="str">
            <v>cysglutrp</v>
          </cell>
          <cell r="C2858" t="str">
            <v>Cystyl-Glutamyl-Tryptophan</v>
          </cell>
        </row>
        <row r="2859">
          <cell r="A2859" t="str">
            <v>glnasngln_e</v>
          </cell>
          <cell r="B2859" t="str">
            <v>glnasngln</v>
          </cell>
          <cell r="C2859" t="str">
            <v>Glutaminyl-Asparaginyl-Glutamine</v>
          </cell>
        </row>
        <row r="2860">
          <cell r="A2860" t="str">
            <v>glnlyslys_e</v>
          </cell>
          <cell r="B2860" t="str">
            <v>glnlyslys</v>
          </cell>
          <cell r="C2860" t="str">
            <v>Glutaminyl-Lysyl-Lysine</v>
          </cell>
        </row>
        <row r="2861">
          <cell r="A2861" t="str">
            <v>glnproglu_e</v>
          </cell>
          <cell r="B2861" t="str">
            <v>glnproglu</v>
          </cell>
          <cell r="C2861" t="str">
            <v>Glutaminyl-Prolyl-Glutamate</v>
          </cell>
        </row>
        <row r="2862">
          <cell r="A2862" t="str">
            <v>glntyrleu_e</v>
          </cell>
          <cell r="B2862" t="str">
            <v>glntyrleu</v>
          </cell>
          <cell r="C2862" t="str">
            <v>Glutaminyl-Tyrosyl-Leucine</v>
          </cell>
        </row>
        <row r="2863">
          <cell r="A2863" t="str">
            <v>gluilelys_e</v>
          </cell>
          <cell r="B2863" t="str">
            <v>gluilelys</v>
          </cell>
          <cell r="C2863" t="str">
            <v>Glutamyl-Isoleucyl-Lysine</v>
          </cell>
        </row>
        <row r="2864">
          <cell r="A2864" t="str">
            <v>glumet_e</v>
          </cell>
          <cell r="B2864" t="str">
            <v>glumet</v>
          </cell>
          <cell r="C2864" t="str">
            <v>Glutamyl-Methionine</v>
          </cell>
        </row>
        <row r="2865">
          <cell r="A2865" t="str">
            <v>gluthrlys_e</v>
          </cell>
          <cell r="B2865" t="str">
            <v>gluthrlys</v>
          </cell>
          <cell r="C2865" t="str">
            <v>Glutamyl-Threonyl-Lysine</v>
          </cell>
        </row>
        <row r="2866">
          <cell r="A2866" t="str">
            <v>glutrpala_e</v>
          </cell>
          <cell r="B2866" t="str">
            <v>glutrpala</v>
          </cell>
          <cell r="C2866" t="str">
            <v>Glutamyl-Tryptophanyl-Alanine</v>
          </cell>
        </row>
        <row r="2867">
          <cell r="A2867" t="str">
            <v>hisargser_e</v>
          </cell>
          <cell r="B2867" t="str">
            <v>hisargser</v>
          </cell>
          <cell r="C2867" t="str">
            <v>Histidyl-Arginyl-Serine</v>
          </cell>
        </row>
        <row r="2868">
          <cell r="A2868" t="str">
            <v>hisglnala_e</v>
          </cell>
          <cell r="B2868" t="str">
            <v>hisglnala</v>
          </cell>
          <cell r="C2868" t="str">
            <v>Histidyl-Glutaminyl-Alanine</v>
          </cell>
        </row>
        <row r="2869">
          <cell r="A2869" t="str">
            <v>hislysthr_e</v>
          </cell>
          <cell r="B2869" t="str">
            <v>hislysthr</v>
          </cell>
          <cell r="C2869" t="str">
            <v>Histidyl-Lysyl-Threonine</v>
          </cell>
        </row>
        <row r="2870">
          <cell r="A2870" t="str">
            <v>hismetgln_e</v>
          </cell>
          <cell r="B2870" t="str">
            <v>hismetgln</v>
          </cell>
          <cell r="C2870" t="str">
            <v>Histidyl-Methionyl-Glutamine</v>
          </cell>
        </row>
        <row r="2871">
          <cell r="A2871" t="str">
            <v>hisprolys_e</v>
          </cell>
          <cell r="B2871" t="str">
            <v>hisprolys</v>
          </cell>
          <cell r="C2871" t="str">
            <v>Histidyl-Prolyl-Lysine</v>
          </cell>
        </row>
        <row r="2872">
          <cell r="A2872" t="str">
            <v>ileglyarg_e</v>
          </cell>
          <cell r="B2872" t="str">
            <v>ileglyarg</v>
          </cell>
          <cell r="C2872" t="str">
            <v>Isolecyl-Glycyl-Arginine</v>
          </cell>
        </row>
        <row r="2873">
          <cell r="A2873" t="str">
            <v>leuasnasp_e</v>
          </cell>
          <cell r="B2873" t="str">
            <v>leuasnasp</v>
          </cell>
          <cell r="C2873" t="str">
            <v>Leucyl-Asparaginyl-Aspartate</v>
          </cell>
        </row>
        <row r="2874">
          <cell r="A2874" t="str">
            <v>leuproarg_e</v>
          </cell>
          <cell r="B2874" t="str">
            <v>leuproarg</v>
          </cell>
          <cell r="C2874" t="str">
            <v>Leucyl-Prolyl-Arginine</v>
          </cell>
        </row>
        <row r="2875">
          <cell r="A2875" t="str">
            <v>leutyrtyr_e</v>
          </cell>
          <cell r="B2875" t="str">
            <v>leutyrtyr</v>
          </cell>
          <cell r="C2875" t="str">
            <v>Leucyl-Tyrosyl-Tyrosine</v>
          </cell>
        </row>
        <row r="2876">
          <cell r="A2876" t="str">
            <v>lystyrile_e</v>
          </cell>
          <cell r="B2876" t="str">
            <v>lystyrile</v>
          </cell>
          <cell r="C2876" t="str">
            <v>Lysyl-Tyrosyl-Isoleucine</v>
          </cell>
        </row>
        <row r="2877">
          <cell r="A2877" t="str">
            <v>mettrpphe_e</v>
          </cell>
          <cell r="B2877" t="str">
            <v>mettrpphe</v>
          </cell>
          <cell r="C2877" t="str">
            <v>Methionyl-Tryptophanyl-Phenylalanine</v>
          </cell>
        </row>
        <row r="2878">
          <cell r="A2878" t="str">
            <v>pheleuhis_e</v>
          </cell>
          <cell r="B2878" t="str">
            <v>pheleuhis</v>
          </cell>
          <cell r="C2878" t="str">
            <v>Phenylalanyl-Leucyl-Histidine</v>
          </cell>
        </row>
        <row r="2879">
          <cell r="A2879" t="str">
            <v>phelysala_e</v>
          </cell>
          <cell r="B2879" t="str">
            <v>phelysala</v>
          </cell>
          <cell r="C2879" t="str">
            <v>Phenylalanyl-Lysyl-Alanine</v>
          </cell>
        </row>
        <row r="2880">
          <cell r="A2880" t="str">
            <v>phelyspro_e</v>
          </cell>
          <cell r="B2880" t="str">
            <v>phelyspro</v>
          </cell>
          <cell r="C2880" t="str">
            <v>Phenylalanyl-Lysyl-Proline</v>
          </cell>
        </row>
        <row r="2881">
          <cell r="A2881" t="str">
            <v>phephethr_e</v>
          </cell>
          <cell r="B2881" t="str">
            <v>phephethr</v>
          </cell>
          <cell r="C2881" t="str">
            <v>Phenylalanyl-Phenylalaninyl-Threonine</v>
          </cell>
        </row>
        <row r="2882">
          <cell r="A2882" t="str">
            <v>pheproarg_e</v>
          </cell>
          <cell r="B2882" t="str">
            <v>pheproarg</v>
          </cell>
          <cell r="C2882" t="str">
            <v>Phenylalanyl-Prolyl-Arginine</v>
          </cell>
        </row>
        <row r="2883">
          <cell r="A2883" t="str">
            <v>proglulys_e</v>
          </cell>
          <cell r="B2883" t="str">
            <v>proglulys</v>
          </cell>
          <cell r="C2883" t="str">
            <v>Prolyl-Glutamatsyl-Lysine</v>
          </cell>
        </row>
        <row r="2884">
          <cell r="A2884" t="str">
            <v>prolyspro_e</v>
          </cell>
          <cell r="B2884" t="str">
            <v>prolyspro</v>
          </cell>
          <cell r="C2884" t="str">
            <v>Prolyl-Lysyl-Proline</v>
          </cell>
        </row>
        <row r="2885">
          <cell r="A2885" t="str">
            <v>serglyglu_e</v>
          </cell>
          <cell r="B2885" t="str">
            <v>serglyglu</v>
          </cell>
          <cell r="C2885" t="str">
            <v>Seryl-Glycyl-Glutamate</v>
          </cell>
        </row>
        <row r="2886">
          <cell r="A2886" t="str">
            <v>serlyshis_e</v>
          </cell>
          <cell r="B2886" t="str">
            <v>serlyshis</v>
          </cell>
          <cell r="C2886" t="str">
            <v>Seryl-Lysyl-Histidine</v>
          </cell>
        </row>
        <row r="2887">
          <cell r="A2887" t="str">
            <v>serphelys_e</v>
          </cell>
          <cell r="B2887" t="str">
            <v>serphelys</v>
          </cell>
          <cell r="C2887" t="str">
            <v>Seryl-Phenylalanyl-Lysine</v>
          </cell>
        </row>
        <row r="2888">
          <cell r="A2888" t="str">
            <v>sertrphis_e</v>
          </cell>
          <cell r="B2888" t="str">
            <v>sertrphis</v>
          </cell>
          <cell r="C2888" t="str">
            <v>Seryl-Tryptophanyl-Histidine</v>
          </cell>
        </row>
        <row r="2889">
          <cell r="A2889" t="str">
            <v>thrserarg_e</v>
          </cell>
          <cell r="B2889" t="str">
            <v>thrserarg</v>
          </cell>
          <cell r="C2889" t="str">
            <v>Threonyl-Seryl-Arginine</v>
          </cell>
        </row>
        <row r="2890">
          <cell r="A2890" t="str">
            <v>thrtyrmet_e</v>
          </cell>
          <cell r="B2890" t="str">
            <v>thrtyrmet</v>
          </cell>
          <cell r="C2890" t="str">
            <v>Threonyl-Tyrosyl-Methionine</v>
          </cell>
        </row>
        <row r="2891">
          <cell r="A2891" t="str">
            <v>trpgluleu_e</v>
          </cell>
          <cell r="B2891" t="str">
            <v>trpgluleu</v>
          </cell>
          <cell r="C2891" t="str">
            <v>Tryptophanyl-Glutamyl-Leucine</v>
          </cell>
        </row>
        <row r="2892">
          <cell r="A2892" t="str">
            <v>trpmetarg_e</v>
          </cell>
          <cell r="B2892" t="str">
            <v>trpmetarg</v>
          </cell>
          <cell r="C2892" t="str">
            <v>Tryptophanyl-Methionyl-Arginine</v>
          </cell>
        </row>
        <row r="2893">
          <cell r="A2893" t="str">
            <v>trpphe_e</v>
          </cell>
          <cell r="B2893" t="str">
            <v>trpphe</v>
          </cell>
          <cell r="C2893" t="str">
            <v>Tryptophanyl-Phenylalanine</v>
          </cell>
        </row>
        <row r="2894">
          <cell r="A2894" t="str">
            <v>trpproleu_e</v>
          </cell>
          <cell r="B2894" t="str">
            <v>trpproleu</v>
          </cell>
          <cell r="C2894" t="str">
            <v>Tryptophanyl-Prolyl-Leucine</v>
          </cell>
        </row>
        <row r="2895">
          <cell r="A2895" t="str">
            <v>trpsertyr_e</v>
          </cell>
          <cell r="B2895" t="str">
            <v>trpsertyr</v>
          </cell>
          <cell r="C2895" t="str">
            <v>Tryptophanyl-Seryl-Tyrosine</v>
          </cell>
        </row>
        <row r="2896">
          <cell r="A2896" t="str">
            <v>trpthrtyr_e</v>
          </cell>
          <cell r="B2896" t="str">
            <v>trpthrtyr</v>
          </cell>
          <cell r="C2896" t="str">
            <v>Tryptophanyl-Threonyl-Tyrosine</v>
          </cell>
        </row>
        <row r="2897">
          <cell r="A2897" t="str">
            <v>trptyrgln_e</v>
          </cell>
          <cell r="B2897" t="str">
            <v>trptyrgln</v>
          </cell>
          <cell r="C2897" t="str">
            <v>Tryptophanyl-Tyrosyl-Glutamine</v>
          </cell>
        </row>
        <row r="2898">
          <cell r="A2898" t="str">
            <v>tyrasparg_e</v>
          </cell>
          <cell r="B2898" t="str">
            <v>tyrasparg</v>
          </cell>
          <cell r="C2898" t="str">
            <v>Tyrosyl-Aspartyl-Arginine</v>
          </cell>
        </row>
        <row r="2899">
          <cell r="A2899" t="str">
            <v>valhisasn_e</v>
          </cell>
          <cell r="B2899" t="str">
            <v>valhisasn</v>
          </cell>
          <cell r="C2899" t="str">
            <v>Valyl-Histidyl-Asparagine</v>
          </cell>
        </row>
        <row r="2900">
          <cell r="A2900" t="str">
            <v>valphearg_e</v>
          </cell>
          <cell r="B2900" t="str">
            <v>valphearg</v>
          </cell>
          <cell r="C2900" t="str">
            <v>Valyl-Phenylalanyl-Arginine</v>
          </cell>
        </row>
        <row r="2901">
          <cell r="A2901" t="str">
            <v>valtrpphe_e</v>
          </cell>
          <cell r="B2901" t="str">
            <v>valtrpphe</v>
          </cell>
          <cell r="C2901" t="str">
            <v>Valyl-Tryptophanyl-Phenylalanine</v>
          </cell>
        </row>
        <row r="2902">
          <cell r="A2902" t="str">
            <v>argalathr_c</v>
          </cell>
          <cell r="B2902" t="str">
            <v>argalathr</v>
          </cell>
          <cell r="C2902" t="str">
            <v>Arginyl-Alanyl-Threonine</v>
          </cell>
        </row>
        <row r="2903">
          <cell r="A2903" t="str">
            <v>argglupro_c</v>
          </cell>
          <cell r="B2903" t="str">
            <v>argglupro</v>
          </cell>
          <cell r="C2903" t="str">
            <v>Arginyl-Glutamyl-Proline</v>
          </cell>
        </row>
        <row r="2904">
          <cell r="A2904" t="str">
            <v>argphearg_c</v>
          </cell>
          <cell r="B2904" t="str">
            <v>argphearg</v>
          </cell>
          <cell r="C2904" t="str">
            <v>Arginyl-Phenylalanine-Arginine</v>
          </cell>
        </row>
        <row r="2905">
          <cell r="A2905" t="str">
            <v>argvalcys_c</v>
          </cell>
          <cell r="B2905" t="str">
            <v>argvalcys</v>
          </cell>
          <cell r="C2905" t="str">
            <v>Arginyl-Valyl-Cysteine</v>
          </cell>
        </row>
        <row r="2906">
          <cell r="A2906" t="str">
            <v>asnasnarg_c</v>
          </cell>
          <cell r="B2906" t="str">
            <v>asnasnarg</v>
          </cell>
          <cell r="C2906" t="str">
            <v>Asparaginyl-Asparaginyl-Arginine</v>
          </cell>
        </row>
        <row r="2907">
          <cell r="A2907" t="str">
            <v>asnpheasp_c</v>
          </cell>
          <cell r="B2907" t="str">
            <v>asnpheasp</v>
          </cell>
          <cell r="C2907" t="str">
            <v>Asparaginyl-Phenylalanyl-Aspartate</v>
          </cell>
        </row>
        <row r="2908">
          <cell r="A2908" t="str">
            <v>asntyrphe_c</v>
          </cell>
          <cell r="B2908" t="str">
            <v>asntyrphe</v>
          </cell>
          <cell r="C2908" t="str">
            <v>Asparaginyl-Tyrosyl-Phenylalanine</v>
          </cell>
        </row>
        <row r="2909">
          <cell r="A2909" t="str">
            <v>aspglupro_c</v>
          </cell>
          <cell r="B2909" t="str">
            <v>aspglupro</v>
          </cell>
          <cell r="C2909" t="str">
            <v>Aspartyl-Glutamyl-Proline</v>
          </cell>
        </row>
        <row r="2910">
          <cell r="A2910" t="str">
            <v>asphiscys_c</v>
          </cell>
          <cell r="B2910" t="str">
            <v>asphiscys</v>
          </cell>
          <cell r="C2910" t="str">
            <v>Aspartyl-Histidyl-Cysteine</v>
          </cell>
        </row>
        <row r="2911">
          <cell r="A2911" t="str">
            <v>asplyshis_c</v>
          </cell>
          <cell r="B2911" t="str">
            <v>asplyshis</v>
          </cell>
          <cell r="C2911" t="str">
            <v>Aspartyl-Lysyl-Histidine</v>
          </cell>
        </row>
        <row r="2912">
          <cell r="A2912" t="str">
            <v>aspvalasn_c</v>
          </cell>
          <cell r="B2912" t="str">
            <v>aspvalasn</v>
          </cell>
          <cell r="C2912" t="str">
            <v>Aspartyl-Valyl-Asparagine</v>
          </cell>
        </row>
        <row r="2913">
          <cell r="A2913" t="str">
            <v>cyscys_c</v>
          </cell>
          <cell r="B2913" t="str">
            <v>cyscys</v>
          </cell>
          <cell r="C2913" t="str">
            <v>Cystyl-Cysteine</v>
          </cell>
        </row>
        <row r="2914">
          <cell r="A2914" t="str">
            <v>cysleuthr_c</v>
          </cell>
          <cell r="B2914" t="str">
            <v>cysleuthr</v>
          </cell>
          <cell r="C2914" t="str">
            <v>Cystyl-Leucyl-Threonine</v>
          </cell>
        </row>
        <row r="2915">
          <cell r="A2915" t="str">
            <v>cystyrasn_c</v>
          </cell>
          <cell r="B2915" t="str">
            <v>cystyrasn</v>
          </cell>
          <cell r="C2915" t="str">
            <v>Cystyl-Tyrosyl-Asparagine</v>
          </cell>
        </row>
        <row r="2916">
          <cell r="A2916" t="str">
            <v>glntrpglu_c</v>
          </cell>
          <cell r="B2916" t="str">
            <v>glntrpglu</v>
          </cell>
          <cell r="C2916" t="str">
            <v>Glutaminyl-Tryptophanyl-Glutamate</v>
          </cell>
        </row>
        <row r="2917">
          <cell r="A2917" t="str">
            <v>gluleu_c</v>
          </cell>
          <cell r="B2917" t="str">
            <v>gluleu</v>
          </cell>
          <cell r="C2917" t="str">
            <v>Glutamyl-Leucine</v>
          </cell>
        </row>
        <row r="2918">
          <cell r="A2918" t="str">
            <v>glumethis_c</v>
          </cell>
          <cell r="B2918" t="str">
            <v>glumethis</v>
          </cell>
          <cell r="C2918" t="str">
            <v>Glutamyl-Methioninyl-Histidine</v>
          </cell>
        </row>
        <row r="2919">
          <cell r="A2919" t="str">
            <v>glyhisasn_c</v>
          </cell>
          <cell r="B2919" t="str">
            <v>glyhisasn</v>
          </cell>
          <cell r="C2919" t="str">
            <v>Glycyl-Histidyl-Asparagine</v>
          </cell>
        </row>
        <row r="2920">
          <cell r="A2920" t="str">
            <v>glyhislys_c</v>
          </cell>
          <cell r="B2920" t="str">
            <v>glyhislys</v>
          </cell>
          <cell r="C2920" t="str">
            <v>Glycyl-Histidyl-Lysine</v>
          </cell>
        </row>
        <row r="2921">
          <cell r="A2921" t="str">
            <v>glylyscys_c</v>
          </cell>
          <cell r="B2921" t="str">
            <v>glylyscys</v>
          </cell>
          <cell r="C2921" t="str">
            <v>Glycyl-Lysyl-Cysteine</v>
          </cell>
        </row>
        <row r="2922">
          <cell r="A2922" t="str">
            <v>hisglu_c</v>
          </cell>
          <cell r="B2922" t="str">
            <v>hisglu</v>
          </cell>
          <cell r="C2922" t="str">
            <v>Histidyl-Glutamate</v>
          </cell>
        </row>
        <row r="2923">
          <cell r="A2923" t="str">
            <v>hishislys_c</v>
          </cell>
          <cell r="B2923" t="str">
            <v>hishislys</v>
          </cell>
          <cell r="C2923" t="str">
            <v>Histidyl-Histidyl-Lysine</v>
          </cell>
        </row>
        <row r="2924">
          <cell r="A2924" t="str">
            <v>hislysala_c</v>
          </cell>
          <cell r="B2924" t="str">
            <v>hislysala</v>
          </cell>
          <cell r="C2924" t="str">
            <v>Histidyl-Lysyl-Alanine</v>
          </cell>
        </row>
        <row r="2925">
          <cell r="A2925" t="str">
            <v>hislysglu_c</v>
          </cell>
          <cell r="B2925" t="str">
            <v>hislysglu</v>
          </cell>
          <cell r="C2925" t="str">
            <v>Histidyl-Lysyl-Glutamate</v>
          </cell>
        </row>
        <row r="2926">
          <cell r="A2926" t="str">
            <v>hislysile_c</v>
          </cell>
          <cell r="B2926" t="str">
            <v>hislysile</v>
          </cell>
          <cell r="C2926" t="str">
            <v>Histidyl-Lysyl-Isoleucine</v>
          </cell>
        </row>
        <row r="2927">
          <cell r="A2927" t="str">
            <v>hisphearg_c</v>
          </cell>
          <cell r="B2927" t="str">
            <v>hisphearg</v>
          </cell>
          <cell r="C2927" t="str">
            <v>Histidyl-Phenylalanyl-Arginine</v>
          </cell>
        </row>
        <row r="2928">
          <cell r="A2928" t="str">
            <v>histrphis_c</v>
          </cell>
          <cell r="B2928" t="str">
            <v>histrphis</v>
          </cell>
          <cell r="C2928" t="str">
            <v>Histidyl-Tryptophanyl-Histidine</v>
          </cell>
        </row>
        <row r="2929">
          <cell r="A2929" t="str">
            <v>ileasp_c</v>
          </cell>
          <cell r="B2929" t="str">
            <v>ileasp</v>
          </cell>
          <cell r="C2929" t="str">
            <v>Isolecyl-Aspartate</v>
          </cell>
        </row>
        <row r="2930">
          <cell r="A2930" t="str">
            <v>ileprolys_c</v>
          </cell>
          <cell r="B2930" t="str">
            <v>ileprolys</v>
          </cell>
          <cell r="C2930" t="str">
            <v>Isolecyl-Prolyl-Lysine</v>
          </cell>
        </row>
        <row r="2931">
          <cell r="A2931" t="str">
            <v>ileserarg_c</v>
          </cell>
          <cell r="B2931" t="str">
            <v>ileserarg</v>
          </cell>
          <cell r="C2931" t="str">
            <v>Isolecyl-Seryl-Arginine</v>
          </cell>
        </row>
        <row r="2932">
          <cell r="A2932" t="str">
            <v>leuasplys_c</v>
          </cell>
          <cell r="B2932" t="str">
            <v>leuasplys</v>
          </cell>
          <cell r="C2932" t="str">
            <v>Leucyl-Aspartyl-Lysine</v>
          </cell>
        </row>
        <row r="2933">
          <cell r="A2933" t="str">
            <v>leuleutrp_c</v>
          </cell>
          <cell r="B2933" t="str">
            <v>leuleutrp</v>
          </cell>
          <cell r="C2933" t="str">
            <v>Leucyl-Leucyl-Tryptophan</v>
          </cell>
        </row>
        <row r="2934">
          <cell r="A2934" t="str">
            <v>leuval_c</v>
          </cell>
          <cell r="B2934" t="str">
            <v>leuval</v>
          </cell>
          <cell r="C2934" t="str">
            <v>Leucyl-Valine</v>
          </cell>
        </row>
        <row r="2935">
          <cell r="A2935" t="str">
            <v>lyscyshis_c</v>
          </cell>
          <cell r="B2935" t="str">
            <v>lyscyshis</v>
          </cell>
          <cell r="C2935" t="str">
            <v>Lysyl-Cysteinyl-Histidine</v>
          </cell>
        </row>
        <row r="2936">
          <cell r="A2936" t="str">
            <v>lysglnphe_c</v>
          </cell>
          <cell r="B2936" t="str">
            <v>lysglnphe</v>
          </cell>
          <cell r="C2936" t="str">
            <v>Lysyl-Glutaminyl-Phenylalanine</v>
          </cell>
        </row>
        <row r="2937">
          <cell r="A2937" t="str">
            <v>lyslyslys_c</v>
          </cell>
          <cell r="B2937" t="str">
            <v>lyslyslys</v>
          </cell>
          <cell r="C2937" t="str">
            <v>Lysyl-Lysyl-Lysine</v>
          </cell>
        </row>
        <row r="2938">
          <cell r="A2938" t="str">
            <v>lystrparg_c</v>
          </cell>
          <cell r="B2938" t="str">
            <v>lystrparg</v>
          </cell>
          <cell r="C2938" t="str">
            <v>Lysyl-Tryptophanyl-Arginine</v>
          </cell>
        </row>
        <row r="2939">
          <cell r="A2939" t="str">
            <v>lysvaltrp_c</v>
          </cell>
          <cell r="B2939" t="str">
            <v>lysvaltrp</v>
          </cell>
          <cell r="C2939" t="str">
            <v>Lysyl-Valyl-Tryptophan</v>
          </cell>
        </row>
        <row r="2940">
          <cell r="A2940" t="str">
            <v>metglntyr_c</v>
          </cell>
          <cell r="B2940" t="str">
            <v>metglntyr</v>
          </cell>
          <cell r="C2940" t="str">
            <v>Methionyl-Glutaminyl-Tyrosine</v>
          </cell>
        </row>
        <row r="2941">
          <cell r="A2941" t="str">
            <v>metglyarg_c</v>
          </cell>
          <cell r="B2941" t="str">
            <v>metglyarg</v>
          </cell>
          <cell r="C2941" t="str">
            <v>Methionyl-Glycyl-Arginine</v>
          </cell>
        </row>
        <row r="2942">
          <cell r="A2942" t="str">
            <v>methislys_c</v>
          </cell>
          <cell r="B2942" t="str">
            <v>methislys</v>
          </cell>
          <cell r="C2942" t="str">
            <v>Methionyl-Histidyl-Lysine</v>
          </cell>
        </row>
        <row r="2943">
          <cell r="A2943" t="str">
            <v>pheasp_c</v>
          </cell>
          <cell r="B2943" t="str">
            <v>pheasp</v>
          </cell>
          <cell r="C2943" t="str">
            <v>Phenylalanyl-Aspartate</v>
          </cell>
        </row>
        <row r="2944">
          <cell r="A2944" t="str">
            <v>pheglnphe_c</v>
          </cell>
          <cell r="B2944" t="str">
            <v>pheglnphe</v>
          </cell>
          <cell r="C2944" t="str">
            <v>Phenylalanyl-Glutaminyl-Phenylalanine</v>
          </cell>
        </row>
        <row r="2945">
          <cell r="A2945" t="str">
            <v>phepheasn_c</v>
          </cell>
          <cell r="B2945" t="str">
            <v>phepheasn</v>
          </cell>
          <cell r="C2945" t="str">
            <v>Phenylalanyl-Phenylalaninyl-Asparagine</v>
          </cell>
        </row>
        <row r="2946">
          <cell r="A2946" t="str">
            <v>phesertrp_c</v>
          </cell>
          <cell r="B2946" t="str">
            <v>phesertrp</v>
          </cell>
          <cell r="C2946" t="str">
            <v>Phenylalanyl-Seryl-Tryptophan</v>
          </cell>
        </row>
        <row r="2947">
          <cell r="A2947" t="str">
            <v>proglnpro_c</v>
          </cell>
          <cell r="B2947" t="str">
            <v>proglnpro</v>
          </cell>
          <cell r="C2947" t="str">
            <v>Prolyl-Glutaminyl-Proline</v>
          </cell>
        </row>
        <row r="2948">
          <cell r="A2948" t="str">
            <v>prohis_c</v>
          </cell>
          <cell r="B2948" t="str">
            <v>prohis</v>
          </cell>
          <cell r="C2948" t="str">
            <v>Prolyl-Histidine</v>
          </cell>
        </row>
        <row r="2949">
          <cell r="A2949" t="str">
            <v>protrplys_c</v>
          </cell>
          <cell r="B2949" t="str">
            <v>protrplys</v>
          </cell>
          <cell r="C2949" t="str">
            <v>Prolyl-Tryptophanyl-Lysine</v>
          </cell>
        </row>
        <row r="2950">
          <cell r="A2950" t="str">
            <v>protrpthr_c</v>
          </cell>
          <cell r="B2950" t="str">
            <v>protrpthr</v>
          </cell>
          <cell r="C2950" t="str">
            <v>Prolyl-Tryptophanyl-Threonine</v>
          </cell>
        </row>
        <row r="2951">
          <cell r="A2951" t="str">
            <v>provalgln_c</v>
          </cell>
          <cell r="B2951" t="str">
            <v>provalgln</v>
          </cell>
          <cell r="C2951" t="str">
            <v>Prolyl-Valyl-Glutamine</v>
          </cell>
        </row>
        <row r="2952">
          <cell r="A2952" t="str">
            <v>sercysarg_c</v>
          </cell>
          <cell r="B2952" t="str">
            <v>sercysarg</v>
          </cell>
          <cell r="C2952" t="str">
            <v>Seryl-Cysteinyl-Arginine</v>
          </cell>
        </row>
        <row r="2953">
          <cell r="A2953" t="str">
            <v>thrglnglu_c</v>
          </cell>
          <cell r="B2953" t="str">
            <v>thrglnglu</v>
          </cell>
          <cell r="C2953" t="str">
            <v>Threonyl-Glutaminyl-Glutamate</v>
          </cell>
        </row>
        <row r="2954">
          <cell r="A2954" t="str">
            <v>thrglntyr_c</v>
          </cell>
          <cell r="B2954" t="str">
            <v>thrglntyr</v>
          </cell>
          <cell r="C2954" t="str">
            <v>Threonyl-Glutaminyl-Tyrosine</v>
          </cell>
        </row>
        <row r="2955">
          <cell r="A2955" t="str">
            <v>thrhishis_c</v>
          </cell>
          <cell r="B2955" t="str">
            <v>thrhishis</v>
          </cell>
          <cell r="C2955" t="str">
            <v>Threonyl-Histidinyl-Histidine</v>
          </cell>
        </row>
        <row r="2956">
          <cell r="A2956" t="str">
            <v>trpargala_c</v>
          </cell>
          <cell r="B2956" t="str">
            <v>trpargala</v>
          </cell>
          <cell r="C2956" t="str">
            <v>Tryptophanyl-Arginyl-Alanine</v>
          </cell>
        </row>
        <row r="2957">
          <cell r="A2957" t="str">
            <v>trpaspasp_c</v>
          </cell>
          <cell r="B2957" t="str">
            <v>trpaspasp</v>
          </cell>
          <cell r="C2957" t="str">
            <v>Tryptophanyl-Aspartyl-Aspartate</v>
          </cell>
        </row>
        <row r="2958">
          <cell r="A2958" t="str">
            <v>trpglupro_c</v>
          </cell>
          <cell r="B2958" t="str">
            <v>trpglupro</v>
          </cell>
          <cell r="C2958" t="str">
            <v>Tryptophanyl-Glutamyl-Proline</v>
          </cell>
        </row>
        <row r="2959">
          <cell r="A2959" t="str">
            <v>trpglyphe_c</v>
          </cell>
          <cell r="B2959" t="str">
            <v>trpglyphe</v>
          </cell>
          <cell r="C2959" t="str">
            <v>Tryptophanyl-Glycyl-Phenylalanine</v>
          </cell>
        </row>
        <row r="2960">
          <cell r="A2960" t="str">
            <v>trpglyval_c</v>
          </cell>
          <cell r="B2960" t="str">
            <v>trpglyval</v>
          </cell>
          <cell r="C2960" t="str">
            <v>Tryptophanyl-Glycyl-Valine</v>
          </cell>
        </row>
        <row r="2961">
          <cell r="A2961" t="str">
            <v>trpiletrp_c</v>
          </cell>
          <cell r="B2961" t="str">
            <v>trpiletrp</v>
          </cell>
          <cell r="C2961" t="str">
            <v>Tryptophanyl-Isoleucyl-Tryptophan</v>
          </cell>
        </row>
        <row r="2962">
          <cell r="A2962" t="str">
            <v>trpprogly_c</v>
          </cell>
          <cell r="B2962" t="str">
            <v>trpprogly</v>
          </cell>
          <cell r="C2962" t="str">
            <v>Tryptophanyl-Prolyl-Glycine</v>
          </cell>
        </row>
        <row r="2963">
          <cell r="A2963" t="str">
            <v>trpproval_c</v>
          </cell>
          <cell r="B2963" t="str">
            <v>trpproval</v>
          </cell>
          <cell r="C2963" t="str">
            <v>Tryptophanyl-Prolyl-Valine</v>
          </cell>
        </row>
        <row r="2964">
          <cell r="A2964" t="str">
            <v>trpthrile_c</v>
          </cell>
          <cell r="B2964" t="str">
            <v>trpthrile</v>
          </cell>
          <cell r="C2964" t="str">
            <v>Tryptophanyl-Threonyl-Isoleucine</v>
          </cell>
        </row>
        <row r="2965">
          <cell r="A2965" t="str">
            <v>tyrargglu_c</v>
          </cell>
          <cell r="B2965" t="str">
            <v>tyrargglu</v>
          </cell>
          <cell r="C2965" t="str">
            <v>Tyrosyl-Arginyl-Glutamate</v>
          </cell>
        </row>
        <row r="2966">
          <cell r="A2966" t="str">
            <v>tyrglu_c</v>
          </cell>
          <cell r="B2966" t="str">
            <v>tyrglu</v>
          </cell>
          <cell r="C2966" t="str">
            <v>Tyrosyl-Glutamate</v>
          </cell>
        </row>
        <row r="2967">
          <cell r="A2967" t="str">
            <v>vallystyr_c</v>
          </cell>
          <cell r="B2967" t="str">
            <v>vallystyr</v>
          </cell>
          <cell r="C2967" t="str">
            <v>Valyl-Lysyl-Tyrosine</v>
          </cell>
        </row>
        <row r="2968">
          <cell r="A2968" t="str">
            <v>valprotrp_c</v>
          </cell>
          <cell r="B2968" t="str">
            <v>valprotrp</v>
          </cell>
          <cell r="C2968" t="str">
            <v>Valyl-Prolyl-Tryptophan</v>
          </cell>
        </row>
        <row r="2969">
          <cell r="A2969" t="str">
            <v>valtrpval_c</v>
          </cell>
          <cell r="B2969" t="str">
            <v>valtrpval</v>
          </cell>
          <cell r="C2969" t="str">
            <v>Valyl-Tryptophanyl-Valine</v>
          </cell>
        </row>
        <row r="2970">
          <cell r="A2970" t="str">
            <v>sphmyln_hs_e</v>
          </cell>
          <cell r="B2970" t="str">
            <v>sphmyln_hs</v>
          </cell>
          <cell r="C2970" t="str">
            <v>Sphingomyelin (homo sapiens)</v>
          </cell>
        </row>
        <row r="2971">
          <cell r="A2971" t="str">
            <v>gncore1_c</v>
          </cell>
          <cell r="B2971" t="str">
            <v>gncore1</v>
          </cell>
          <cell r="C2971" t="str">
            <v>GlcNAc-alpha-1,4-Core 1</v>
          </cell>
        </row>
        <row r="2972">
          <cell r="A2972" t="str">
            <v>core7_e</v>
          </cell>
          <cell r="B2972" t="str">
            <v>core7</v>
          </cell>
          <cell r="C2972" t="str">
            <v>Core7 g</v>
          </cell>
        </row>
        <row r="2973">
          <cell r="A2973" t="str">
            <v>mqn10_e</v>
          </cell>
          <cell r="B2973" t="str">
            <v>mqn10</v>
          </cell>
          <cell r="C2973" t="str">
            <v>Menaquinone-10</v>
          </cell>
        </row>
        <row r="2974">
          <cell r="A2974" t="str">
            <v>mqn11_e</v>
          </cell>
          <cell r="B2974" t="str">
            <v>mqn11</v>
          </cell>
          <cell r="C2974" t="str">
            <v>Menaquinone-11</v>
          </cell>
        </row>
        <row r="2975">
          <cell r="A2975" t="str">
            <v>sTn_antigen_e</v>
          </cell>
          <cell r="B2975" t="str">
            <v>sTn_antigen</v>
          </cell>
          <cell r="C2975" t="str">
            <v>STn antigen g</v>
          </cell>
        </row>
        <row r="2976">
          <cell r="A2976" t="str">
            <v>dxtrn_e</v>
          </cell>
          <cell r="B2976" t="str">
            <v>dxtrn</v>
          </cell>
          <cell r="C2976" t="str">
            <v>Phosphorylase-limit dextrin (glycogenin-1,6{4[1,4-Glc], 4[1,4-Glc]})</v>
          </cell>
        </row>
        <row r="2977">
          <cell r="A2977" t="str">
            <v>xol7ah3_e</v>
          </cell>
          <cell r="B2977" t="str">
            <v>xol7ah3</v>
          </cell>
          <cell r="C2977" t="str">
            <v>3alpha,7alpha,26-Trihydroxy-5beta-cholestane</v>
          </cell>
        </row>
        <row r="2978">
          <cell r="A2978" t="str">
            <v>xol7aone_e</v>
          </cell>
          <cell r="B2978" t="str">
            <v>xol7aone</v>
          </cell>
          <cell r="C2978" t="str">
            <v>7alpha-Hydroxycholest-4-en-3-one</v>
          </cell>
        </row>
        <row r="2979">
          <cell r="A2979" t="str">
            <v>xoldiolone_e</v>
          </cell>
          <cell r="B2979" t="str">
            <v>xoldiolone</v>
          </cell>
          <cell r="C2979" t="str">
            <v>7alpha,12alpha-Dihydroxycholest-4-en-3-one</v>
          </cell>
        </row>
        <row r="2980">
          <cell r="A2980" t="str">
            <v>mqn8_e</v>
          </cell>
          <cell r="B2980" t="str">
            <v>mqn8</v>
          </cell>
          <cell r="C2980" t="str">
            <v>Menaquinone 8</v>
          </cell>
        </row>
        <row r="2981">
          <cell r="A2981" t="str">
            <v>3mox4hoxm_e</v>
          </cell>
          <cell r="B2981" t="str">
            <v>3mox4hoxm</v>
          </cell>
          <cell r="C2981" t="str">
            <v>3-Methoxy-4-hydroxymandelate</v>
          </cell>
        </row>
        <row r="2982">
          <cell r="A2982" t="str">
            <v>actyr_m</v>
          </cell>
          <cell r="B2982" t="str">
            <v>actyr</v>
          </cell>
          <cell r="C2982" t="str">
            <v>N-Acetyl-Tyrosine</v>
          </cell>
        </row>
        <row r="2983">
          <cell r="A2983" t="str">
            <v>sucaceto_c</v>
          </cell>
          <cell r="B2983" t="str">
            <v>sucaceto</v>
          </cell>
          <cell r="C2983" t="str">
            <v>Succinylacetone</v>
          </cell>
        </row>
        <row r="2984">
          <cell r="A2984" t="str">
            <v>vanilpyr_c</v>
          </cell>
          <cell r="B2984" t="str">
            <v>vanilpyr</v>
          </cell>
          <cell r="C2984" t="str">
            <v>Vanilpyruvic Acid</v>
          </cell>
        </row>
        <row r="2985">
          <cell r="A2985" t="str">
            <v>CE2176_m</v>
          </cell>
          <cell r="B2985" t="str">
            <v>CE2176</v>
          </cell>
          <cell r="C2985" t="str">
            <v>3-O-methyldopa</v>
          </cell>
        </row>
        <row r="2986">
          <cell r="A2986" t="str">
            <v>nacvanala_m</v>
          </cell>
          <cell r="B2986" t="str">
            <v>nacvanala</v>
          </cell>
          <cell r="C2986" t="str">
            <v>N-Acetylvanilalanine</v>
          </cell>
        </row>
        <row r="2987">
          <cell r="A2987" t="str">
            <v>vanillac_e</v>
          </cell>
          <cell r="B2987" t="str">
            <v>vanillac</v>
          </cell>
          <cell r="C2987" t="str">
            <v>Vanil-Lactate</v>
          </cell>
        </row>
        <row r="2988">
          <cell r="A2988" t="str">
            <v>2h3mv_e</v>
          </cell>
          <cell r="B2988" t="str">
            <v>2h3mv</v>
          </cell>
          <cell r="C2988" t="str">
            <v>2-Hydroxy-3-Methyl-Valerate</v>
          </cell>
        </row>
        <row r="2989">
          <cell r="A2989" t="str">
            <v>2m3hbu_m</v>
          </cell>
          <cell r="B2989" t="str">
            <v>2m3hbu</v>
          </cell>
          <cell r="C2989" t="str">
            <v>2-Methyl-3-Hydroxy-Butyrate</v>
          </cell>
        </row>
        <row r="2990">
          <cell r="A2990" t="str">
            <v>2m3ovcoa_m</v>
          </cell>
          <cell r="B2990" t="str">
            <v>2m3ovcoa</v>
          </cell>
          <cell r="C2990" t="str">
            <v>2-Methyl-3-Oxo-Valeryl Coenzyme A</v>
          </cell>
        </row>
        <row r="2991">
          <cell r="A2991" t="str">
            <v>2m3ovac_m</v>
          </cell>
          <cell r="B2991" t="str">
            <v>2m3ovac</v>
          </cell>
          <cell r="C2991" t="str">
            <v>2-Methyl-3-Oxo-Valerate</v>
          </cell>
        </row>
        <row r="2992">
          <cell r="A2992" t="str">
            <v>2m3hvac_e</v>
          </cell>
          <cell r="B2992" t="str">
            <v>2m3hvac</v>
          </cell>
          <cell r="C2992" t="str">
            <v>2-Methyl-3-Hydroxy-Valerate</v>
          </cell>
        </row>
        <row r="2993">
          <cell r="A2993" t="str">
            <v>3h3mglt_c</v>
          </cell>
          <cell r="B2993" t="str">
            <v>3h3mglt</v>
          </cell>
          <cell r="C2993" t="str">
            <v>3-Hydroxy-3-Methyl-Glutarate</v>
          </cell>
        </row>
        <row r="2994">
          <cell r="A2994" t="str">
            <v>3mglutac_m</v>
          </cell>
          <cell r="B2994" t="str">
            <v>3mglutac</v>
          </cell>
          <cell r="C2994" t="str">
            <v>3-Methyl-Glutaconate</v>
          </cell>
        </row>
        <row r="2995">
          <cell r="A2995" t="str">
            <v>3ohglutac_m</v>
          </cell>
          <cell r="B2995" t="str">
            <v>3ohglutac</v>
          </cell>
          <cell r="C2995" t="str">
            <v>3-Hydroxy-Glutarate</v>
          </cell>
        </row>
        <row r="2996">
          <cell r="A2996" t="str">
            <v>3hivac_e</v>
          </cell>
          <cell r="B2996" t="str">
            <v>3hivac</v>
          </cell>
          <cell r="C2996" t="str">
            <v>3-Hydroxyisovaleric Acid</v>
          </cell>
        </row>
        <row r="2997">
          <cell r="A2997" t="str">
            <v>3hadpac_e</v>
          </cell>
          <cell r="B2997" t="str">
            <v>3hadpac</v>
          </cell>
          <cell r="C2997" t="str">
            <v>3-Hydroxy-Adipate</v>
          </cell>
        </row>
        <row r="2998">
          <cell r="A2998" t="str">
            <v>5ohhexa_e</v>
          </cell>
          <cell r="B2998" t="str">
            <v>5ohhexa</v>
          </cell>
          <cell r="C2998" t="str">
            <v>5-Hydroxyhexanoic Acid</v>
          </cell>
        </row>
        <row r="2999">
          <cell r="A2999" t="str">
            <v>7ohocata_e</v>
          </cell>
          <cell r="B2999" t="str">
            <v>7ohocata</v>
          </cell>
          <cell r="C2999" t="str">
            <v>7-Hydroxy-Octanoate</v>
          </cell>
        </row>
        <row r="3000">
          <cell r="A3000" t="str">
            <v>ethmalac_e</v>
          </cell>
          <cell r="B3000" t="str">
            <v>ethmalac</v>
          </cell>
          <cell r="C3000" t="str">
            <v>Ethylmalonic Acid</v>
          </cell>
        </row>
        <row r="3001">
          <cell r="A3001" t="str">
            <v>methsucc_c</v>
          </cell>
          <cell r="B3001" t="str">
            <v>methsucc</v>
          </cell>
          <cell r="C3001" t="str">
            <v>Methyl-Succinate</v>
          </cell>
        </row>
        <row r="3002">
          <cell r="A3002" t="str">
            <v>subgly_c</v>
          </cell>
          <cell r="B3002" t="str">
            <v>subgly</v>
          </cell>
          <cell r="C3002" t="str">
            <v>Suberyl-Glycine</v>
          </cell>
        </row>
        <row r="3003">
          <cell r="A3003" t="str">
            <v>4ohbut_c</v>
          </cell>
          <cell r="B3003" t="str">
            <v>4ohbut</v>
          </cell>
          <cell r="C3003" t="str">
            <v>4-Hydroxy-Butyrate</v>
          </cell>
        </row>
        <row r="3004">
          <cell r="A3004" t="str">
            <v>peste_hs_c</v>
          </cell>
          <cell r="B3004" t="str">
            <v>peste_hs</v>
          </cell>
          <cell r="C3004" t="str">
            <v>1-Stearoylglycerophosphoethanolamine</v>
          </cell>
        </row>
        <row r="3005">
          <cell r="A3005" t="str">
            <v>2hydog_e</v>
          </cell>
          <cell r="B3005" t="str">
            <v>2hydog</v>
          </cell>
          <cell r="C3005" t="str">
            <v>2-Hydroxy-Glutarate</v>
          </cell>
        </row>
        <row r="3006">
          <cell r="A3006" t="str">
            <v>hpdece_c</v>
          </cell>
          <cell r="B3006" t="str">
            <v>hpdece</v>
          </cell>
          <cell r="C3006" t="str">
            <v>Trans-Delta-2-Heptadecanoic Acid</v>
          </cell>
        </row>
        <row r="3007">
          <cell r="A3007" t="str">
            <v>eic21114tr_c</v>
          </cell>
          <cell r="B3007" t="str">
            <v>eic21114tr</v>
          </cell>
          <cell r="C3007" t="str">
            <v>Trans,Cis,Cis-2,11,14-Eicosatrienoic Acid</v>
          </cell>
        </row>
        <row r="3008">
          <cell r="A3008" t="str">
            <v>5eipenc_m</v>
          </cell>
          <cell r="B3008" t="str">
            <v>5eipenc</v>
          </cell>
          <cell r="C3008" t="str">
            <v>5,8,11,14,17-Eicosapentenoic Acid</v>
          </cell>
        </row>
        <row r="3009">
          <cell r="A3009" t="str">
            <v>andrstndn_e</v>
          </cell>
          <cell r="B3009" t="str">
            <v>andrstndn</v>
          </cell>
          <cell r="C3009" t="str">
            <v>Androst-4-ene-3,17-dione</v>
          </cell>
        </row>
        <row r="3010">
          <cell r="A3010" t="str">
            <v>andrstandn_c</v>
          </cell>
          <cell r="B3010" t="str">
            <v>andrstandn</v>
          </cell>
          <cell r="C3010" t="str">
            <v>5alpha-androstane-3,17-dione</v>
          </cell>
        </row>
        <row r="3011">
          <cell r="A3011" t="str">
            <v>C05301_e</v>
          </cell>
          <cell r="B3011" t="str">
            <v>C05301</v>
          </cell>
          <cell r="C3011" t="str">
            <v>2-Hydroxyestradiol-17beta</v>
          </cell>
        </row>
        <row r="3012">
          <cell r="A3012" t="str">
            <v>C05299_e</v>
          </cell>
          <cell r="B3012" t="str">
            <v>C05299</v>
          </cell>
          <cell r="C3012" t="str">
            <v>2-Methoxyestrone</v>
          </cell>
        </row>
        <row r="3013">
          <cell r="A3013" t="str">
            <v>11docrtstrn_e</v>
          </cell>
          <cell r="B3013" t="str">
            <v>11docrtstrn</v>
          </cell>
          <cell r="C3013" t="str">
            <v>11-Deoxycorticosterone</v>
          </cell>
        </row>
        <row r="3014">
          <cell r="A3014" t="str">
            <v>CE2211_e</v>
          </cell>
          <cell r="B3014" t="str">
            <v>CE2211</v>
          </cell>
          <cell r="C3014" t="str">
            <v>Allopregnanolone</v>
          </cell>
        </row>
        <row r="3015">
          <cell r="A3015" t="str">
            <v>C03681_e</v>
          </cell>
          <cell r="B3015" t="str">
            <v>C03681</v>
          </cell>
          <cell r="C3015" t="str">
            <v>5alpha-Pregnane-3,20-dione</v>
          </cell>
        </row>
        <row r="3016">
          <cell r="A3016" t="str">
            <v>CE4890_e</v>
          </cell>
          <cell r="B3016" t="str">
            <v>CE4890</v>
          </cell>
          <cell r="C3016" t="str">
            <v>N-methylsalsolinol</v>
          </cell>
        </row>
        <row r="3017">
          <cell r="A3017" t="str">
            <v>trypta_e</v>
          </cell>
          <cell r="B3017" t="str">
            <v>trypta</v>
          </cell>
          <cell r="C3017" t="str">
            <v>Tryptamine cytosol</v>
          </cell>
        </row>
        <row r="3018">
          <cell r="A3018" t="str">
            <v>selmeth_e</v>
          </cell>
          <cell r="B3018" t="str">
            <v>selmeth</v>
          </cell>
          <cell r="C3018" t="str">
            <v>Selenomethionine</v>
          </cell>
        </row>
        <row r="3019">
          <cell r="A3019" t="str">
            <v>CE7096_e</v>
          </cell>
          <cell r="B3019" t="str">
            <v>CE7096</v>
          </cell>
          <cell r="C3019" t="str">
            <v>5,15-DiHETE</v>
          </cell>
        </row>
        <row r="3020">
          <cell r="A3020" t="str">
            <v>CE4877_e</v>
          </cell>
          <cell r="B3020" t="str">
            <v>CE4877</v>
          </cell>
          <cell r="C3020" t="str">
            <v>15-deoxy-prostaglandin J2</v>
          </cell>
        </row>
        <row r="3021">
          <cell r="A3021" t="str">
            <v>CE1447_e</v>
          </cell>
          <cell r="B3021" t="str">
            <v>CE1447</v>
          </cell>
          <cell r="C3021" t="str">
            <v>11-dehydrothromboxane B2</v>
          </cell>
        </row>
        <row r="3022">
          <cell r="A3022" t="str">
            <v>CE1310_c</v>
          </cell>
          <cell r="B3022" t="str">
            <v>CE1310</v>
          </cell>
          <cell r="C3022" t="str">
            <v>N-acetyl-L-cysteine</v>
          </cell>
        </row>
        <row r="3023">
          <cell r="A3023" t="str">
            <v>CE7081_e</v>
          </cell>
          <cell r="B3023" t="str">
            <v>CE7081</v>
          </cell>
          <cell r="C3023" t="str">
            <v>15(R)-HEPE</v>
          </cell>
        </row>
        <row r="3024">
          <cell r="A3024" t="str">
            <v>18harachd_c</v>
          </cell>
          <cell r="B3024" t="str">
            <v>18harachd</v>
          </cell>
          <cell r="C3024" t="str">
            <v>18 hydroxy arachidonic acid</v>
          </cell>
        </row>
        <row r="3025">
          <cell r="A3025" t="str">
            <v>sql_e</v>
          </cell>
          <cell r="B3025" t="str">
            <v>sql</v>
          </cell>
          <cell r="C3025" t="str">
            <v>Squalene C30H50</v>
          </cell>
        </row>
        <row r="3026">
          <cell r="A3026" t="str">
            <v>orn__D_c</v>
          </cell>
          <cell r="B3026" t="str">
            <v>orn__D</v>
          </cell>
          <cell r="C3026" t="str">
            <v>D-Ornithine</v>
          </cell>
        </row>
        <row r="3027">
          <cell r="A3027" t="str">
            <v>CE1617_e</v>
          </cell>
          <cell r="B3027" t="str">
            <v>CE1617</v>
          </cell>
          <cell r="C3027" t="str">
            <v>9-cis-retinoate</v>
          </cell>
        </row>
        <row r="3028">
          <cell r="A3028" t="str">
            <v>HC00006_e</v>
          </cell>
          <cell r="B3028" t="str">
            <v>HC00006</v>
          </cell>
          <cell r="C3028" t="str">
            <v>ApoC1</v>
          </cell>
        </row>
        <row r="3029">
          <cell r="A3029" t="str">
            <v>myelin_hs_c</v>
          </cell>
          <cell r="B3029" t="str">
            <v>myelin_hs</v>
          </cell>
          <cell r="C3029" t="str">
            <v>Myelin Sheath</v>
          </cell>
        </row>
        <row r="3030">
          <cell r="A3030" t="str">
            <v>fna5moxam_e</v>
          </cell>
          <cell r="B3030" t="str">
            <v>fna5moxam</v>
          </cell>
          <cell r="C3030" t="str">
            <v>Formyl-N-acetyl-5-methoxykynurenamine</v>
          </cell>
        </row>
        <row r="3031">
          <cell r="A3031" t="str">
            <v>CE5643_e</v>
          </cell>
          <cell r="B3031" t="str">
            <v>CE5643</v>
          </cell>
          <cell r="C3031" t="str">
            <v>Peroxynitrite</v>
          </cell>
        </row>
        <row r="3032">
          <cell r="A3032" t="str">
            <v>C05767_e</v>
          </cell>
          <cell r="B3032" t="str">
            <v>C05767</v>
          </cell>
          <cell r="C3032" t="str">
            <v>Uroporphyrin I</v>
          </cell>
        </row>
        <row r="3033">
          <cell r="A3033" t="str">
            <v>CE0737_e</v>
          </cell>
          <cell r="B3033" t="str">
            <v>CE0737</v>
          </cell>
          <cell r="C3033" t="str">
            <v>Malonic dialdehyde</v>
          </cell>
        </row>
        <row r="3034">
          <cell r="A3034" t="str">
            <v>sphings_e</v>
          </cell>
          <cell r="B3034" t="str">
            <v>sphings</v>
          </cell>
          <cell r="C3034" t="str">
            <v>Sphingosine cytosol</v>
          </cell>
        </row>
        <row r="3035">
          <cell r="A3035" t="str">
            <v>im4ac_e</v>
          </cell>
          <cell r="B3035" t="str">
            <v>im4ac</v>
          </cell>
          <cell r="C3035" t="str">
            <v>Imidazole-4-acetate</v>
          </cell>
        </row>
        <row r="3036">
          <cell r="A3036" t="str">
            <v>coke_e</v>
          </cell>
          <cell r="B3036" t="str">
            <v>coke</v>
          </cell>
          <cell r="C3036" t="str">
            <v>Cocaine</v>
          </cell>
        </row>
        <row r="3037">
          <cell r="A3037" t="str">
            <v>dopa4glcur_c</v>
          </cell>
          <cell r="B3037" t="str">
            <v>dopa4glcur</v>
          </cell>
          <cell r="C3037" t="str">
            <v>Dopamine-4-O-Glucuronide</v>
          </cell>
        </row>
        <row r="3038">
          <cell r="A3038" t="str">
            <v>dopa4sf_e</v>
          </cell>
          <cell r="B3038" t="str">
            <v>dopa4sf</v>
          </cell>
          <cell r="C3038" t="str">
            <v>Dopamine 4-O-Sulphate</v>
          </cell>
        </row>
        <row r="3039">
          <cell r="A3039" t="str">
            <v>6hddopaqn_c</v>
          </cell>
          <cell r="B3039" t="str">
            <v>6hddopaqn</v>
          </cell>
          <cell r="C3039" t="str">
            <v>6-Hydroxydopamine-Quinone</v>
          </cell>
        </row>
        <row r="3040">
          <cell r="A3040" t="str">
            <v>CE2172_e</v>
          </cell>
          <cell r="B3040" t="str">
            <v>CE2172</v>
          </cell>
          <cell r="C3040" t="str">
            <v>6,7-dihydroxy-1,2,3,4-tetrahydroisoquinoline</v>
          </cell>
        </row>
        <row r="3041">
          <cell r="A3041" t="str">
            <v>dhcrm_hs_g</v>
          </cell>
          <cell r="B3041" t="str">
            <v>dhcrm_hs</v>
          </cell>
          <cell r="C3041" t="str">
            <v>Dihydroceramide (homo sapiens)</v>
          </cell>
        </row>
        <row r="3042">
          <cell r="A3042" t="str">
            <v>galgluside_hs_e</v>
          </cell>
          <cell r="B3042" t="str">
            <v>galgluside_hs</v>
          </cell>
          <cell r="C3042" t="str">
            <v>Galactosyl glucosyl ceramide</v>
          </cell>
        </row>
        <row r="3043">
          <cell r="A3043" t="str">
            <v>gd2_hs_l</v>
          </cell>
          <cell r="B3043" t="str">
            <v>gd2_hs</v>
          </cell>
          <cell r="C3043" t="str">
            <v>GD2 (homo sapiens)</v>
          </cell>
        </row>
        <row r="3044">
          <cell r="A3044" t="str">
            <v>gd1b_hs_l</v>
          </cell>
          <cell r="B3044" t="str">
            <v>gd1b_hs</v>
          </cell>
          <cell r="C3044" t="str">
            <v>GD1b (homo sapiens)</v>
          </cell>
        </row>
        <row r="3045">
          <cell r="A3045" t="str">
            <v>ga1_hs_e</v>
          </cell>
          <cell r="B3045" t="str">
            <v>ga1_hs</v>
          </cell>
          <cell r="C3045" t="str">
            <v>GA1 (homo sapiens)</v>
          </cell>
        </row>
        <row r="3046">
          <cell r="A3046" t="str">
            <v>thcrm_hs_l</v>
          </cell>
          <cell r="B3046" t="str">
            <v>thcrm_hs</v>
          </cell>
          <cell r="C3046" t="str">
            <v>Trihexosyl ceramide (homo sapiens)</v>
          </cell>
        </row>
        <row r="3047">
          <cell r="A3047" t="str">
            <v>gm1_hs_c</v>
          </cell>
          <cell r="B3047" t="str">
            <v>gm1_hs</v>
          </cell>
          <cell r="C3047" t="str">
            <v>Ganglioside GM1 (homo sapiens)</v>
          </cell>
        </row>
        <row r="3048">
          <cell r="A3048" t="str">
            <v>gm1b_hs_e</v>
          </cell>
          <cell r="B3048" t="str">
            <v>gm1b_hs</v>
          </cell>
          <cell r="C3048" t="str">
            <v>GM1b (homo sapiens)</v>
          </cell>
        </row>
        <row r="3049">
          <cell r="A3049" t="str">
            <v>gd1a_hs_e</v>
          </cell>
          <cell r="B3049" t="str">
            <v>gd1a_hs</v>
          </cell>
          <cell r="C3049" t="str">
            <v>GD1a (homo sapiens)</v>
          </cell>
        </row>
        <row r="3050">
          <cell r="A3050" t="str">
            <v>dag_hs_g</v>
          </cell>
          <cell r="B3050" t="str">
            <v>dag_hs</v>
          </cell>
          <cell r="C3050" t="str">
            <v>Diacylglycerol (homo sapiens)</v>
          </cell>
        </row>
        <row r="3051">
          <cell r="A3051" t="str">
            <v>phsph1p_c</v>
          </cell>
          <cell r="B3051" t="str">
            <v>phsph1p</v>
          </cell>
          <cell r="C3051" t="str">
            <v>Phytosphingosine-1-Phosphate</v>
          </cell>
        </row>
        <row r="3052">
          <cell r="A3052" t="str">
            <v>sphs1p_n</v>
          </cell>
          <cell r="B3052" t="str">
            <v>sphs1p</v>
          </cell>
          <cell r="C3052" t="str">
            <v>Sphingosine 1-phosphate</v>
          </cell>
        </row>
        <row r="3053">
          <cell r="A3053" t="str">
            <v>15HPET_x</v>
          </cell>
          <cell r="B3053" t="str">
            <v>15HPET</v>
          </cell>
          <cell r="C3053" t="str">
            <v>15-Hydroperoxyeicosatetraenoic acid</v>
          </cell>
        </row>
        <row r="3054">
          <cell r="A3054" t="str">
            <v>M01807_e</v>
          </cell>
          <cell r="B3054" t="str">
            <v>M01807</v>
          </cell>
          <cell r="C3054" t="str">
            <v>Fatty-Acid-Chylomicron-Pool</v>
          </cell>
        </row>
        <row r="3055">
          <cell r="A3055" t="str">
            <v>M00503_e</v>
          </cell>
          <cell r="B3055" t="str">
            <v>M00503</v>
          </cell>
          <cell r="C3055" t="str">
            <v>Monoacylglycerol-Chylomicron-Pool</v>
          </cell>
        </row>
        <row r="3056">
          <cell r="A3056" t="str">
            <v>M00003_e</v>
          </cell>
          <cell r="B3056" t="str">
            <v>M00003</v>
          </cell>
          <cell r="C3056" t="str">
            <v>10Z-Heptadecenoic Acid</v>
          </cell>
        </row>
        <row r="3057">
          <cell r="A3057" t="str">
            <v>M00117_e</v>
          </cell>
          <cell r="B3057" t="str">
            <v>M00117</v>
          </cell>
          <cell r="C3057" t="str">
            <v>7Z-Tetradecenoic Acid</v>
          </cell>
        </row>
        <row r="3058">
          <cell r="A3058" t="str">
            <v>M00265_e</v>
          </cell>
          <cell r="B3058" t="str">
            <v>M00265</v>
          </cell>
          <cell r="C3058" t="str">
            <v>10Z,13Z,16Z-Docosatriynoic Acid</v>
          </cell>
        </row>
        <row r="3059">
          <cell r="A3059" t="str">
            <v>M01582_e</v>
          </cell>
          <cell r="B3059" t="str">
            <v>M01582</v>
          </cell>
          <cell r="C3059" t="str">
            <v>11Z-Docosenoic Acid</v>
          </cell>
        </row>
        <row r="3060">
          <cell r="A3060" t="str">
            <v>M02053_e</v>
          </cell>
          <cell r="B3060" t="str">
            <v>M02053</v>
          </cell>
          <cell r="C3060" t="str">
            <v>Heneicosanoic Acid</v>
          </cell>
        </row>
        <row r="3061">
          <cell r="A3061" t="str">
            <v>M02745_e</v>
          </cell>
          <cell r="B3061" t="str">
            <v>M02745</v>
          </cell>
          <cell r="C3061" t="str">
            <v>5Z-Tetradecenoic Acid</v>
          </cell>
        </row>
        <row r="3062">
          <cell r="A3062" t="str">
            <v>M03153_e</v>
          </cell>
          <cell r="B3062" t="str">
            <v>M03153</v>
          </cell>
          <cell r="C3062" t="str">
            <v>17Z-Hexacosenoic Acid</v>
          </cell>
        </row>
        <row r="3063">
          <cell r="A3063" t="str">
            <v>M03134_e</v>
          </cell>
          <cell r="B3063" t="str">
            <v>M03134</v>
          </cell>
          <cell r="C3063" t="str">
            <v>Valeric Acid</v>
          </cell>
        </row>
        <row r="3064">
          <cell r="A3064" t="str">
            <v>M02694_c</v>
          </cell>
          <cell r="B3064" t="str">
            <v>M02694</v>
          </cell>
          <cell r="C3064" t="str">
            <v>Pentanoyl Coenzyme A</v>
          </cell>
        </row>
        <row r="3065">
          <cell r="A3065" t="str">
            <v>M02107_m</v>
          </cell>
          <cell r="B3065" t="str">
            <v>M02107</v>
          </cell>
          <cell r="C3065" t="str">
            <v>Heptanoyl Coenzyme A</v>
          </cell>
        </row>
        <row r="3066">
          <cell r="A3066" t="str">
            <v>M03051_c</v>
          </cell>
          <cell r="B3066" t="str">
            <v>M03051</v>
          </cell>
          <cell r="C3066" t="str">
            <v>Tridecanoic Acid</v>
          </cell>
        </row>
        <row r="3067">
          <cell r="A3067" t="str">
            <v>HC10784_c</v>
          </cell>
          <cell r="B3067" t="str">
            <v>HC10784</v>
          </cell>
          <cell r="C3067" t="str">
            <v>Cis-Myrist-7-Enoyl Coenzyme A</v>
          </cell>
        </row>
        <row r="3068">
          <cell r="A3068" t="str">
            <v>M01238_c</v>
          </cell>
          <cell r="B3068" t="str">
            <v>M01238</v>
          </cell>
          <cell r="C3068" t="str">
            <v>9Z-Heptadecenoic Acid</v>
          </cell>
        </row>
        <row r="3069">
          <cell r="A3069" t="str">
            <v>M00115_c</v>
          </cell>
          <cell r="B3069" t="str">
            <v>M00115</v>
          </cell>
          <cell r="C3069" t="str">
            <v>7Z-Octadecenoic Acid</v>
          </cell>
        </row>
        <row r="3070">
          <cell r="A3070" t="str">
            <v>M00017_c</v>
          </cell>
          <cell r="B3070" t="str">
            <v>M00017</v>
          </cell>
          <cell r="C3070" t="str">
            <v>13Z-Eicosenoic Acid</v>
          </cell>
        </row>
        <row r="3071">
          <cell r="A3071" t="str">
            <v>M01235_c</v>
          </cell>
          <cell r="B3071" t="str">
            <v>M01235</v>
          </cell>
          <cell r="C3071" t="str">
            <v>9Z-Eicosenoic Acid</v>
          </cell>
        </row>
        <row r="3072">
          <cell r="A3072" t="str">
            <v>M01207_c</v>
          </cell>
          <cell r="B3072" t="str">
            <v>M01207</v>
          </cell>
          <cell r="C3072" t="str">
            <v>8Z,11Z-Eicosadienoic Acid</v>
          </cell>
        </row>
        <row r="3073">
          <cell r="A3073" t="str">
            <v>M02112_c</v>
          </cell>
          <cell r="B3073" t="str">
            <v>M02112</v>
          </cell>
          <cell r="C3073" t="str">
            <v>17Z-Hexacosenoyl Coenzyme A</v>
          </cell>
        </row>
        <row r="3074">
          <cell r="A3074" t="str">
            <v>M00343_c</v>
          </cell>
          <cell r="B3074" t="str">
            <v>M00343</v>
          </cell>
          <cell r="C3074" t="str">
            <v>13Z,16Z,19Z-Docosatrienoyl Coenzyme A</v>
          </cell>
        </row>
        <row r="3075">
          <cell r="A3075" t="str">
            <v>HC02050_c</v>
          </cell>
          <cell r="B3075" t="str">
            <v>HC02050</v>
          </cell>
          <cell r="C3075" t="str">
            <v>Phosphatidate-Ld-Pc-Pool</v>
          </cell>
        </row>
        <row r="3076">
          <cell r="A3076" t="str">
            <v>HC02054_c</v>
          </cell>
          <cell r="B3076" t="str">
            <v>HC02054</v>
          </cell>
          <cell r="C3076" t="str">
            <v>Phosphatidate-Ld-Sm-Pool</v>
          </cell>
        </row>
        <row r="3077">
          <cell r="A3077" t="str">
            <v>HC02056_c</v>
          </cell>
          <cell r="B3077" t="str">
            <v>HC02056</v>
          </cell>
          <cell r="C3077" t="str">
            <v>1,2-Diacylglycerol-Ld-Pc-Pool</v>
          </cell>
        </row>
        <row r="3078">
          <cell r="A3078" t="str">
            <v>M02758_c</v>
          </cell>
          <cell r="B3078" t="str">
            <v>M02758</v>
          </cell>
          <cell r="C3078" t="str">
            <v>Phosphatidyl-N-Dimethylethanolamine</v>
          </cell>
        </row>
        <row r="3079">
          <cell r="A3079" t="str">
            <v>HC02076_c</v>
          </cell>
          <cell r="B3079" t="str">
            <v>HC02076</v>
          </cell>
          <cell r="C3079" t="str">
            <v>1-Acylglycerol-Ld-Sm-Pool</v>
          </cell>
        </row>
        <row r="3080">
          <cell r="A3080" t="str">
            <v>gm3_hs_c</v>
          </cell>
          <cell r="B3080" t="str">
            <v>gm3_hs</v>
          </cell>
          <cell r="C3080" t="str">
            <v>Ganglioside GM3 (homo sapiens)</v>
          </cell>
        </row>
        <row r="3081">
          <cell r="A3081" t="str">
            <v>M02013_l</v>
          </cell>
          <cell r="B3081" t="str">
            <v>M02013</v>
          </cell>
          <cell r="C3081" t="str">
            <v>Gm2A:Gm2-Ganglioside</v>
          </cell>
        </row>
        <row r="3082">
          <cell r="A3082" t="str">
            <v>galacglcgalgluside_hs_c</v>
          </cell>
          <cell r="B3082" t="str">
            <v>galacglcgalgluside_hs</v>
          </cell>
          <cell r="C3082" t="str">
            <v>Lc4Cer</v>
          </cell>
        </row>
        <row r="3083">
          <cell r="A3083" t="str">
            <v>galfucgalacglcgalgluside_hs_c</v>
          </cell>
          <cell r="B3083" t="str">
            <v>galfucgalacglcgalgluside_hs</v>
          </cell>
          <cell r="C3083" t="str">
            <v>Type IB glycolipid</v>
          </cell>
        </row>
        <row r="3084">
          <cell r="A3084" t="str">
            <v>acngal14acglcgalgluside_hs_c</v>
          </cell>
          <cell r="B3084" t="str">
            <v>acngal14acglcgalgluside_hs</v>
          </cell>
          <cell r="C3084" t="str">
            <v>Sialyl-3-paragloboside</v>
          </cell>
        </row>
        <row r="3085">
          <cell r="A3085" t="str">
            <v>acglcgalacglcgal14acglcgalgluside_hs_c</v>
          </cell>
          <cell r="B3085" t="str">
            <v>acglcgalacglcgal14acglcgalgluside_hs</v>
          </cell>
          <cell r="C3085" t="str">
            <v>(Gal)3 (Glc)1 (GlcNAc)3 (Cer)1</v>
          </cell>
        </row>
        <row r="3086">
          <cell r="A3086" t="str">
            <v>M02186_c</v>
          </cell>
          <cell r="B3086" t="str">
            <v>M02186</v>
          </cell>
          <cell r="C3086" t="str">
            <v>Lactoisooctaosylceramide ((Gal)4 (Glc)1 (GlcNAc)3 (Cer)1)</v>
          </cell>
        </row>
        <row r="3087">
          <cell r="A3087" t="str">
            <v>M02490_c</v>
          </cell>
          <cell r="B3087" t="str">
            <v>M02490</v>
          </cell>
          <cell r="C3087" t="str">
            <v>Monofucosyllactoisooctaosylceramide</v>
          </cell>
        </row>
        <row r="3088">
          <cell r="A3088" t="str">
            <v>5HPET_m</v>
          </cell>
          <cell r="B3088" t="str">
            <v>5HPET</v>
          </cell>
          <cell r="C3088" t="str">
            <v>5-Hydroperoxy-6-trans-8,11,14-cis-eicosatetraenoate</v>
          </cell>
        </row>
        <row r="3089">
          <cell r="A3089" t="str">
            <v>arachd_n</v>
          </cell>
          <cell r="B3089" t="str">
            <v>arachd</v>
          </cell>
          <cell r="C3089" t="str">
            <v>Arachidonic acid</v>
          </cell>
        </row>
        <row r="3090">
          <cell r="A3090" t="str">
            <v>M00955_c</v>
          </cell>
          <cell r="B3090" t="str">
            <v>M00955</v>
          </cell>
          <cell r="C3090" t="str">
            <v>4'-Carboxy-5'-Cholesta-8,24-Dien-3'-Ol</v>
          </cell>
        </row>
        <row r="3091">
          <cell r="A3091" t="str">
            <v>M01067_c</v>
          </cell>
          <cell r="B3091" t="str">
            <v>M01067</v>
          </cell>
          <cell r="C3091" t="str">
            <v>5Alpha-Cholesta-8,24-Dien-3-One</v>
          </cell>
        </row>
        <row r="3092">
          <cell r="A3092" t="str">
            <v>M00960_c</v>
          </cell>
          <cell r="B3092" t="str">
            <v>M00960</v>
          </cell>
          <cell r="C3092" t="str">
            <v>4Alpha-Formyl-5Alpha-Cholesta-8-En-3Beta-Ol</v>
          </cell>
        </row>
        <row r="3093">
          <cell r="A3093" t="str">
            <v>HC01459_m</v>
          </cell>
          <cell r="B3093" t="str">
            <v>HC01459</v>
          </cell>
          <cell r="C3093" t="str">
            <v>3alpha,7alpha,12alpha,24-Tetrahydroxy-5beta-cholestanoyl-CoA</v>
          </cell>
        </row>
        <row r="3094">
          <cell r="A3094" t="str">
            <v>M00978_c</v>
          </cell>
          <cell r="B3094" t="str">
            <v>M00978</v>
          </cell>
          <cell r="C3094" t="str">
            <v>7Alpha,24-Dihydroxycholest-4-En-3-One</v>
          </cell>
        </row>
        <row r="3095">
          <cell r="A3095" t="str">
            <v>M01077_m</v>
          </cell>
          <cell r="B3095" t="str">
            <v>M01077</v>
          </cell>
          <cell r="C3095" t="str">
            <v>5Beta-Cholestan-3Alpha,7Alpha,12Alpha,24(S)-Tetrol</v>
          </cell>
        </row>
        <row r="3096">
          <cell r="A3096" t="str">
            <v>M01080_m</v>
          </cell>
          <cell r="B3096" t="str">
            <v>M01080</v>
          </cell>
          <cell r="C3096" t="str">
            <v>5Beta-Cholestane-3Alpha,7Alpha,24-Triol</v>
          </cell>
        </row>
        <row r="3097">
          <cell r="A3097" t="str">
            <v>M02977_c</v>
          </cell>
          <cell r="B3097" t="str">
            <v>M02977</v>
          </cell>
          <cell r="C3097" t="str">
            <v>TetraHCA</v>
          </cell>
        </row>
        <row r="3098">
          <cell r="A3098" t="str">
            <v>M00625_m</v>
          </cell>
          <cell r="B3098" t="str">
            <v>M00625</v>
          </cell>
          <cell r="C3098" t="str">
            <v>27-Hydroxycholesterol</v>
          </cell>
        </row>
        <row r="3099">
          <cell r="A3099" t="str">
            <v>M00979_c</v>
          </cell>
          <cell r="B3099" t="str">
            <v>M00979</v>
          </cell>
          <cell r="C3099" t="str">
            <v>7Alpha,26-Dihydroxycholest-4-En-3-One</v>
          </cell>
        </row>
        <row r="3100">
          <cell r="A3100" t="str">
            <v>M02761_c</v>
          </cell>
          <cell r="B3100" t="str">
            <v>M02761</v>
          </cell>
          <cell r="C3100" t="str">
            <v>Pregn-5-Ene-3,20-Dione-17-Ol</v>
          </cell>
        </row>
        <row r="3101">
          <cell r="A3101" t="str">
            <v>M00429_m</v>
          </cell>
          <cell r="B3101" t="str">
            <v>M00429</v>
          </cell>
          <cell r="C3101" t="str">
            <v>18-Hydroxycorticosterone</v>
          </cell>
        </row>
        <row r="3102">
          <cell r="A3102" t="str">
            <v>M00778_c</v>
          </cell>
          <cell r="B3102" t="str">
            <v>M00778</v>
          </cell>
          <cell r="C3102" t="str">
            <v>3-Hydroxyheneicosanoyl Coenzyme A</v>
          </cell>
        </row>
        <row r="3103">
          <cell r="A3103" t="str">
            <v>M00907_c</v>
          </cell>
          <cell r="B3103" t="str">
            <v>M00907</v>
          </cell>
          <cell r="C3103" t="str">
            <v>3-Oxotricosanoyl Coenzyme A</v>
          </cell>
        </row>
        <row r="3104">
          <cell r="A3104" t="str">
            <v>M00802_c</v>
          </cell>
          <cell r="B3104" t="str">
            <v>M00802</v>
          </cell>
          <cell r="C3104" t="str">
            <v>3-Hydroxytricosanoyl Coenzyme A</v>
          </cell>
        </row>
        <row r="3105">
          <cell r="A3105" t="str">
            <v>M00067_c</v>
          </cell>
          <cell r="B3105" t="str">
            <v>M00067</v>
          </cell>
          <cell r="C3105" t="str">
            <v>(2E)-Tricosenoyl Coenzyme A</v>
          </cell>
        </row>
        <row r="3106">
          <cell r="A3106" t="str">
            <v>M00715_c</v>
          </cell>
          <cell r="B3106" t="str">
            <v>M00715</v>
          </cell>
          <cell r="C3106" t="str">
            <v>3(S)-Hydroxy-Hexacosenoyl Coenzyme A</v>
          </cell>
        </row>
        <row r="3107">
          <cell r="A3107" t="str">
            <v>M03016_c</v>
          </cell>
          <cell r="B3107" t="str">
            <v>M03016</v>
          </cell>
          <cell r="C3107" t="str">
            <v>Trans,Cis-2,17-Hexacosadienoyl Coenzyme A</v>
          </cell>
        </row>
        <row r="3108">
          <cell r="A3108" t="str">
            <v>M00707_c</v>
          </cell>
          <cell r="B3108" t="str">
            <v>M00707</v>
          </cell>
          <cell r="C3108" t="str">
            <v>3(S)-Hydroxy-9-Cis-Eicosenoyl Coenzyme A</v>
          </cell>
        </row>
        <row r="3109">
          <cell r="A3109" t="str">
            <v>M03018_c</v>
          </cell>
          <cell r="B3109" t="str">
            <v>M03018</v>
          </cell>
          <cell r="C3109" t="str">
            <v>Trans,Cis-2,9-Eicosadienoyl Coenzyme A</v>
          </cell>
        </row>
        <row r="3110">
          <cell r="A3110" t="str">
            <v>M00704_c</v>
          </cell>
          <cell r="B3110" t="str">
            <v>M00704</v>
          </cell>
          <cell r="C3110" t="str">
            <v>3(S)-Hydroxy-3-Oxo-Eicosadienoyl Coenzyme A</v>
          </cell>
        </row>
        <row r="3111">
          <cell r="A3111" t="str">
            <v>M02976_m</v>
          </cell>
          <cell r="B3111" t="str">
            <v>M02976</v>
          </cell>
          <cell r="C3111" t="str">
            <v>Tetradecenoylcarnitine(9)</v>
          </cell>
        </row>
        <row r="3112">
          <cell r="A3112" t="str">
            <v>M01141_m</v>
          </cell>
          <cell r="B3112" t="str">
            <v>M01141</v>
          </cell>
          <cell r="C3112" t="str">
            <v>5Z-Tetradecenoyl Coenzyme A</v>
          </cell>
        </row>
        <row r="3113">
          <cell r="A3113" t="str">
            <v>M02103_c</v>
          </cell>
          <cell r="B3113" t="str">
            <v>M02103</v>
          </cell>
          <cell r="C3113" t="str">
            <v>Heptadecenoylcarnitine(8)</v>
          </cell>
        </row>
        <row r="3114">
          <cell r="A3114" t="str">
            <v>M00127_m</v>
          </cell>
          <cell r="B3114" t="str">
            <v>M00127</v>
          </cell>
          <cell r="C3114" t="str">
            <v>9E-Octadecenoic Acid</v>
          </cell>
        </row>
        <row r="3115">
          <cell r="A3115" t="str">
            <v>M00116_m</v>
          </cell>
          <cell r="B3115" t="str">
            <v>M00116</v>
          </cell>
          <cell r="C3115" t="str">
            <v>7Z-Octadecenoyl Coenzyme A</v>
          </cell>
        </row>
        <row r="3116">
          <cell r="A3116" t="str">
            <v>M02612_m</v>
          </cell>
          <cell r="B3116" t="str">
            <v>M02612</v>
          </cell>
          <cell r="C3116" t="str">
            <v>Nonadecanoyl Coenzyme A</v>
          </cell>
        </row>
        <row r="3117">
          <cell r="A3117" t="str">
            <v>M01776_m</v>
          </cell>
          <cell r="B3117" t="str">
            <v>M01776</v>
          </cell>
          <cell r="C3117" t="str">
            <v>Eicosenoylcarnitine(7)</v>
          </cell>
        </row>
        <row r="3118">
          <cell r="A3118" t="str">
            <v>M01777_m</v>
          </cell>
          <cell r="B3118" t="str">
            <v>M01777</v>
          </cell>
          <cell r="C3118" t="str">
            <v>Eicosenoylcarnitine(9)</v>
          </cell>
        </row>
        <row r="3119">
          <cell r="A3119" t="str">
            <v>M01775_m</v>
          </cell>
          <cell r="B3119" t="str">
            <v>M01775</v>
          </cell>
          <cell r="C3119" t="str">
            <v>Eicosenoylcarnitine(11)</v>
          </cell>
        </row>
        <row r="3120">
          <cell r="A3120" t="str">
            <v>M00122_c</v>
          </cell>
          <cell r="B3120" t="str">
            <v>M00122</v>
          </cell>
          <cell r="C3120" t="str">
            <v>8Z,11Z-Eicosadienoylcarnitine</v>
          </cell>
        </row>
        <row r="3121">
          <cell r="A3121" t="str">
            <v>M00123_m</v>
          </cell>
          <cell r="B3121" t="str">
            <v>M00123</v>
          </cell>
          <cell r="C3121" t="str">
            <v>8Z,11Z-Eicosadienoyl Coenzyme A</v>
          </cell>
        </row>
        <row r="3122">
          <cell r="A3122" t="str">
            <v>M02052_m</v>
          </cell>
          <cell r="B3122" t="str">
            <v>M02052</v>
          </cell>
          <cell r="C3122" t="str">
            <v>Heneicosanoyl Coenzyme A</v>
          </cell>
        </row>
        <row r="3123">
          <cell r="A3123" t="str">
            <v>M01724_m</v>
          </cell>
          <cell r="B3123" t="str">
            <v>M01724</v>
          </cell>
          <cell r="C3123" t="str">
            <v>Docosanoylcarnitine</v>
          </cell>
        </row>
        <row r="3124">
          <cell r="A3124" t="str">
            <v>M01727_m</v>
          </cell>
          <cell r="B3124" t="str">
            <v>M01727</v>
          </cell>
          <cell r="C3124" t="str">
            <v>Docosenoylcarnitine</v>
          </cell>
        </row>
        <row r="3125">
          <cell r="A3125" t="str">
            <v>M02637_m</v>
          </cell>
          <cell r="B3125" t="str">
            <v>M02637</v>
          </cell>
          <cell r="C3125" t="str">
            <v>Octadecatrienoylcarnitine</v>
          </cell>
        </row>
        <row r="3126">
          <cell r="A3126" t="str">
            <v>M00011_m</v>
          </cell>
          <cell r="B3126" t="str">
            <v>M00011</v>
          </cell>
          <cell r="C3126" t="str">
            <v>11Z,14Z,17Z-Eicosatrienoylcarnitine</v>
          </cell>
        </row>
        <row r="3127">
          <cell r="A3127" t="str">
            <v>M00261_c</v>
          </cell>
          <cell r="B3127" t="str">
            <v>M00261</v>
          </cell>
          <cell r="C3127" t="str">
            <v>10Z,13Z,16Z,19Z-Docosatetraenoylcarnitine</v>
          </cell>
        </row>
        <row r="3128">
          <cell r="A3128" t="str">
            <v>M01770_m</v>
          </cell>
          <cell r="B3128" t="str">
            <v>M01770</v>
          </cell>
          <cell r="C3128" t="str">
            <v>11Z,14Z-Eicosadienoylcarnitine</v>
          </cell>
        </row>
        <row r="3129">
          <cell r="A3129" t="str">
            <v>M00022_c</v>
          </cell>
          <cell r="B3129" t="str">
            <v>M00022</v>
          </cell>
          <cell r="C3129" t="str">
            <v>13Z,16Z-Docosadienoylcarnitine</v>
          </cell>
        </row>
        <row r="3130">
          <cell r="A3130" t="str">
            <v>HC10784_r</v>
          </cell>
          <cell r="B3130" t="str">
            <v>HC10784</v>
          </cell>
          <cell r="C3130" t="str">
            <v>Cis-Myrist-7-Enoyl Coenzyme A</v>
          </cell>
        </row>
        <row r="3131">
          <cell r="A3131" t="str">
            <v>hpdcacoa_r</v>
          </cell>
          <cell r="B3131" t="str">
            <v>hpdcacoa</v>
          </cell>
          <cell r="C3131" t="str">
            <v>Heptadecanoyl coa</v>
          </cell>
        </row>
        <row r="3132">
          <cell r="A3132" t="str">
            <v>odecrn_r</v>
          </cell>
          <cell r="B3132" t="str">
            <v>odecrn</v>
          </cell>
          <cell r="C3132" t="str">
            <v>Octadecenoyl carnitine</v>
          </cell>
        </row>
        <row r="3133">
          <cell r="A3133" t="str">
            <v>lneldccoa_r</v>
          </cell>
          <cell r="B3133" t="str">
            <v>lneldccoa</v>
          </cell>
          <cell r="C3133" t="str">
            <v>Linoelaidyl coenzyme A</v>
          </cell>
        </row>
        <row r="3134">
          <cell r="A3134" t="str">
            <v>M00343_r</v>
          </cell>
          <cell r="B3134" t="str">
            <v>M00343</v>
          </cell>
          <cell r="C3134" t="str">
            <v>13Z,16Z,19Z-Docosatrienoyl Coenzyme A</v>
          </cell>
        </row>
        <row r="3135">
          <cell r="A3135" t="str">
            <v>M02112_r</v>
          </cell>
          <cell r="B3135" t="str">
            <v>M02112</v>
          </cell>
          <cell r="C3135" t="str">
            <v>17Z-Hexacosenoyl Coenzyme A</v>
          </cell>
        </row>
        <row r="3136">
          <cell r="A3136" t="str">
            <v>ddca_r</v>
          </cell>
          <cell r="B3136" t="str">
            <v>ddca</v>
          </cell>
          <cell r="C3136" t="str">
            <v>Dodecanoate (n-C12:0)</v>
          </cell>
        </row>
        <row r="3137">
          <cell r="A3137" t="str">
            <v>M03051_r</v>
          </cell>
          <cell r="B3137" t="str">
            <v>M03051</v>
          </cell>
          <cell r="C3137" t="str">
            <v>Tridecanoic Acid</v>
          </cell>
        </row>
        <row r="3138">
          <cell r="A3138" t="str">
            <v>ttdcea_r</v>
          </cell>
          <cell r="B3138" t="str">
            <v>ttdcea</v>
          </cell>
          <cell r="C3138" t="str">
            <v>Tetradecenoate (n-C14:1)</v>
          </cell>
        </row>
        <row r="3139">
          <cell r="A3139" t="str">
            <v>M01238_r</v>
          </cell>
          <cell r="B3139" t="str">
            <v>M01238</v>
          </cell>
          <cell r="C3139" t="str">
            <v>9Z-Heptadecenoic Acid</v>
          </cell>
        </row>
        <row r="3140">
          <cell r="A3140" t="str">
            <v>M00017_r</v>
          </cell>
          <cell r="B3140" t="str">
            <v>M00017</v>
          </cell>
          <cell r="C3140" t="str">
            <v>13Z-Eicosenoic Acid</v>
          </cell>
        </row>
        <row r="3141">
          <cell r="A3141" t="str">
            <v>M01235_r</v>
          </cell>
          <cell r="B3141" t="str">
            <v>M01235</v>
          </cell>
          <cell r="C3141" t="str">
            <v>9Z-Eicosenoic Acid</v>
          </cell>
        </row>
        <row r="3142">
          <cell r="A3142" t="str">
            <v>M01207_r</v>
          </cell>
          <cell r="B3142" t="str">
            <v>M01207</v>
          </cell>
          <cell r="C3142" t="str">
            <v>8Z,11Z-Eicosadienoic Acid</v>
          </cell>
        </row>
        <row r="3143">
          <cell r="A3143" t="str">
            <v>doco13ac_r</v>
          </cell>
          <cell r="B3143" t="str">
            <v>doco13ac</v>
          </cell>
          <cell r="C3143" t="str">
            <v>13Z)-13-docosenoic acid</v>
          </cell>
        </row>
        <row r="3144">
          <cell r="A3144" t="str">
            <v>lgnc_r</v>
          </cell>
          <cell r="B3144" t="str">
            <v>lgnc</v>
          </cell>
          <cell r="C3144" t="str">
            <v>Lignoceric acid</v>
          </cell>
        </row>
        <row r="3145">
          <cell r="A3145" t="str">
            <v>hexc_r</v>
          </cell>
          <cell r="B3145" t="str">
            <v>hexc</v>
          </cell>
          <cell r="C3145" t="str">
            <v>Hexacosanoate  n C260  C26H51O2</v>
          </cell>
        </row>
        <row r="3146">
          <cell r="A3146" t="str">
            <v>tetpent3_r</v>
          </cell>
          <cell r="B3146" t="str">
            <v>tetpent3</v>
          </cell>
          <cell r="C3146" t="str">
            <v>Tetracosapentaenoic acid, n-3</v>
          </cell>
        </row>
        <row r="3147">
          <cell r="A3147" t="str">
            <v>crvnc_r</v>
          </cell>
          <cell r="B3147" t="str">
            <v>crvnc</v>
          </cell>
          <cell r="C3147" t="str">
            <v>Cervonic acid, C22:6 n-3</v>
          </cell>
        </row>
        <row r="3148">
          <cell r="A3148" t="str">
            <v>adrn_r</v>
          </cell>
          <cell r="B3148" t="str">
            <v>adrn</v>
          </cell>
          <cell r="C3148" t="str">
            <v>Adrenic acid</v>
          </cell>
        </row>
        <row r="3149">
          <cell r="A3149" t="str">
            <v>M02112_x</v>
          </cell>
          <cell r="B3149" t="str">
            <v>M02112</v>
          </cell>
          <cell r="C3149" t="str">
            <v>17Z-Hexacosenoyl Coenzyme A</v>
          </cell>
        </row>
        <row r="3150">
          <cell r="A3150" t="str">
            <v>CE2249_x</v>
          </cell>
          <cell r="B3150" t="str">
            <v>CE2249</v>
          </cell>
          <cell r="C3150" t="str">
            <v>3-hydroxytetracosanoyl-CoA(4-)</v>
          </cell>
        </row>
        <row r="3151">
          <cell r="A3151" t="str">
            <v>CE2243_x</v>
          </cell>
          <cell r="B3151" t="str">
            <v>CE2243</v>
          </cell>
          <cell r="C3151" t="str">
            <v>Trans-eicos-2-enoyl-CoA</v>
          </cell>
        </row>
        <row r="3152">
          <cell r="A3152" t="str">
            <v>CE2251_x</v>
          </cell>
          <cell r="B3152" t="str">
            <v>CE2251</v>
          </cell>
          <cell r="C3152" t="str">
            <v>3-oxoicosanoyl-CoA(4-)</v>
          </cell>
        </row>
        <row r="3153">
          <cell r="A3153" t="str">
            <v>HC01415_x</v>
          </cell>
          <cell r="B3153" t="str">
            <v>HC01415</v>
          </cell>
          <cell r="C3153" t="str">
            <v>(2E)-Octenoyl Coenzyme A</v>
          </cell>
        </row>
        <row r="3154">
          <cell r="A3154" t="str">
            <v>CE2250_m</v>
          </cell>
          <cell r="B3154" t="str">
            <v>CE2250</v>
          </cell>
          <cell r="C3154" t="str">
            <v>3-oxodocosanoyl-CoA(4-)</v>
          </cell>
        </row>
        <row r="3155">
          <cell r="A3155" t="str">
            <v>CE2247_m</v>
          </cell>
          <cell r="B3155" t="str">
            <v>CE2247</v>
          </cell>
          <cell r="C3155" t="str">
            <v>3-hydroxyeicosanoyl-CoA (4-)</v>
          </cell>
        </row>
        <row r="3156">
          <cell r="A3156" t="str">
            <v>M00873_m</v>
          </cell>
          <cell r="B3156" t="str">
            <v>M00873</v>
          </cell>
          <cell r="C3156" t="str">
            <v>3-Oxoheneicosanoyl Coenzyme A</v>
          </cell>
        </row>
        <row r="3157">
          <cell r="A3157" t="str">
            <v>M00887_m</v>
          </cell>
          <cell r="B3157" t="str">
            <v>M00887</v>
          </cell>
          <cell r="C3157" t="str">
            <v>3-Oxononadecanoyl Coenzyme A</v>
          </cell>
        </row>
        <row r="3158">
          <cell r="A3158" t="str">
            <v>M00046_m</v>
          </cell>
          <cell r="B3158" t="str">
            <v>M00046</v>
          </cell>
          <cell r="C3158" t="str">
            <v>(2E)-Heptadecenoyl Coenzyme A</v>
          </cell>
        </row>
        <row r="3159">
          <cell r="A3159" t="str">
            <v>M00897_m</v>
          </cell>
          <cell r="B3159" t="str">
            <v>M00897</v>
          </cell>
          <cell r="C3159" t="str">
            <v>3-Oxopentadecanoyl Coenzyme A</v>
          </cell>
        </row>
        <row r="3160">
          <cell r="A3160" t="str">
            <v>M00804_m</v>
          </cell>
          <cell r="B3160" t="str">
            <v>M00804</v>
          </cell>
          <cell r="C3160" t="str">
            <v>3-Hydroxytridecanoyl Coenzyme A</v>
          </cell>
        </row>
        <row r="3161">
          <cell r="A3161" t="str">
            <v>M00056_m</v>
          </cell>
          <cell r="B3161" t="str">
            <v>M00056</v>
          </cell>
          <cell r="C3161" t="str">
            <v>(2E)-Nonenoyl Coenzyme A</v>
          </cell>
        </row>
        <row r="3162">
          <cell r="A3162" t="str">
            <v>M00877_m</v>
          </cell>
          <cell r="B3162" t="str">
            <v>M00877</v>
          </cell>
          <cell r="C3162" t="str">
            <v>3-Oxoheptanoyl Coenzyme A</v>
          </cell>
        </row>
        <row r="3163">
          <cell r="A3163" t="str">
            <v>CE5144_m</v>
          </cell>
          <cell r="B3163" t="str">
            <v>CE5144</v>
          </cell>
          <cell r="C3163" t="str">
            <v>3-oxo-11-cis-eicosenoyl-CoA</v>
          </cell>
        </row>
        <row r="3164">
          <cell r="A3164" t="str">
            <v>M01573_m</v>
          </cell>
          <cell r="B3164" t="str">
            <v>M01573</v>
          </cell>
          <cell r="C3164" t="str">
            <v>Cis-(3S)-Hydroxytetradec-5-Enoyl Coenzyme A</v>
          </cell>
        </row>
        <row r="3165">
          <cell r="A3165" t="str">
            <v>M03014_m</v>
          </cell>
          <cell r="B3165" t="str">
            <v>M03014</v>
          </cell>
          <cell r="C3165" t="str">
            <v>Trans,Cis-2,13-Eicosadienoyl Coenzyme A</v>
          </cell>
        </row>
        <row r="3166">
          <cell r="A3166" t="str">
            <v>M00843_m</v>
          </cell>
          <cell r="B3166" t="str">
            <v>M00843</v>
          </cell>
          <cell r="C3166" t="str">
            <v>3-Oxo-13-Cis-Eicosenoyl Coenzyme A</v>
          </cell>
        </row>
        <row r="3167">
          <cell r="A3167" t="str">
            <v>M03016_x</v>
          </cell>
          <cell r="B3167" t="str">
            <v>M03016</v>
          </cell>
          <cell r="C3167" t="str">
            <v>Trans,Cis-2,17-Hexacosadienoyl Coenzyme A</v>
          </cell>
        </row>
        <row r="3168">
          <cell r="A3168" t="str">
            <v>M00715_x</v>
          </cell>
          <cell r="B3168" t="str">
            <v>M00715</v>
          </cell>
          <cell r="C3168" t="str">
            <v>3(S)-Hydroxy-Hexacosenoyl Coenzyme A</v>
          </cell>
        </row>
        <row r="3169">
          <cell r="A3169" t="str">
            <v>CE5157_x</v>
          </cell>
          <cell r="B3169" t="str">
            <v>CE5157</v>
          </cell>
          <cell r="C3169" t="str">
            <v>3(S)-hydroxy-cis-15-tetracosaenoyl-CoA</v>
          </cell>
        </row>
        <row r="3170">
          <cell r="A3170" t="str">
            <v>CE5156_x</v>
          </cell>
          <cell r="B3170" t="str">
            <v>CE5156</v>
          </cell>
          <cell r="C3170" t="str">
            <v>3-oxo-cis-15-tetracosaenoyl-CoA</v>
          </cell>
        </row>
        <row r="3171">
          <cell r="A3171" t="str">
            <v>CE5155_x</v>
          </cell>
          <cell r="B3171" t="str">
            <v>CE5155</v>
          </cell>
          <cell r="C3171" t="str">
            <v>Cis-13-docosenoyl-CoA</v>
          </cell>
        </row>
        <row r="3172">
          <cell r="A3172" t="str">
            <v>CE5153_x</v>
          </cell>
          <cell r="B3172" t="str">
            <v>CE5153</v>
          </cell>
          <cell r="C3172" t="str">
            <v>3(S)-hydroxy-13cis-docosenoyl-CoA</v>
          </cell>
        </row>
        <row r="3173">
          <cell r="A3173" t="str">
            <v>CE5150_x</v>
          </cell>
          <cell r="B3173" t="str">
            <v>CE5150</v>
          </cell>
          <cell r="C3173" t="str">
            <v>Trans,cis-2,11-eicosadienoyl-CoA</v>
          </cell>
        </row>
        <row r="3174">
          <cell r="A3174" t="str">
            <v>CE5148_x</v>
          </cell>
          <cell r="B3174" t="str">
            <v>CE5148</v>
          </cell>
          <cell r="C3174" t="str">
            <v>3(S)-hydroxy-11-cis-eicosenoyl-CoA</v>
          </cell>
        </row>
        <row r="3175">
          <cell r="A3175" t="str">
            <v>M00885_x</v>
          </cell>
          <cell r="B3175" t="str">
            <v>M00885</v>
          </cell>
          <cell r="C3175" t="str">
            <v>3-Oxomyrist-5-Enoyl Coenzyme A</v>
          </cell>
        </row>
        <row r="3176">
          <cell r="A3176" t="str">
            <v>CE4791_m</v>
          </cell>
          <cell r="B3176" t="str">
            <v>CE4791</v>
          </cell>
          <cell r="C3176" t="str">
            <v>3(S)-Hydroxy-Dihomo-Gama-Linolenoyl Coenzyme A</v>
          </cell>
        </row>
        <row r="3177">
          <cell r="A3177" t="str">
            <v>CE2441_m</v>
          </cell>
          <cell r="B3177" t="str">
            <v>CE2441</v>
          </cell>
          <cell r="C3177" t="str">
            <v>2E,4Z,7Z,10Z-Hexadecatetraenoyl Coenzyme A</v>
          </cell>
        </row>
        <row r="3178">
          <cell r="A3178" t="str">
            <v>M01454_r</v>
          </cell>
          <cell r="B3178" t="str">
            <v>M01454</v>
          </cell>
          <cell r="C3178" t="str">
            <v>Cholest-5-En-3B-Yl (9Z-Heptadecenoate)</v>
          </cell>
        </row>
        <row r="3179">
          <cell r="A3179" t="str">
            <v>M01464_r</v>
          </cell>
          <cell r="B3179" t="str">
            <v>M01464</v>
          </cell>
          <cell r="C3179" t="str">
            <v>Cholesterol-Ester-13-Octade</v>
          </cell>
        </row>
        <row r="3180">
          <cell r="A3180" t="str">
            <v>M01472_r</v>
          </cell>
          <cell r="B3180" t="str">
            <v>M01472</v>
          </cell>
          <cell r="C3180" t="str">
            <v>Cholesterol-Ester-6,9,12,15,18-Tetraco</v>
          </cell>
        </row>
        <row r="3181">
          <cell r="A3181" t="str">
            <v>M01475_r</v>
          </cell>
          <cell r="B3181" t="str">
            <v>M01475</v>
          </cell>
          <cell r="C3181" t="str">
            <v>Cholest-5-En-3Beta-Yl (7Z,10Z,13Z,16Z,19Z-Docosapentaenoate)</v>
          </cell>
        </row>
        <row r="3182">
          <cell r="A3182" t="str">
            <v>M01483_r</v>
          </cell>
          <cell r="B3182" t="str">
            <v>M01483</v>
          </cell>
          <cell r="C3182" t="str">
            <v>Cholesterol-Ester-9,12,15,18-Tetraco</v>
          </cell>
        </row>
        <row r="3183">
          <cell r="A3183" t="str">
            <v>M01485_r</v>
          </cell>
          <cell r="B3183" t="str">
            <v>M01485</v>
          </cell>
          <cell r="C3183" t="str">
            <v>Cholesterol-Ester-9-Heptade</v>
          </cell>
        </row>
        <row r="3184">
          <cell r="A3184" t="str">
            <v>M01486_r</v>
          </cell>
          <cell r="B3184" t="str">
            <v>M01486</v>
          </cell>
          <cell r="C3184" t="str">
            <v>Cholesterol-Ester-9-Octa</v>
          </cell>
        </row>
        <row r="3185">
          <cell r="A3185" t="str">
            <v>M01497_r</v>
          </cell>
          <cell r="B3185" t="str">
            <v>M01497</v>
          </cell>
          <cell r="C3185" t="str">
            <v>Cholesterol-Ester-Hexecose</v>
          </cell>
        </row>
        <row r="3186">
          <cell r="A3186" t="str">
            <v>nadh_e</v>
          </cell>
          <cell r="B3186" t="str">
            <v>nadh</v>
          </cell>
          <cell r="C3186" t="str">
            <v>Nicotinamide adenine dinucleotide - reduced</v>
          </cell>
        </row>
        <row r="3187">
          <cell r="A3187" t="str">
            <v>M00245_c</v>
          </cell>
          <cell r="B3187" t="str">
            <v>M00245</v>
          </cell>
          <cell r="C3187" t="str">
            <v>1,2-Dihydroxy-5-(Methylthio)Pent-1-En-3-One</v>
          </cell>
        </row>
        <row r="3188">
          <cell r="A3188" t="str">
            <v>M00770_m</v>
          </cell>
          <cell r="B3188" t="str">
            <v>M00770</v>
          </cell>
          <cell r="C3188" t="str">
            <v>3-Demethylubiquinol-10</v>
          </cell>
        </row>
        <row r="3189">
          <cell r="A3189" t="str">
            <v>M01872_g</v>
          </cell>
          <cell r="B3189" t="str">
            <v>M01872</v>
          </cell>
          <cell r="C3189" t="str">
            <v>(Gal)1 (GalNAc)1 (GlcNAc)1 (Ser/Thr)1</v>
          </cell>
        </row>
        <row r="3190">
          <cell r="A3190" t="str">
            <v>Ser_Gly_Ala_X_Gly_c</v>
          </cell>
          <cell r="B3190" t="str">
            <v>Ser_Gly_Ala_X_Gly</v>
          </cell>
          <cell r="C3190" t="str">
            <v>Protein-linked serine residue (glycosaminoglycan attachment site)</v>
          </cell>
        </row>
        <row r="3191">
          <cell r="A3191" t="str">
            <v>M01870_g</v>
          </cell>
          <cell r="B3191" t="str">
            <v>M01870</v>
          </cell>
          <cell r="C3191" t="str">
            <v xml:space="preserve"> </v>
          </cell>
        </row>
        <row r="3192">
          <cell r="A3192" t="str">
            <v>(GlcNAc)7 (Man)3 (Asn)1</v>
          </cell>
          <cell r="B3192" t="str">
            <v>Recon3D</v>
          </cell>
          <cell r="C3192" t="str">
            <v/>
          </cell>
        </row>
        <row r="3193">
          <cell r="A3193" t="str">
            <v>M00673_c</v>
          </cell>
          <cell r="B3193" t="str">
            <v>M00673</v>
          </cell>
          <cell r="C3193" t="str">
            <v>2-Phenylacetamide</v>
          </cell>
        </row>
        <row r="3194">
          <cell r="A3194" t="str">
            <v>ditp_e</v>
          </cell>
          <cell r="B3194" t="str">
            <v>ditp</v>
          </cell>
          <cell r="C3194" t="str">
            <v>DITP(4-)</v>
          </cell>
        </row>
        <row r="3195">
          <cell r="A3195" t="str">
            <v>hnifedipine_e</v>
          </cell>
          <cell r="B3195" t="str">
            <v>hnifedipine</v>
          </cell>
          <cell r="C3195" t="str">
            <v>Hnifedipine c</v>
          </cell>
        </row>
        <row r="3196">
          <cell r="A3196" t="str">
            <v>M02449_e</v>
          </cell>
          <cell r="B3196" t="str">
            <v>M02449</v>
          </cell>
          <cell r="C3196" t="str">
            <v>Maltopentaose</v>
          </cell>
        </row>
        <row r="3197">
          <cell r="A3197" t="str">
            <v>M02451_e</v>
          </cell>
          <cell r="B3197" t="str">
            <v>M02451</v>
          </cell>
          <cell r="C3197" t="str">
            <v>Maltotetraose</v>
          </cell>
        </row>
        <row r="3198">
          <cell r="A3198" t="str">
            <v>M01966_e</v>
          </cell>
          <cell r="B3198" t="str">
            <v>M01966</v>
          </cell>
          <cell r="C3198" t="str">
            <v>D-Glucose 1,6-Bisphosphate</v>
          </cell>
        </row>
        <row r="3199">
          <cell r="A3199" t="str">
            <v>M02837_e</v>
          </cell>
          <cell r="B3199" t="str">
            <v>M02837</v>
          </cell>
          <cell r="C3199" t="str">
            <v>Retinyl Palmitate</v>
          </cell>
        </row>
        <row r="3200">
          <cell r="A3200" t="str">
            <v>M02035_e</v>
          </cell>
          <cell r="B3200" t="str">
            <v>M02035</v>
          </cell>
          <cell r="C3200" t="str">
            <v>Guanidine</v>
          </cell>
        </row>
        <row r="3201">
          <cell r="A3201" t="str">
            <v>M01881_e</v>
          </cell>
          <cell r="B3201" t="str">
            <v>M01881</v>
          </cell>
          <cell r="C3201" t="str">
            <v>(Gal)4 (Glc)1 (GlcNAc)3 (LFuc)2 (Cer)1</v>
          </cell>
        </row>
        <row r="3202">
          <cell r="A3202" t="str">
            <v>M03131_e</v>
          </cell>
          <cell r="B3202" t="str">
            <v>M03131</v>
          </cell>
          <cell r="C3202" t="str">
            <v>V3(Neuac)2-Gb5Cer ((Gal)3 (GalNAc)1 (Glc)1 (Neu5Ac)2 (Cer)1)</v>
          </cell>
        </row>
        <row r="3203">
          <cell r="A3203" t="str">
            <v>kdn_e</v>
          </cell>
          <cell r="B3203" t="str">
            <v>kdn</v>
          </cell>
          <cell r="C3203" t="str">
            <v>2-keto-3-deoxy-D-glycero-D-galactononic acid</v>
          </cell>
        </row>
        <row r="3204">
          <cell r="A3204" t="str">
            <v>mem2emgacpail_prot_hs_e</v>
          </cell>
          <cell r="B3204" t="str">
            <v>mem2emgacpail_prot_hs</v>
          </cell>
          <cell r="C3204" t="str">
            <v>({[(mannosyl),(phosphoethanolaminyl)]-dimannosyl},{phosphoethanolaminyl})-mannosyl-glucosaminyl-acylphosphatidylinositol-Protein (M4B)</v>
          </cell>
        </row>
        <row r="3205">
          <cell r="A3205" t="str">
            <v>12dhchol_e</v>
          </cell>
          <cell r="B3205" t="str">
            <v>12dhchol</v>
          </cell>
          <cell r="C3205" t="str">
            <v>12-Dehydrocholic acid; 12-Oxodeoxycholic acid; 12oxo-3alpha,7alpha-Dihydroxy-5beta-cholan-24-oic acid</v>
          </cell>
        </row>
        <row r="3206">
          <cell r="A3206" t="str">
            <v>3dhcdchol_e</v>
          </cell>
          <cell r="B3206" t="str">
            <v>3dhcdchol</v>
          </cell>
          <cell r="C3206" t="str">
            <v>3-Dehydrochenodeoxychollyc acid; 7oxo-3alpha-hydroxy-5beta-cholan-24-oic acid</v>
          </cell>
        </row>
        <row r="3207">
          <cell r="A3207" t="str">
            <v>3dhlchol_c</v>
          </cell>
          <cell r="B3207" t="str">
            <v>3dhlchol</v>
          </cell>
          <cell r="C3207" t="str">
            <v>3-dehydro-Lithocholate</v>
          </cell>
        </row>
        <row r="3208">
          <cell r="A3208" t="str">
            <v>ca24g_c</v>
          </cell>
          <cell r="B3208" t="str">
            <v>ca24g</v>
          </cell>
          <cell r="C3208" t="str">
            <v>Cholic acid-24glucuronide, CA-24G</v>
          </cell>
        </row>
        <row r="3209">
          <cell r="A3209" t="str">
            <v>ca24g_r</v>
          </cell>
          <cell r="B3209" t="str">
            <v>ca24g</v>
          </cell>
          <cell r="C3209" t="str">
            <v>Cholic acid-24glucuronide, CA-24G</v>
          </cell>
        </row>
        <row r="3210">
          <cell r="A3210" t="str">
            <v>cdca24g_e</v>
          </cell>
          <cell r="B3210" t="str">
            <v>cdca24g</v>
          </cell>
          <cell r="C3210" t="str">
            <v>Chenodeoxycholic acid-24glucuronide, CDCA-24G</v>
          </cell>
        </row>
        <row r="3211">
          <cell r="A3211" t="str">
            <v>dca3s_e</v>
          </cell>
          <cell r="B3211" t="str">
            <v>dca3s</v>
          </cell>
          <cell r="C3211" t="str">
            <v>Deoxycholic acid 3-sulfate</v>
          </cell>
        </row>
        <row r="3212">
          <cell r="A3212" t="str">
            <v>gca3s_c</v>
          </cell>
          <cell r="B3212" t="str">
            <v>gca3s</v>
          </cell>
          <cell r="C3212" t="str">
            <v>Glycocholic acid 3-sulfate</v>
          </cell>
        </row>
        <row r="3213">
          <cell r="A3213" t="str">
            <v>gcdca3s_c</v>
          </cell>
          <cell r="B3213" t="str">
            <v>gcdca3s</v>
          </cell>
          <cell r="C3213" t="str">
            <v>Glycochenodeoxycholic acid 3-sulfate</v>
          </cell>
        </row>
        <row r="3214">
          <cell r="A3214" t="str">
            <v>gdca3s_c</v>
          </cell>
          <cell r="B3214" t="str">
            <v>gdca3s</v>
          </cell>
          <cell r="C3214" t="str">
            <v>Glycodeoxycholic acid 3-sulfate</v>
          </cell>
        </row>
        <row r="3215">
          <cell r="A3215" t="str">
            <v>hca6g_c</v>
          </cell>
          <cell r="B3215" t="str">
            <v>hca6g</v>
          </cell>
          <cell r="C3215" t="str">
            <v>Hyocholic acid-6glucuronide, HCA-6G</v>
          </cell>
        </row>
        <row r="3216">
          <cell r="A3216" t="str">
            <v>hdca6g_c</v>
          </cell>
          <cell r="B3216" t="str">
            <v>hdca6g</v>
          </cell>
          <cell r="C3216" t="str">
            <v>Hyodeoxycholic acid-6glucuronide, HDCA-6G</v>
          </cell>
        </row>
        <row r="3217">
          <cell r="A3217" t="str">
            <v>icdchol_c</v>
          </cell>
          <cell r="B3217" t="str">
            <v>icdchol</v>
          </cell>
          <cell r="C3217" t="str">
            <v>Isochenodeoxycholic acid; 3beta,7alpha-Dihydroxy-5beta-cholanic acid</v>
          </cell>
        </row>
        <row r="3218">
          <cell r="A3218" t="str">
            <v>tdca3s_c</v>
          </cell>
          <cell r="B3218" t="str">
            <v>tdca3s</v>
          </cell>
          <cell r="C3218" t="str">
            <v>Taurodeoxycholic acid 3-sulfate</v>
          </cell>
        </row>
        <row r="3219">
          <cell r="A3219" t="str">
            <v>hca24g_e</v>
          </cell>
          <cell r="B3219" t="str">
            <v>hca24g</v>
          </cell>
          <cell r="C3219" t="str">
            <v>Hyocholic acid-24glucuronide, HCA-24G</v>
          </cell>
        </row>
        <row r="3220">
          <cell r="A3220" t="str">
            <v>hdca24g_e</v>
          </cell>
          <cell r="B3220" t="str">
            <v>hdca24g</v>
          </cell>
          <cell r="C3220" t="str">
            <v>Hyodeoxycholic acid-24glucuronide, HDCA-24G</v>
          </cell>
        </row>
        <row r="3221">
          <cell r="A3221" t="str">
            <v>hyochol_e</v>
          </cell>
          <cell r="B3221" t="str">
            <v>hyochol</v>
          </cell>
          <cell r="C3221" t="str">
            <v>Hyocholic acid; gamma-Muricholate</v>
          </cell>
        </row>
        <row r="3222">
          <cell r="A3222" t="str">
            <v>lca3g_e</v>
          </cell>
          <cell r="B3222" t="str">
            <v>lca3g</v>
          </cell>
          <cell r="C3222" t="str">
            <v>Lithocholic acid-3glucuronide, CDCA-3G</v>
          </cell>
        </row>
        <row r="3223">
          <cell r="A3223" t="str">
            <v>thyochol_e</v>
          </cell>
          <cell r="B3223" t="str">
            <v>thyochol</v>
          </cell>
          <cell r="C3223" t="str">
            <v>Taurohyocholic acid; N-(3alpha,6alpha,7alpha-Trihydroxy-5beta-cholan-24-oyl)taurine</v>
          </cell>
        </row>
        <row r="3224">
          <cell r="A3224" t="str">
            <v>tudca3s_e</v>
          </cell>
          <cell r="B3224" t="str">
            <v>tudca3s</v>
          </cell>
          <cell r="C3224" t="str">
            <v>Tauroursodeoxycholic acid 3-sulfate</v>
          </cell>
        </row>
        <row r="3225">
          <cell r="A3225" t="str">
            <v>hca6g_r</v>
          </cell>
          <cell r="B3225" t="str">
            <v>hca6g</v>
          </cell>
          <cell r="C3225" t="str">
            <v>Hyocholic acid-6glucuronide, HCA-6G</v>
          </cell>
        </row>
        <row r="3226">
          <cell r="A3226" t="str">
            <v>hdca6g_r</v>
          </cell>
          <cell r="B3226" t="str">
            <v>hdca6g</v>
          </cell>
          <cell r="C3226" t="str">
            <v>Hyodeoxycholic acid-6glucuronide, HDCA-6G</v>
          </cell>
        </row>
        <row r="3227">
          <cell r="A3227" t="str">
            <v>12htacr_e</v>
          </cell>
          <cell r="B3227" t="str">
            <v>12htacr</v>
          </cell>
          <cell r="C3227" t="str">
            <v>12-HT or M-VI, 12-hydroxy tacrolimus</v>
          </cell>
        </row>
        <row r="3228">
          <cell r="A3228" t="str">
            <v>13dmt_r</v>
          </cell>
          <cell r="B3228" t="str">
            <v>13dmt</v>
          </cell>
          <cell r="C3228" t="str">
            <v>13-O-desmethyl tacrolimus, 13-DMT or M-I</v>
          </cell>
        </row>
        <row r="3229">
          <cell r="A3229" t="str">
            <v>1331tacr_r</v>
          </cell>
          <cell r="B3229" t="str">
            <v>1331tacr</v>
          </cell>
          <cell r="C3229" t="str">
            <v>13,31-O-Didesmethyl-tacrolimus</v>
          </cell>
        </row>
        <row r="3230">
          <cell r="A3230" t="str">
            <v>1331tacr_c</v>
          </cell>
          <cell r="B3230" t="str">
            <v>1331tacr</v>
          </cell>
          <cell r="C3230" t="str">
            <v>13,31-O-Didesmethyl-tacrolimus</v>
          </cell>
        </row>
        <row r="3231">
          <cell r="A3231" t="str">
            <v>13dmt_c</v>
          </cell>
          <cell r="B3231" t="str">
            <v>13dmt</v>
          </cell>
          <cell r="C3231" t="str">
            <v>13-O-desmethyl tacrolimus, 13-DMT or M-I</v>
          </cell>
        </row>
        <row r="3232">
          <cell r="A3232" t="str">
            <v>4ohmdz_r</v>
          </cell>
          <cell r="B3232" t="str">
            <v>4ohmdz</v>
          </cell>
          <cell r="C3232" t="str">
            <v>4-OH-midazolam</v>
          </cell>
        </row>
        <row r="3233">
          <cell r="A3233" t="str">
            <v>14hmdz_r</v>
          </cell>
          <cell r="B3233" t="str">
            <v>14hmdz</v>
          </cell>
          <cell r="C3233" t="str">
            <v>1,4-Dihydroxy-midazolam</v>
          </cell>
        </row>
        <row r="3234">
          <cell r="A3234" t="str">
            <v>14hmdz_c</v>
          </cell>
          <cell r="B3234" t="str">
            <v>14hmdz</v>
          </cell>
          <cell r="C3234" t="str">
            <v>1,4-Dihydroxy-midazolam</v>
          </cell>
        </row>
        <row r="3235">
          <cell r="A3235" t="str">
            <v>1hmdgluc_r</v>
          </cell>
          <cell r="B3235" t="str">
            <v>1hmdgluc</v>
          </cell>
          <cell r="C3235" t="str">
            <v>1'-OH-midazolam-glucuronide</v>
          </cell>
        </row>
        <row r="3236">
          <cell r="A3236" t="str">
            <v>1hmdgluc_c</v>
          </cell>
          <cell r="B3236" t="str">
            <v>1hmdgluc</v>
          </cell>
          <cell r="C3236" t="str">
            <v>1'-OH-midazolam-glucuronide</v>
          </cell>
        </row>
        <row r="3237">
          <cell r="A3237" t="str">
            <v>mdz_r</v>
          </cell>
          <cell r="B3237" t="str">
            <v>mdz</v>
          </cell>
          <cell r="C3237" t="str">
            <v>Midazolam</v>
          </cell>
        </row>
        <row r="3238">
          <cell r="A3238" t="str">
            <v>2hatvacid_c</v>
          </cell>
          <cell r="B3238" t="str">
            <v>2hatvacid</v>
          </cell>
          <cell r="C3238" t="str">
            <v>2-hydroxy-atorvastatin-acid / ortho-hydroxy-atorvastatin acid</v>
          </cell>
        </row>
        <row r="3239">
          <cell r="A3239" t="str">
            <v>2hatvacid_r</v>
          </cell>
          <cell r="B3239" t="str">
            <v>2hatvacid</v>
          </cell>
          <cell r="C3239" t="str">
            <v>2-hydroxy-atorvastatin-acid / ortho-hydroxy-atorvastatin acid</v>
          </cell>
        </row>
        <row r="3240">
          <cell r="A3240" t="str">
            <v>2hatvlacgluc_r</v>
          </cell>
          <cell r="B3240" t="str">
            <v>2hatvlacgluc</v>
          </cell>
          <cell r="C3240" t="str">
            <v>2-hydroxy-atorvastatin-lactone-glucuronide</v>
          </cell>
        </row>
        <row r="3241">
          <cell r="A3241" t="str">
            <v>2hatvlacgluc_c</v>
          </cell>
          <cell r="B3241" t="str">
            <v>2hatvlacgluc</v>
          </cell>
          <cell r="C3241" t="str">
            <v>2-hydroxy-atorvastatin-lactone-glucuronide</v>
          </cell>
        </row>
        <row r="3242">
          <cell r="A3242" t="str">
            <v>2hatvlac_e</v>
          </cell>
          <cell r="B3242" t="str">
            <v>2hatvlac</v>
          </cell>
          <cell r="C3242" t="str">
            <v>2-hydroxy-atorvastatin-lactone / ortho-hydroxy-atorvastatin lactone</v>
          </cell>
        </row>
        <row r="3243">
          <cell r="A3243" t="str">
            <v>2hibup__R_c</v>
          </cell>
          <cell r="B3243" t="str">
            <v>2hibup__R</v>
          </cell>
          <cell r="C3243" t="str">
            <v>2-hydroxy-R-ibuprofen</v>
          </cell>
        </row>
        <row r="3244">
          <cell r="A3244" t="str">
            <v>2hibup__S_r</v>
          </cell>
          <cell r="B3244" t="str">
            <v>2hibup__S</v>
          </cell>
          <cell r="C3244" t="str">
            <v>2-hydroxy-S-ibuprofen</v>
          </cell>
        </row>
        <row r="3245">
          <cell r="A3245" t="str">
            <v>2hibup__S_c</v>
          </cell>
          <cell r="B3245" t="str">
            <v>2hibup__S</v>
          </cell>
          <cell r="C3245" t="str">
            <v>2-hydroxy-S-ibuprofen</v>
          </cell>
        </row>
        <row r="3246">
          <cell r="A3246" t="str">
            <v>35dhpvs_e</v>
          </cell>
          <cell r="B3246" t="str">
            <v>35dhpvs</v>
          </cell>
          <cell r="C3246" t="str">
            <v>3'-alpha,5'beta-dihydroxy-pravastatin / 3'-alpha5'beta6'beta-trihydroxy pravastatin</v>
          </cell>
        </row>
        <row r="3247">
          <cell r="A3247" t="str">
            <v>3hibupglu__S_e</v>
          </cell>
          <cell r="B3247" t="str">
            <v>3hibupglu__S</v>
          </cell>
          <cell r="C3247" t="str">
            <v>3-hydroxy S-ibuprofen-glucuronide</v>
          </cell>
        </row>
        <row r="3248">
          <cell r="A3248" t="str">
            <v>3hibup__S_e</v>
          </cell>
          <cell r="B3248" t="str">
            <v>3hibup__S</v>
          </cell>
          <cell r="C3248" t="str">
            <v>3-hydroxy S-ibuprofen</v>
          </cell>
        </row>
        <row r="3249">
          <cell r="A3249" t="str">
            <v>3hlvst_c</v>
          </cell>
          <cell r="B3249" t="str">
            <v>3hlvst</v>
          </cell>
          <cell r="C3249" t="str">
            <v>3''-hydroxy-lovastatin lactone form</v>
          </cell>
        </row>
        <row r="3250">
          <cell r="A3250" t="str">
            <v>3hlvstacid_e</v>
          </cell>
          <cell r="B3250" t="str">
            <v>3hlvstacid</v>
          </cell>
          <cell r="C3250" t="str">
            <v>3''-hydroxy-lovastatin acid form</v>
          </cell>
        </row>
        <row r="3251">
          <cell r="A3251" t="str">
            <v>3hpvscoa_x</v>
          </cell>
          <cell r="B3251" t="str">
            <v>3hpvscoa</v>
          </cell>
          <cell r="C3251" t="str">
            <v>3'-S-hydroxy-pravastatin-CoA</v>
          </cell>
        </row>
        <row r="3252">
          <cell r="A3252" t="str">
            <v>6hsmv_r</v>
          </cell>
          <cell r="B3252" t="str">
            <v>6hsmv</v>
          </cell>
          <cell r="C3252" t="str">
            <v>6'-beta-hydroxy simvastatin lactone</v>
          </cell>
        </row>
        <row r="3253">
          <cell r="A3253" t="str">
            <v>acmp_r</v>
          </cell>
          <cell r="B3253" t="str">
            <v>acmp</v>
          </cell>
          <cell r="C3253" t="str">
            <v>Acetaminophen/paracetamol</v>
          </cell>
        </row>
        <row r="3254">
          <cell r="A3254" t="str">
            <v>3ohacmp_e</v>
          </cell>
          <cell r="B3254" t="str">
            <v>3ohacmp</v>
          </cell>
          <cell r="C3254" t="str">
            <v>3-hydroxy-acetaminophen</v>
          </cell>
        </row>
        <row r="3255">
          <cell r="A3255" t="str">
            <v>4bhglz_e</v>
          </cell>
          <cell r="B3255" t="str">
            <v>4bhglz</v>
          </cell>
          <cell r="C3255" t="str">
            <v>4-beta-OH-gliclazide</v>
          </cell>
        </row>
        <row r="3256">
          <cell r="A3256" t="str">
            <v>4hatvacid_r</v>
          </cell>
          <cell r="B3256" t="str">
            <v>4hatvacid</v>
          </cell>
          <cell r="C3256" t="str">
            <v>4-hydroxy-atorvastatin-acid / para-hydroxy-atorvastatin acid</v>
          </cell>
        </row>
        <row r="3257">
          <cell r="A3257" t="str">
            <v>4hatvacid_c</v>
          </cell>
          <cell r="B3257" t="str">
            <v>4hatvacid</v>
          </cell>
          <cell r="C3257" t="str">
            <v>4-hydroxy-atorvastatin-acid / para-hydroxy-atorvastatin acid</v>
          </cell>
        </row>
        <row r="3258">
          <cell r="A3258" t="str">
            <v>4hmdgluc_e</v>
          </cell>
          <cell r="B3258" t="str">
            <v>4hmdgluc</v>
          </cell>
          <cell r="C3258" t="str">
            <v>4-OH-midazolam-glucuronide</v>
          </cell>
        </row>
        <row r="3259">
          <cell r="A3259" t="str">
            <v>4ohmdz_c</v>
          </cell>
          <cell r="B3259" t="str">
            <v>4ohmdz</v>
          </cell>
          <cell r="C3259" t="str">
            <v>4-OH-midazolam</v>
          </cell>
        </row>
        <row r="3260">
          <cell r="A3260" t="str">
            <v>56eppvs_e</v>
          </cell>
          <cell r="B3260" t="str">
            <v>56eppvs</v>
          </cell>
          <cell r="C3260" t="str">
            <v>5,6-epoxy-3-alpha-iso-pravastatin</v>
          </cell>
        </row>
        <row r="3261">
          <cell r="A3261" t="str">
            <v>fvs_r</v>
          </cell>
          <cell r="B3261" t="str">
            <v>fvs</v>
          </cell>
          <cell r="C3261" t="str">
            <v>Fluvastatin</v>
          </cell>
        </row>
        <row r="3262">
          <cell r="A3262" t="str">
            <v>6ahglz_c</v>
          </cell>
          <cell r="B3262" t="str">
            <v>6ahglz</v>
          </cell>
          <cell r="C3262" t="str">
            <v>6-alpha-OH-gliclazide</v>
          </cell>
        </row>
        <row r="3263">
          <cell r="A3263" t="str">
            <v>6ahglz_r</v>
          </cell>
          <cell r="B3263" t="str">
            <v>6ahglz</v>
          </cell>
          <cell r="C3263" t="str">
            <v>6-alpha-OH-gliclazide</v>
          </cell>
        </row>
        <row r="3264">
          <cell r="A3264" t="str">
            <v>6bhglzglc_c</v>
          </cell>
          <cell r="B3264" t="str">
            <v>6bhglzglc</v>
          </cell>
          <cell r="C3264" t="str">
            <v>6-beta-OH-gliclazide-glucuronide</v>
          </cell>
        </row>
        <row r="3265">
          <cell r="A3265" t="str">
            <v>6bhglzglc_r</v>
          </cell>
          <cell r="B3265" t="str">
            <v>6bhglzglc</v>
          </cell>
          <cell r="C3265" t="str">
            <v>6-beta-OH-gliclazide-glucuronide</v>
          </cell>
        </row>
        <row r="3266">
          <cell r="A3266" t="str">
            <v>6csmvacid_e</v>
          </cell>
          <cell r="B3266" t="str">
            <v>6csmvacid</v>
          </cell>
          <cell r="C3266" t="str">
            <v>6'-beta-carboxy-simvastatin-acid form</v>
          </cell>
        </row>
        <row r="3267">
          <cell r="A3267" t="str">
            <v>6hlvst_c</v>
          </cell>
          <cell r="B3267" t="str">
            <v>6hlvst</v>
          </cell>
          <cell r="C3267" t="str">
            <v>6'-beta-hydroxy-lovastatin lactone form</v>
          </cell>
        </row>
        <row r="3268">
          <cell r="A3268" t="str">
            <v>6hmsmvacid_e</v>
          </cell>
          <cell r="B3268" t="str">
            <v>6hmsmvacid</v>
          </cell>
          <cell r="C3268" t="str">
            <v>6'-beta-hydroxy-methyl-simvastatin-acid form</v>
          </cell>
        </row>
        <row r="3269">
          <cell r="A3269" t="str">
            <v>6hsmv_c</v>
          </cell>
          <cell r="B3269" t="str">
            <v>6hsmv</v>
          </cell>
          <cell r="C3269" t="str">
            <v>6'-beta-hydroxy simvastatin lactone</v>
          </cell>
        </row>
        <row r="3270">
          <cell r="A3270" t="str">
            <v>6ohfvs_r</v>
          </cell>
          <cell r="B3270" t="str">
            <v>6ohfvs</v>
          </cell>
          <cell r="C3270" t="str">
            <v>6-hydroxy-fluvastatin</v>
          </cell>
        </row>
        <row r="3271">
          <cell r="A3271" t="str">
            <v>6ohfvs_c</v>
          </cell>
          <cell r="B3271" t="str">
            <v>6ohfvs</v>
          </cell>
          <cell r="C3271" t="str">
            <v>6-hydroxy-fluvastatin</v>
          </cell>
        </row>
        <row r="3272">
          <cell r="A3272" t="str">
            <v>7ahglz_c</v>
          </cell>
          <cell r="B3272" t="str">
            <v>7ahglz</v>
          </cell>
          <cell r="C3272" t="str">
            <v>7-alpha-OH-gliclazide</v>
          </cell>
        </row>
        <row r="3273">
          <cell r="A3273" t="str">
            <v>7ahglz_r</v>
          </cell>
          <cell r="B3273" t="str">
            <v>7ahglz</v>
          </cell>
          <cell r="C3273" t="str">
            <v>7-alpha-OH-gliclazide</v>
          </cell>
        </row>
        <row r="3274">
          <cell r="A3274" t="str">
            <v>7hpvs_e</v>
          </cell>
          <cell r="B3274" t="str">
            <v>7hpvs</v>
          </cell>
          <cell r="C3274" t="str">
            <v>7-hydroxy-3-alpha-iso-pravastatin</v>
          </cell>
        </row>
        <row r="3275">
          <cell r="A3275" t="str">
            <v>acmp_c</v>
          </cell>
          <cell r="B3275" t="str">
            <v>acmp</v>
          </cell>
          <cell r="C3275" t="str">
            <v>Acetaminophen/paracetamol</v>
          </cell>
        </row>
        <row r="3276">
          <cell r="A3276" t="str">
            <v>acmpglu_r</v>
          </cell>
          <cell r="B3276" t="str">
            <v>acmpglu</v>
          </cell>
          <cell r="C3276" t="str">
            <v>Acetaminophen glucuronide</v>
          </cell>
        </row>
        <row r="3277">
          <cell r="A3277" t="str">
            <v>acmpglu_c</v>
          </cell>
          <cell r="B3277" t="str">
            <v>acmpglu</v>
          </cell>
          <cell r="C3277" t="str">
            <v>Acetaminophen glucuronide</v>
          </cell>
        </row>
        <row r="3278">
          <cell r="A3278" t="str">
            <v>sulpacmp_c</v>
          </cell>
          <cell r="B3278" t="str">
            <v>sulpacmp</v>
          </cell>
          <cell r="C3278" t="str">
            <v>Sulphate-conjugate-acetaminophen</v>
          </cell>
        </row>
        <row r="3279">
          <cell r="A3279" t="str">
            <v>am1a4ncs_c</v>
          </cell>
          <cell r="B3279" t="str">
            <v>am1a4ncs</v>
          </cell>
          <cell r="C3279" t="str">
            <v>AM1A4N (cyclosporine)</v>
          </cell>
        </row>
        <row r="3280">
          <cell r="A3280" t="str">
            <v>am1accs_r</v>
          </cell>
          <cell r="B3280" t="str">
            <v>am1accs</v>
          </cell>
          <cell r="C3280" t="str">
            <v>AM1Ac (cyclosporine)</v>
          </cell>
        </row>
        <row r="3281">
          <cell r="A3281" t="str">
            <v>am1accs_c</v>
          </cell>
          <cell r="B3281" t="str">
            <v>am1accs</v>
          </cell>
          <cell r="C3281" t="str">
            <v>AM1Ac (cyclosporine)</v>
          </cell>
        </row>
        <row r="3282">
          <cell r="A3282" t="str">
            <v>am1alcs_e</v>
          </cell>
          <cell r="B3282" t="str">
            <v>am1alcs</v>
          </cell>
          <cell r="C3282" t="str">
            <v>AM1AL (cyclosporine)</v>
          </cell>
        </row>
        <row r="3283">
          <cell r="A3283" t="str">
            <v>am1c4n9cs_c</v>
          </cell>
          <cell r="B3283" t="str">
            <v>am1c4n9cs</v>
          </cell>
          <cell r="C3283" t="str">
            <v>AM1c4N9 (cyclosporine)</v>
          </cell>
        </row>
        <row r="3284">
          <cell r="A3284" t="str">
            <v>am1c9cs_e</v>
          </cell>
          <cell r="B3284" t="str">
            <v>am1c9cs</v>
          </cell>
          <cell r="C3284" t="str">
            <v>AM1c9 (cyclosporine)</v>
          </cell>
        </row>
        <row r="3285">
          <cell r="A3285" t="str">
            <v>am1ccs_e</v>
          </cell>
          <cell r="B3285" t="str">
            <v>am1ccs</v>
          </cell>
          <cell r="C3285" t="str">
            <v>AM1c (cyclosporine)</v>
          </cell>
        </row>
        <row r="3286">
          <cell r="A3286" t="str">
            <v>am1cglc_e</v>
          </cell>
          <cell r="B3286" t="str">
            <v>am1cglc</v>
          </cell>
          <cell r="C3286" t="str">
            <v>AM1c-glucuronide (cyclosporine)</v>
          </cell>
        </row>
        <row r="3287">
          <cell r="A3287" t="str">
            <v>am1csa_e</v>
          </cell>
          <cell r="B3287" t="str">
            <v>am1csa</v>
          </cell>
          <cell r="C3287" t="str">
            <v>AM1 (cyclosporine)</v>
          </cell>
        </row>
        <row r="3288">
          <cell r="A3288" t="str">
            <v>am4ncs_e</v>
          </cell>
          <cell r="B3288" t="str">
            <v>am4ncs</v>
          </cell>
          <cell r="C3288" t="str">
            <v>AM4N (cyclosporine)</v>
          </cell>
        </row>
        <row r="3289">
          <cell r="A3289" t="str">
            <v>caribupglu__S_e</v>
          </cell>
          <cell r="B3289" t="str">
            <v>caribupglu__S</v>
          </cell>
          <cell r="C3289" t="str">
            <v>S-carboxy ibuprofen glucuronide</v>
          </cell>
        </row>
        <row r="3290">
          <cell r="A3290" t="str">
            <v>caribup__R_c</v>
          </cell>
          <cell r="B3290" t="str">
            <v>caribup__R</v>
          </cell>
          <cell r="C3290" t="str">
            <v>R-carboxy ibuprofen</v>
          </cell>
        </row>
        <row r="3291">
          <cell r="A3291" t="str">
            <v>crglz_e</v>
          </cell>
          <cell r="B3291" t="str">
            <v>crglz</v>
          </cell>
          <cell r="C3291" t="str">
            <v>Carboxy-gliclazide</v>
          </cell>
        </row>
        <row r="3292">
          <cell r="A3292" t="str">
            <v>crvsm1_r</v>
          </cell>
          <cell r="B3292" t="str">
            <v>crvsm1</v>
          </cell>
          <cell r="C3292" t="str">
            <v>Cerivastatin-M1</v>
          </cell>
        </row>
        <row r="3293">
          <cell r="A3293" t="str">
            <v>crvsm1_c</v>
          </cell>
          <cell r="B3293" t="str">
            <v>crvsm1</v>
          </cell>
          <cell r="C3293" t="str">
            <v>Cerivastatin-M1</v>
          </cell>
        </row>
        <row r="3294">
          <cell r="A3294" t="str">
            <v>crvs_e</v>
          </cell>
          <cell r="B3294" t="str">
            <v>crvs</v>
          </cell>
          <cell r="C3294" t="str">
            <v>Cerivastatin</v>
          </cell>
        </row>
        <row r="3295">
          <cell r="A3295" t="str">
            <v>csasulp_c</v>
          </cell>
          <cell r="B3295" t="str">
            <v>csasulp</v>
          </cell>
          <cell r="C3295" t="str">
            <v>Cyclosporine-sulphate</v>
          </cell>
        </row>
        <row r="3296">
          <cell r="A3296" t="str">
            <v>cysacmp_e</v>
          </cell>
          <cell r="B3296" t="str">
            <v>cysacmp</v>
          </cell>
          <cell r="C3296" t="str">
            <v>Cysteine-conjugate-acetaminophen</v>
          </cell>
        </row>
        <row r="3297">
          <cell r="A3297" t="str">
            <v>fvs_x</v>
          </cell>
          <cell r="B3297" t="str">
            <v>fvs</v>
          </cell>
          <cell r="C3297" t="str">
            <v>Fluvastatin</v>
          </cell>
        </row>
        <row r="3298">
          <cell r="A3298" t="str">
            <v>deoxfvs_x</v>
          </cell>
          <cell r="B3298" t="str">
            <v>deoxfvs</v>
          </cell>
          <cell r="C3298" t="str">
            <v>Deoxy-fluvastatin-dinor</v>
          </cell>
        </row>
        <row r="3299">
          <cell r="A3299" t="str">
            <v>deoxfvs_c</v>
          </cell>
          <cell r="B3299" t="str">
            <v>deoxfvs</v>
          </cell>
          <cell r="C3299" t="str">
            <v>Deoxy-fluvastatin-dinor</v>
          </cell>
        </row>
        <row r="3300">
          <cell r="A3300" t="str">
            <v>desfvs_e</v>
          </cell>
          <cell r="B3300" t="str">
            <v>desfvs</v>
          </cell>
          <cell r="C3300" t="str">
            <v>N-desisopropyl-fluvastatin</v>
          </cell>
        </row>
        <row r="3301">
          <cell r="A3301" t="str">
            <v>fvstetglu_e</v>
          </cell>
          <cell r="B3301" t="str">
            <v>fvstetglu</v>
          </cell>
          <cell r="C3301" t="str">
            <v>Des-isopropyl-dihydro-fluvastatin-tetranor-glucuronide</v>
          </cell>
        </row>
        <row r="3302">
          <cell r="A3302" t="str">
            <v>glz_e</v>
          </cell>
          <cell r="B3302" t="str">
            <v>glz</v>
          </cell>
          <cell r="C3302" t="str">
            <v>Gliclazide</v>
          </cell>
        </row>
        <row r="3303">
          <cell r="A3303" t="str">
            <v>ibup__R_e</v>
          </cell>
          <cell r="B3303" t="str">
            <v>ibup__R</v>
          </cell>
          <cell r="C3303" t="str">
            <v>Ibuprofen-R</v>
          </cell>
        </row>
        <row r="3304">
          <cell r="A3304" t="str">
            <v>ibup__S_e</v>
          </cell>
          <cell r="B3304" t="str">
            <v>ibup__S</v>
          </cell>
          <cell r="C3304" t="str">
            <v>Ibuprofen-S</v>
          </cell>
        </row>
        <row r="3305">
          <cell r="A3305" t="str">
            <v>isolvstacid_e</v>
          </cell>
          <cell r="B3305" t="str">
            <v>isolvstacid</v>
          </cell>
          <cell r="C3305" t="str">
            <v>3'-hydroxy-iso-delta-4',5'-hydroxy acid form of lovastatin</v>
          </cell>
        </row>
        <row r="3306">
          <cell r="A3306" t="str">
            <v>lstnm5_e</v>
          </cell>
          <cell r="B3306" t="str">
            <v>lstnm5</v>
          </cell>
          <cell r="C3306" t="str">
            <v>Losartan-M5</v>
          </cell>
        </row>
        <row r="3307">
          <cell r="A3307" t="str">
            <v>lvst_e</v>
          </cell>
          <cell r="B3307" t="str">
            <v>lvst</v>
          </cell>
          <cell r="C3307" t="str">
            <v>Lovastatin lactone form</v>
          </cell>
        </row>
        <row r="3308">
          <cell r="A3308" t="str">
            <v>mdzglc_e</v>
          </cell>
          <cell r="B3308" t="str">
            <v>mdzglc</v>
          </cell>
          <cell r="C3308" t="str">
            <v>Midazolam-glucuronide</v>
          </cell>
        </row>
        <row r="3309">
          <cell r="A3309" t="str">
            <v>meracmp_e</v>
          </cell>
          <cell r="B3309" t="str">
            <v>meracmp</v>
          </cell>
          <cell r="C3309" t="str">
            <v>Acetaminophen-mercapturate-conjugate/N-acetyl-cysteine-acetaminophen</v>
          </cell>
        </row>
        <row r="3310">
          <cell r="A3310" t="str">
            <v>ndersv_e</v>
          </cell>
          <cell r="B3310" t="str">
            <v>ndersv</v>
          </cell>
          <cell r="C3310" t="str">
            <v>N-desmethyl-rosuvastatin</v>
          </cell>
        </row>
        <row r="3311">
          <cell r="A3311" t="str">
            <v>nfdac_e</v>
          </cell>
          <cell r="B3311" t="str">
            <v>nfdac</v>
          </cell>
          <cell r="C3311" t="str">
            <v>Acid metabolite of nifedipine</v>
          </cell>
        </row>
        <row r="3312">
          <cell r="A3312" t="str">
            <v>oxy1rb_e</v>
          </cell>
          <cell r="B3312" t="str">
            <v>oxy1rb</v>
          </cell>
          <cell r="C3312" t="str">
            <v>Oxypurinol-1-riboside</v>
          </cell>
        </row>
        <row r="3313">
          <cell r="A3313" t="str">
            <v>s3meacmp_e</v>
          </cell>
          <cell r="B3313" t="str">
            <v>s3meacmp</v>
          </cell>
          <cell r="C3313" t="str">
            <v>Sulphate-conjugate-3-methoxy-acetaminophen</v>
          </cell>
        </row>
        <row r="3314">
          <cell r="A3314" t="str">
            <v>smv_e</v>
          </cell>
          <cell r="B3314" t="str">
            <v>smv</v>
          </cell>
          <cell r="C3314" t="str">
            <v>Simvastatin lactone form</v>
          </cell>
        </row>
        <row r="3315">
          <cell r="A3315" t="str">
            <v>tmdm3_e</v>
          </cell>
          <cell r="B3315" t="str">
            <v>tmdm3</v>
          </cell>
          <cell r="C3315" t="str">
            <v>Torasemide-M3</v>
          </cell>
        </row>
        <row r="3316">
          <cell r="A3316" t="str">
            <v>fvstet_r</v>
          </cell>
          <cell r="B3316" t="str">
            <v>fvstet</v>
          </cell>
          <cell r="C3316" t="str">
            <v>Des-isopropyl-dihydro-fluvastatin-tetranor</v>
          </cell>
        </row>
        <row r="3317">
          <cell r="A3317" t="str">
            <v>fvstet_c</v>
          </cell>
          <cell r="B3317" t="str">
            <v>fvstet</v>
          </cell>
          <cell r="C3317" t="str">
            <v>Des-isopropyl-dihydro-fluvastatin-tetranor</v>
          </cell>
        </row>
        <row r="3318">
          <cell r="A3318" t="str">
            <v>fvs_c</v>
          </cell>
          <cell r="B3318" t="str">
            <v>fvs</v>
          </cell>
          <cell r="C3318" t="str">
            <v>Fluvastatin</v>
          </cell>
        </row>
        <row r="3319">
          <cell r="A3319" t="str">
            <v>ibupgluc_c</v>
          </cell>
          <cell r="B3319" t="str">
            <v>ibupgluc</v>
          </cell>
          <cell r="C3319" t="str">
            <v>Ibuprofen acyl glucuronide</v>
          </cell>
        </row>
        <row r="3320">
          <cell r="A3320" t="str">
            <v>ibupgluc_r</v>
          </cell>
          <cell r="B3320" t="str">
            <v>ibupgluc</v>
          </cell>
          <cell r="C3320" t="str">
            <v>Ibuprofen acyl glucuronide</v>
          </cell>
        </row>
        <row r="3321">
          <cell r="A3321" t="str">
            <v>2hibup__R_r</v>
          </cell>
          <cell r="B3321" t="str">
            <v>2hibup__R</v>
          </cell>
          <cell r="C3321" t="str">
            <v>2-hydroxy-R-ibuprofen</v>
          </cell>
        </row>
        <row r="3322">
          <cell r="A3322" t="str">
            <v>ibupcoa__S_c</v>
          </cell>
          <cell r="B3322" t="str">
            <v>ibupcoa__S</v>
          </cell>
          <cell r="C3322" t="str">
            <v>Ibuprofen-CoA-S form</v>
          </cell>
        </row>
        <row r="3323">
          <cell r="A3323" t="str">
            <v>tauribup__S_c</v>
          </cell>
          <cell r="B3323" t="str">
            <v>tauribup__S</v>
          </cell>
          <cell r="C3323" t="str">
            <v>Taurine conjugate of S-ibuprofen</v>
          </cell>
        </row>
        <row r="3324">
          <cell r="A3324" t="str">
            <v>lstn1gluc_r</v>
          </cell>
          <cell r="B3324" t="str">
            <v>lstn1gluc</v>
          </cell>
          <cell r="C3324" t="str">
            <v>Losartan-N1-glucuronide</v>
          </cell>
        </row>
        <row r="3325">
          <cell r="A3325" t="str">
            <v>lstn1gluc_c</v>
          </cell>
          <cell r="B3325" t="str">
            <v>lstn1gluc</v>
          </cell>
          <cell r="C3325" t="str">
            <v>Losartan-N1-glucuronide</v>
          </cell>
        </row>
        <row r="3326">
          <cell r="A3326" t="str">
            <v>lstnm1_r</v>
          </cell>
          <cell r="B3326" t="str">
            <v>lstnm1</v>
          </cell>
          <cell r="C3326" t="str">
            <v>Losartan-M1</v>
          </cell>
        </row>
        <row r="3327">
          <cell r="A3327" t="str">
            <v>lstnm1_c</v>
          </cell>
          <cell r="B3327" t="str">
            <v>lstnm1</v>
          </cell>
          <cell r="C3327" t="str">
            <v>Losartan-M1</v>
          </cell>
        </row>
        <row r="3328">
          <cell r="A3328" t="str">
            <v>lstnm2_r</v>
          </cell>
          <cell r="B3328" t="str">
            <v>lstnm2</v>
          </cell>
          <cell r="C3328" t="str">
            <v>Losartan-M2</v>
          </cell>
        </row>
        <row r="3329">
          <cell r="A3329" t="str">
            <v>lstnm2_c</v>
          </cell>
          <cell r="B3329" t="str">
            <v>lstnm2</v>
          </cell>
          <cell r="C3329" t="str">
            <v>Losartan-M2</v>
          </cell>
        </row>
        <row r="3330">
          <cell r="A3330" t="str">
            <v>lvstacid_c</v>
          </cell>
          <cell r="B3330" t="str">
            <v>lvstacid</v>
          </cell>
          <cell r="C3330" t="str">
            <v>Lovastatin-hydroxyacid form</v>
          </cell>
        </row>
        <row r="3331">
          <cell r="A3331" t="str">
            <v>lvstacid_r</v>
          </cell>
          <cell r="B3331" t="str">
            <v>lvstacid</v>
          </cell>
          <cell r="C3331" t="str">
            <v>Lovastatin-hydroxyacid form</v>
          </cell>
        </row>
        <row r="3332">
          <cell r="A3332" t="str">
            <v>3hlvst_r</v>
          </cell>
          <cell r="B3332" t="str">
            <v>3hlvst</v>
          </cell>
          <cell r="C3332" t="str">
            <v>3''-hydroxy-lovastatin lactone form</v>
          </cell>
        </row>
        <row r="3333">
          <cell r="A3333" t="str">
            <v>6hlvst_r</v>
          </cell>
          <cell r="B3333" t="str">
            <v>6hlvst</v>
          </cell>
          <cell r="C3333" t="str">
            <v>6'-beta-hydroxy-lovastatin lactone form</v>
          </cell>
        </row>
        <row r="3334">
          <cell r="A3334" t="str">
            <v>mdz_c</v>
          </cell>
          <cell r="B3334" t="str">
            <v>mdz</v>
          </cell>
          <cell r="C3334" t="str">
            <v>Midazolam</v>
          </cell>
        </row>
        <row r="3335">
          <cell r="A3335" t="str">
            <v>nfdlac_c</v>
          </cell>
          <cell r="B3335" t="str">
            <v>nfdlac</v>
          </cell>
          <cell r="C3335" t="str">
            <v>Lactone form of nifedipine</v>
          </cell>
        </row>
        <row r="3336">
          <cell r="A3336" t="str">
            <v>ptvstgluc_r</v>
          </cell>
          <cell r="B3336" t="str">
            <v>ptvstgluc</v>
          </cell>
          <cell r="C3336" t="str">
            <v>Pitavastatin-glucuronide</v>
          </cell>
        </row>
        <row r="3337">
          <cell r="A3337" t="str">
            <v>ptvstm13_r</v>
          </cell>
          <cell r="B3337" t="str">
            <v>ptvstm13</v>
          </cell>
          <cell r="C3337" t="str">
            <v>Pitavastatin-M13</v>
          </cell>
        </row>
        <row r="3338">
          <cell r="A3338" t="str">
            <v>ptvstm3_c</v>
          </cell>
          <cell r="B3338" t="str">
            <v>ptvstm3</v>
          </cell>
          <cell r="C3338" t="str">
            <v>Pitavastatin-M3</v>
          </cell>
        </row>
        <row r="3339">
          <cell r="A3339" t="str">
            <v>ptvstm3_r</v>
          </cell>
          <cell r="B3339" t="str">
            <v>ptvstm3</v>
          </cell>
          <cell r="C3339" t="str">
            <v>Pitavastatin-M3</v>
          </cell>
        </row>
        <row r="3340">
          <cell r="A3340" t="str">
            <v>pvsgluc_r</v>
          </cell>
          <cell r="B3340" t="str">
            <v>pvsgluc</v>
          </cell>
          <cell r="C3340" t="str">
            <v>Pravastatin glucuronide</v>
          </cell>
        </row>
        <row r="3341">
          <cell r="A3341" t="str">
            <v>pvsgluc_c</v>
          </cell>
          <cell r="B3341" t="str">
            <v>pvsgluc</v>
          </cell>
          <cell r="C3341" t="str">
            <v>Pravastatin glucuronide</v>
          </cell>
        </row>
        <row r="3342">
          <cell r="A3342" t="str">
            <v>tmdm1_c</v>
          </cell>
          <cell r="B3342" t="str">
            <v>tmdm1</v>
          </cell>
          <cell r="C3342" t="str">
            <v>Torasemide-M1</v>
          </cell>
        </row>
        <row r="3343">
          <cell r="A3343" t="str">
            <v>tmdm1_r</v>
          </cell>
          <cell r="B3343" t="str">
            <v>tmdm1</v>
          </cell>
          <cell r="C3343" t="str">
            <v>Torasemide-M1</v>
          </cell>
        </row>
        <row r="3344">
          <cell r="A3344" t="str">
            <v>3hpvscoa_c</v>
          </cell>
          <cell r="B3344" t="str">
            <v>3hpvscoa</v>
          </cell>
          <cell r="C3344" t="str">
            <v>3'-S-hydroxy-pravastatin-CoA</v>
          </cell>
        </row>
        <row r="3345">
          <cell r="A3345" t="str">
            <v>ptvstm13_c</v>
          </cell>
          <cell r="B3345" t="str">
            <v>ptvstm13</v>
          </cell>
          <cell r="C3345" t="str">
            <v>Pitavastatin-M13</v>
          </cell>
        </row>
        <row r="3346">
          <cell r="A3346" t="str">
            <v>1a25dhvitd2_e</v>
          </cell>
          <cell r="B3346" t="str">
            <v>1a25dhvitd2</v>
          </cell>
          <cell r="C3346" t="str">
            <v>1-alpha,25-Dihydroxyvitamin D2</v>
          </cell>
        </row>
        <row r="3347">
          <cell r="A3347" t="str">
            <v>d2hdodcoa_c</v>
          </cell>
          <cell r="B3347" t="str">
            <v>d2hdodcoa</v>
          </cell>
          <cell r="C3347" t="str">
            <v>D2h-dodecanoyl-CoA</v>
          </cell>
        </row>
        <row r="3348">
          <cell r="A3348" t="str">
            <v>nodcoa_c</v>
          </cell>
          <cell r="B3348" t="str">
            <v>nodcoa</v>
          </cell>
          <cell r="C3348" t="str">
            <v>Nonadecan-1-ol-CoA</v>
          </cell>
        </row>
        <row r="3349">
          <cell r="A3349" t="str">
            <v>hepdcoa_c</v>
          </cell>
          <cell r="B3349" t="str">
            <v>hepdcoa</v>
          </cell>
          <cell r="C3349" t="str">
            <v>Heptadecanoyl-CoA</v>
          </cell>
        </row>
        <row r="3350">
          <cell r="A3350" t="str">
            <v>nndccoa_c</v>
          </cell>
          <cell r="B3350" t="str">
            <v>nndccoa</v>
          </cell>
          <cell r="C3350" t="str">
            <v>Nonanoyl-CoA</v>
          </cell>
        </row>
        <row r="3351">
          <cell r="A3351" t="str">
            <v>arabl__D_c</v>
          </cell>
          <cell r="B3351" t="str">
            <v>arabl__D</v>
          </cell>
          <cell r="C3351" t="str">
            <v>Arabl  D c</v>
          </cell>
        </row>
        <row r="3352">
          <cell r="A3352" t="str">
            <v>LM_c</v>
          </cell>
          <cell r="B3352" t="str">
            <v>LM</v>
          </cell>
          <cell r="C3352" t="str">
            <v>Lipomannoside</v>
          </cell>
        </row>
        <row r="3353">
          <cell r="A3353" t="str">
            <v>chol4en3one_c</v>
          </cell>
          <cell r="B3353" t="str">
            <v>chol4en3one</v>
          </cell>
          <cell r="C3353" t="str">
            <v>Cholest-4-en-3-one</v>
          </cell>
        </row>
        <row r="3354">
          <cell r="A3354" t="str">
            <v>cholenec3coa_c</v>
          </cell>
          <cell r="B3354" t="str">
            <v>cholenec3coa</v>
          </cell>
          <cell r="C3354" t="str">
            <v>CoA-20-ene-cholest-4-en-3-one C5 side chain</v>
          </cell>
        </row>
        <row r="3355">
          <cell r="A3355" t="str">
            <v>cholc3coa_c</v>
          </cell>
          <cell r="B3355" t="str">
            <v>cholc3coa</v>
          </cell>
          <cell r="C3355" t="str">
            <v>CoA-cholest-4-en-3-one C3 side chain</v>
          </cell>
        </row>
        <row r="3356">
          <cell r="A3356" t="str">
            <v>cholenec5coa_c</v>
          </cell>
          <cell r="B3356" t="str">
            <v>cholenec5coa</v>
          </cell>
          <cell r="C3356" t="str">
            <v>CoA-22-ene-cholest-4-en-3-one C5 side chain</v>
          </cell>
        </row>
        <row r="3357">
          <cell r="A3357" t="str">
            <v>34dhsa_c</v>
          </cell>
          <cell r="B3357" t="str">
            <v>34dhsa</v>
          </cell>
          <cell r="C3357" t="str">
            <v>3,4-Dihydroxy-9,10-secoandrosta-1,3,5(10)-triene-9,17-dione</v>
          </cell>
        </row>
        <row r="3358">
          <cell r="A3358" t="str">
            <v>hipocoa_c</v>
          </cell>
          <cell r="B3358" t="str">
            <v>hipocoa</v>
          </cell>
          <cell r="C3358" t="str">
            <v>3-[(3aS,4S,5R,7aS)-5-hydroxy-7a-methyl-1-oxo-octahydro-1H-inden-4-yl]-3-oxopropanoyl-CoA</v>
          </cell>
        </row>
        <row r="3359">
          <cell r="A3359" t="str">
            <v>hia_c</v>
          </cell>
          <cell r="B3359" t="str">
            <v>hia</v>
          </cell>
          <cell r="C3359" t="str">
            <v>3-[(3aS,4S,5R,7aS)-5-hydroxy-7a-methyl-1-oxo-octahydro-1H-indene-4-carboxylate</v>
          </cell>
        </row>
        <row r="3360">
          <cell r="A3360" t="str">
            <v>5ohhip_c</v>
          </cell>
          <cell r="B3360" t="str">
            <v>5ohhip</v>
          </cell>
          <cell r="C3360" t="str">
            <v>3-[(3aS,4S,7aS)-7a-Methyl-1-hydroxy-5-oxo-octahydro-1H-inden-4-yl]propanoic acid</v>
          </cell>
        </row>
        <row r="3361">
          <cell r="A3361" t="str">
            <v>5ohhipcoa_c</v>
          </cell>
          <cell r="B3361" t="str">
            <v>5ohhipcoa</v>
          </cell>
          <cell r="C3361" t="str">
            <v>5-hydroxy-3-[(3aS,4S,5R,7aS)-7a-methyl-1,5-dioxo-octahydro-1H-inden-4-yl]propanoyl-CoA</v>
          </cell>
        </row>
        <row r="3362">
          <cell r="A3362" t="str">
            <v>hcholc3coa_c</v>
          </cell>
          <cell r="B3362" t="str">
            <v>hcholc3coa</v>
          </cell>
          <cell r="C3362" t="str">
            <v>CoA-20-hydroxy-cholest-4-en-3-one C5 side chain</v>
          </cell>
        </row>
        <row r="3363">
          <cell r="A3363" t="str">
            <v>hipcoa_c</v>
          </cell>
          <cell r="B3363" t="str">
            <v>hipcoa</v>
          </cell>
          <cell r="C3363" t="str">
            <v>3-[(3aS,4S,7aS)-7a-Methyl-1,5-dioxo-octahydro-1H-inden-4-yl]propanoyl-CoA;</v>
          </cell>
        </row>
        <row r="3364">
          <cell r="A3364" t="str">
            <v>pmtri_c</v>
          </cell>
          <cell r="B3364" t="str">
            <v>pmtri</v>
          </cell>
          <cell r="C3364" t="str">
            <v>PENTA-METHYL-TRICONTANOYL</v>
          </cell>
        </row>
        <row r="3365">
          <cell r="A3365" t="str">
            <v>pmtricoa_c</v>
          </cell>
          <cell r="B3365" t="str">
            <v>pmtricoa</v>
          </cell>
          <cell r="C3365" t="str">
            <v>PENTA-METHYL-TRICONTANOYL-COA</v>
          </cell>
        </row>
        <row r="3366">
          <cell r="A3366" t="str">
            <v>isotbsinol_13S_c</v>
          </cell>
          <cell r="B3366" t="str">
            <v>isotbsinol_13S</v>
          </cell>
          <cell r="C3366" t="str">
            <v>(13S)-edaxadiene</v>
          </cell>
        </row>
        <row r="3367">
          <cell r="A3367" t="str">
            <v>hercyn_c</v>
          </cell>
          <cell r="B3367" t="str">
            <v>hercyn</v>
          </cell>
          <cell r="C3367" t="str">
            <v>Hercynine</v>
          </cell>
        </row>
        <row r="3368">
          <cell r="A3368" t="str">
            <v>octscoa_e</v>
          </cell>
          <cell r="B3368" t="str">
            <v>octscoa</v>
          </cell>
          <cell r="C3368" t="str">
            <v>Octacosanoyl-CoA</v>
          </cell>
        </row>
        <row r="3369">
          <cell r="A3369" t="str">
            <v>gluhercyso_c</v>
          </cell>
          <cell r="B3369" t="str">
            <v>gluhercyso</v>
          </cell>
          <cell r="C3369" t="str">
            <v>Gamma glutamyl-hercynylcysteine sulfoxide</v>
          </cell>
        </row>
        <row r="3370">
          <cell r="A3370" t="str">
            <v>tre6mmp_c</v>
          </cell>
          <cell r="B3370" t="str">
            <v>tre6mmp</v>
          </cell>
          <cell r="C3370" t="str">
            <v>Cytoplasmic trehalosemonomycolate-P</v>
          </cell>
        </row>
        <row r="3371">
          <cell r="A3371" t="str">
            <v>8oxgtp_c</v>
          </cell>
          <cell r="B3371" t="str">
            <v>8oxgtp</v>
          </cell>
          <cell r="C3371" t="str">
            <v>8-oxo-GTP</v>
          </cell>
        </row>
        <row r="3372">
          <cell r="A3372" t="str">
            <v>pc_TB_c</v>
          </cell>
          <cell r="B3372" t="str">
            <v>pc_TB</v>
          </cell>
          <cell r="C3372" t="str">
            <v>Phosphatidylcholine</v>
          </cell>
        </row>
        <row r="3373">
          <cell r="A3373" t="str">
            <v>accb_c</v>
          </cell>
          <cell r="B3373" t="str">
            <v>accb</v>
          </cell>
          <cell r="C3373" t="str">
            <v>Apo-[acetyl-CoA:carbon-dioxide ligase (ADP-forming)]</v>
          </cell>
        </row>
        <row r="3374">
          <cell r="A3374" t="str">
            <v>11mdACP_c</v>
          </cell>
          <cell r="B3374" t="str">
            <v>11mdACP</v>
          </cell>
          <cell r="C3374" t="str">
            <v>11-methyl-dodecanoyl-ACP</v>
          </cell>
        </row>
        <row r="3375">
          <cell r="A3375" t="str">
            <v>12diisgly_c</v>
          </cell>
          <cell r="B3375" t="str">
            <v>12diisgly</v>
          </cell>
          <cell r="C3375" t="str">
            <v>1 2-Diisoheptadecanoyl-sn-glycerol</v>
          </cell>
        </row>
        <row r="3376">
          <cell r="A3376" t="str">
            <v>12m3otACP_c</v>
          </cell>
          <cell r="B3376" t="str">
            <v>12m3otACP</v>
          </cell>
          <cell r="C3376" t="str">
            <v>12-methyl-3-oxo-tridecanoyl-ACP</v>
          </cell>
        </row>
        <row r="3377">
          <cell r="A3377" t="str">
            <v>12methedec_c</v>
          </cell>
          <cell r="B3377" t="str">
            <v>12methedec</v>
          </cell>
          <cell r="C3377" t="str">
            <v>12methedecACP c</v>
          </cell>
        </row>
        <row r="3378">
          <cell r="A3378" t="str">
            <v>13m3htdACP_c</v>
          </cell>
          <cell r="B3378" t="str">
            <v>13m3htdACP</v>
          </cell>
          <cell r="C3378" t="str">
            <v>13-methyl-3-hydroxy-tetra-decanoyl-ACP</v>
          </cell>
        </row>
        <row r="3379">
          <cell r="A3379" t="str">
            <v>13mttd2eACP_c</v>
          </cell>
          <cell r="B3379" t="str">
            <v>13mttd2eACP</v>
          </cell>
          <cell r="C3379" t="str">
            <v>13-methyl-trans-tetra-dec-2-enoyl-ACP</v>
          </cell>
        </row>
        <row r="3380">
          <cell r="A3380" t="str">
            <v>14m3opACP_c</v>
          </cell>
          <cell r="B3380" t="str">
            <v>14m3opACP</v>
          </cell>
          <cell r="C3380" t="str">
            <v>14-methyl-3-oxo-pentadecanoyl-ACP</v>
          </cell>
        </row>
        <row r="3381">
          <cell r="A3381" t="str">
            <v>14mhdACP_e</v>
          </cell>
          <cell r="B3381" t="str">
            <v>14mhdACP</v>
          </cell>
          <cell r="C3381" t="str">
            <v>14-methyl-hexa-decanoyl-ACP</v>
          </cell>
        </row>
        <row r="3382">
          <cell r="A3382" t="str">
            <v>14mpACP_c</v>
          </cell>
          <cell r="B3382" t="str">
            <v>14mpACP</v>
          </cell>
          <cell r="C3382" t="str">
            <v>14-methyl-pentadecanoyl-ACP</v>
          </cell>
        </row>
        <row r="3383">
          <cell r="A3383" t="str">
            <v>14mtp2eACP_c</v>
          </cell>
          <cell r="B3383" t="str">
            <v>14mtp2eACP</v>
          </cell>
          <cell r="C3383" t="str">
            <v>14-methyl-trans-pentadec-2-enoyl-ACP</v>
          </cell>
        </row>
        <row r="3384">
          <cell r="A3384" t="str">
            <v>15m3hdACP_c</v>
          </cell>
          <cell r="B3384" t="str">
            <v>15m3hdACP</v>
          </cell>
          <cell r="C3384" t="str">
            <v>15-methyl-3-hydroxy-hexa-decanoyl-ACP</v>
          </cell>
        </row>
        <row r="3385">
          <cell r="A3385" t="str">
            <v>15m3ohdACP_c</v>
          </cell>
          <cell r="B3385" t="str">
            <v>15m3ohdACP</v>
          </cell>
          <cell r="C3385" t="str">
            <v>15-methyl-3-oxo-hexa-decanoyl-ACP</v>
          </cell>
        </row>
        <row r="3386">
          <cell r="A3386" t="str">
            <v>16m3ohdACP_c</v>
          </cell>
          <cell r="B3386" t="str">
            <v>16m3ohdACP</v>
          </cell>
          <cell r="C3386" t="str">
            <v>16-methyl-3-oxo-hexa-decanoyl-ACP</v>
          </cell>
        </row>
        <row r="3387">
          <cell r="A3387" t="str">
            <v>16mpACP_c</v>
          </cell>
          <cell r="B3387" t="str">
            <v>16mpACP</v>
          </cell>
          <cell r="C3387" t="str">
            <v>16-methyl-pentadecanoyl-ACP</v>
          </cell>
        </row>
        <row r="3388">
          <cell r="A3388" t="str">
            <v>16mthdeACP_c</v>
          </cell>
          <cell r="B3388" t="str">
            <v>16mthdeACP</v>
          </cell>
          <cell r="C3388" t="str">
            <v>16-methyl-trans-hexa-dec-2-enoyl-ACP</v>
          </cell>
        </row>
        <row r="3389">
          <cell r="A3389" t="str">
            <v>17m3hdACP_c</v>
          </cell>
          <cell r="B3389" t="str">
            <v>17m3hdACP</v>
          </cell>
          <cell r="C3389" t="str">
            <v>17-methyl-3-hydroxy-hexa-decanoyl-ACP</v>
          </cell>
        </row>
        <row r="3390">
          <cell r="A3390" t="str">
            <v>17m3ohdACP_c</v>
          </cell>
          <cell r="B3390" t="str">
            <v>17m3ohdACP</v>
          </cell>
          <cell r="C3390" t="str">
            <v>17-methyl-3-oxo-hexa-decanoyl-ACP</v>
          </cell>
        </row>
        <row r="3391">
          <cell r="A3391" t="str">
            <v>1gCELLWALL2_c</v>
          </cell>
          <cell r="B3391" t="str">
            <v>1gCELLWALL2</v>
          </cell>
          <cell r="C3391" t="str">
            <v/>
          </cell>
        </row>
        <row r="3392">
          <cell r="A3392" t="str">
            <v>1gCELLWALL_c</v>
          </cell>
          <cell r="B3392" t="str">
            <v>1gCELLWALL</v>
          </cell>
          <cell r="C3392" t="str">
            <v/>
          </cell>
        </row>
        <row r="3393">
          <cell r="A3393" t="str">
            <v>1gDNA_c</v>
          </cell>
          <cell r="B3393" t="str">
            <v>1gDNA</v>
          </cell>
          <cell r="C3393" t="str">
            <v/>
          </cell>
        </row>
        <row r="3394">
          <cell r="A3394" t="str">
            <v>1gLIPIDS2_c</v>
          </cell>
          <cell r="B3394" t="str">
            <v>1gLIPIDS2</v>
          </cell>
          <cell r="C3394" t="str">
            <v/>
          </cell>
        </row>
        <row r="3395">
          <cell r="A3395" t="str">
            <v>1gPROTEIN2_c</v>
          </cell>
          <cell r="B3395" t="str">
            <v>1gPROTEIN2</v>
          </cell>
          <cell r="C3395" t="str">
            <v/>
          </cell>
        </row>
        <row r="3396">
          <cell r="A3396" t="str">
            <v>1gRNA2_c</v>
          </cell>
          <cell r="B3396" t="str">
            <v>1gRNA2</v>
          </cell>
          <cell r="C3396" t="str">
            <v/>
          </cell>
        </row>
        <row r="3397">
          <cell r="A3397" t="str">
            <v>3hmcat_c</v>
          </cell>
          <cell r="B3397" t="str">
            <v>3hmcat</v>
          </cell>
          <cell r="C3397" t="str">
            <v>4-Hydroxymethylcatechol</v>
          </cell>
        </row>
        <row r="3398">
          <cell r="A3398" t="str">
            <v>3hpmeACP_c</v>
          </cell>
          <cell r="B3398" t="str">
            <v>3hpmeACP</v>
          </cell>
          <cell r="C3398" t="str">
            <v>3-Hydroxypimeloyl-ACP methyl ester</v>
          </cell>
        </row>
        <row r="3399">
          <cell r="A3399" t="str">
            <v>3ovegACP_c</v>
          </cell>
          <cell r="B3399" t="str">
            <v>3ovegACP</v>
          </cell>
          <cell r="C3399" t="str">
            <v>3-Oxo-veganoyl-ACP</v>
          </cell>
        </row>
        <row r="3400">
          <cell r="A3400" t="str">
            <v>44dpnp_c</v>
          </cell>
          <cell r="B3400" t="str">
            <v>44dpnp</v>
          </cell>
          <cell r="C3400" t="str">
            <v>All-trans-4,4'-diaponeurosporene</v>
          </cell>
        </row>
        <row r="3401">
          <cell r="A3401" t="str">
            <v>4ahmmp_e</v>
          </cell>
          <cell r="B3401" t="str">
            <v>4ahmmp</v>
          </cell>
          <cell r="C3401" t="str">
            <v>4-Amino-5-hydroxymethyl-2-methylpyrimidine</v>
          </cell>
        </row>
        <row r="3402">
          <cell r="A3402" t="str">
            <v>4m3ohexACP_c</v>
          </cell>
          <cell r="B3402" t="str">
            <v>4m3ohexACP</v>
          </cell>
          <cell r="C3402" t="str">
            <v>4-methyl-3-oxo-hexanoyl-ACP</v>
          </cell>
        </row>
        <row r="3403">
          <cell r="A3403" t="str">
            <v>4m3opACP_c</v>
          </cell>
          <cell r="B3403" t="str">
            <v>4m3opACP</v>
          </cell>
          <cell r="C3403" t="str">
            <v>4-methyl-3-oxo-pentanoyl-ACP</v>
          </cell>
        </row>
        <row r="3404">
          <cell r="A3404" t="str">
            <v>4methex2eACP_c</v>
          </cell>
          <cell r="B3404" t="str">
            <v>4methex2eACP</v>
          </cell>
          <cell r="C3404" t="str">
            <v>4-methyl-trans-hex-2-enoyl-ACP</v>
          </cell>
        </row>
        <row r="3405">
          <cell r="A3405" t="str">
            <v>4nphp_c</v>
          </cell>
          <cell r="B3405" t="str">
            <v>4nphp</v>
          </cell>
          <cell r="C3405" t="str">
            <v>4-Nitrophenyl phosphate</v>
          </cell>
        </row>
        <row r="3406">
          <cell r="A3406" t="str">
            <v>5m3hhACP_c</v>
          </cell>
          <cell r="B3406" t="str">
            <v>5m3hhACP</v>
          </cell>
          <cell r="C3406" t="str">
            <v>5-methyl-3-oxo-hexanoyl-ACP</v>
          </cell>
        </row>
        <row r="3407">
          <cell r="A3407" t="str">
            <v>6m3hhACP_c</v>
          </cell>
          <cell r="B3407" t="str">
            <v>6m3hhACP</v>
          </cell>
          <cell r="C3407" t="str">
            <v>6-methyl-3-hydroxy-heptanoyl-ACP</v>
          </cell>
        </row>
        <row r="3408">
          <cell r="A3408" t="str">
            <v>6mhACP_c</v>
          </cell>
          <cell r="B3408" t="str">
            <v>6mhACP</v>
          </cell>
          <cell r="C3408" t="str">
            <v>6-methyl-heptanoyl-ACP</v>
          </cell>
        </row>
        <row r="3409">
          <cell r="A3409" t="str">
            <v>7am7dgtrna_c</v>
          </cell>
          <cell r="B3409" t="str">
            <v>7am7dgtrna</v>
          </cell>
          <cell r="C3409" t="str">
            <v>7-aminomethyl-7-deazaguanosine34 in tRNA</v>
          </cell>
        </row>
        <row r="3410">
          <cell r="A3410" t="str">
            <v>7m3hoACP_c</v>
          </cell>
          <cell r="B3410" t="str">
            <v>7m3hoACP</v>
          </cell>
          <cell r="C3410" t="str">
            <v>7-methyl-3-hydroxy-octanoyl-ACP</v>
          </cell>
        </row>
        <row r="3411">
          <cell r="A3411" t="str">
            <v>7moACP_c</v>
          </cell>
          <cell r="B3411" t="str">
            <v>7moACP</v>
          </cell>
          <cell r="C3411" t="str">
            <v>7-methyl-octanoyl-ACP</v>
          </cell>
        </row>
        <row r="3412">
          <cell r="A3412" t="str">
            <v>8m3hnACP_c</v>
          </cell>
          <cell r="B3412" t="str">
            <v>8m3hnACP</v>
          </cell>
          <cell r="C3412" t="str">
            <v>8-methyl-3-hydroxy-nonanoyl-ACP</v>
          </cell>
        </row>
        <row r="3413">
          <cell r="A3413" t="str">
            <v>8mdACP_c</v>
          </cell>
          <cell r="B3413" t="str">
            <v>8mdACP</v>
          </cell>
          <cell r="C3413" t="str">
            <v>8-methyl-decanoyl-ACP</v>
          </cell>
        </row>
        <row r="3414">
          <cell r="A3414" t="str">
            <v>9mdACP_c</v>
          </cell>
          <cell r="B3414" t="str">
            <v>9mdACP</v>
          </cell>
          <cell r="C3414" t="str">
            <v>9-methyl-decanoyl-ACP</v>
          </cell>
        </row>
        <row r="3415">
          <cell r="A3415" t="str">
            <v>LTA_ala_w</v>
          </cell>
          <cell r="B3415" t="str">
            <v>LTA_ala</v>
          </cell>
          <cell r="C3415" t="str">
            <v>Alanylated type 1 lipoteichoic acid; 1,2-diacyl-3-O-[6-O-(2-O-N-acetyl-alpha-D-glucosamine-sn-glycerol phospho)n-(2-O-D-alanyl-sn-glycerol phospho)m(sn-glycerol phospho)-(beta-D-glucopyranosyl-(1-&gt;6)-O-beta-D-glucopyranosyl)]-sn-glycerol</v>
          </cell>
        </row>
        <row r="3416">
          <cell r="A3416" t="str">
            <v>type I LTA</v>
          </cell>
          <cell r="B3416" t="str">
            <v>iYS854</v>
          </cell>
          <cell r="C3416" t="str">
            <v/>
          </cell>
        </row>
        <row r="3417">
          <cell r="A3417" t="str">
            <v>PG_ST_w</v>
          </cell>
          <cell r="B3417" t="str">
            <v>PG_ST</v>
          </cell>
          <cell r="C3417" t="str">
            <v>Acetylglucosamine--N-acetylmuramoyl-(tetrapeptide) diphospho-undecaprenol dimer with L-(gly)5-D cross-link strand length 6</v>
          </cell>
        </row>
        <row r="3418">
          <cell r="A3418" t="str">
            <v>ST_xan_c</v>
          </cell>
          <cell r="B3418" t="str">
            <v>ST_xan</v>
          </cell>
          <cell r="C3418" t="str">
            <v>Staphyloxanthin; beta-D-glucopyranosyl 1-O-(4,4'-diaponeurosporen-4-oate)-6-O-(12-methyltetradecanoate)</v>
          </cell>
        </row>
        <row r="3419">
          <cell r="A3419" t="str">
            <v>WTA40r_ala_w</v>
          </cell>
          <cell r="B3419" t="str">
            <v>WTA40r_ala</v>
          </cell>
          <cell r="C3419" t="str">
            <v/>
          </cell>
        </row>
        <row r="3420">
          <cell r="A3420" t="str">
            <v>WTA40r_c</v>
          </cell>
          <cell r="B3420" t="str">
            <v>WTA40r</v>
          </cell>
          <cell r="C3420" t="str">
            <v>(Rbo-P)40-[2-(alphaGlcNac)-Rbo-P]-Gro-P-Gro-P-ManNAc-GlcNAc-PP-undecaprenol</v>
          </cell>
        </row>
        <row r="3421">
          <cell r="A3421" t="str">
            <v>WTA_PG_w</v>
          </cell>
          <cell r="B3421" t="str">
            <v>WTA_PG</v>
          </cell>
          <cell r="C3421" t="str">
            <v xml:space="preserve">Peptidoglycan bound wall teichoic acid </v>
          </cell>
        </row>
        <row r="3422">
          <cell r="A3422" t="str">
            <v>acACP_MRSA_c</v>
          </cell>
          <cell r="B3422" t="str">
            <v>acACP_MRSA</v>
          </cell>
          <cell r="C3422" t="str">
            <v>Average acyl ACP molecule</v>
          </cell>
        </row>
        <row r="3423">
          <cell r="A3423" t="str">
            <v>acgamm_c</v>
          </cell>
          <cell r="B3423" t="str">
            <v>acgamm</v>
          </cell>
          <cell r="C3423" t="str">
            <v>N-acetylglucosaminylmalate</v>
          </cell>
        </row>
        <row r="3424">
          <cell r="A3424" t="str">
            <v>ala_L_thr__L_c</v>
          </cell>
          <cell r="B3424" t="str">
            <v>ala_L_thr__L</v>
          </cell>
          <cell r="C3424" t="str">
            <v>Ala-L-Thr-L</v>
          </cell>
        </row>
        <row r="3425">
          <cell r="A3425" t="str">
            <v>ala_gln_e</v>
          </cell>
          <cell r="B3425" t="str">
            <v>ala_gln</v>
          </cell>
          <cell r="C3425" t="str">
            <v>Ala-Gln</v>
          </cell>
        </row>
        <row r="3426">
          <cell r="A3426" t="str">
            <v>ala_leu_c</v>
          </cell>
          <cell r="B3426" t="str">
            <v>ala_leu</v>
          </cell>
          <cell r="C3426" t="str">
            <v>Ala-Leu</v>
          </cell>
        </row>
        <row r="3427">
          <cell r="A3427" t="str">
            <v>alagly_c</v>
          </cell>
          <cell r="B3427" t="str">
            <v>alagly</v>
          </cell>
          <cell r="C3427" t="str">
            <v>L-alanylglycine</v>
          </cell>
        </row>
        <row r="3428">
          <cell r="A3428" t="str">
            <v>anhgm_w</v>
          </cell>
          <cell r="B3428" t="str">
            <v>anhgm</v>
          </cell>
          <cell r="C3428" t="str">
            <v>N-Acetyl-D-glucosamine(anhydrous)N-Acetylmuramic acid</v>
          </cell>
        </row>
        <row r="3429">
          <cell r="A3429" t="str">
            <v>anhm_w</v>
          </cell>
          <cell r="B3429" t="str">
            <v>anhm</v>
          </cell>
          <cell r="C3429" t="str">
            <v>1,6-anhydrous-N-Acetylmuramate</v>
          </cell>
        </row>
        <row r="3430">
          <cell r="A3430" t="str">
            <v>arsbet_e</v>
          </cell>
          <cell r="B3430" t="str">
            <v>arsbet</v>
          </cell>
          <cell r="C3430" t="str">
            <v>ARSENOBETAINE</v>
          </cell>
        </row>
        <row r="3431">
          <cell r="A3431" t="str">
            <v>asptrnaasn_c</v>
          </cell>
          <cell r="B3431" t="str">
            <v>asptrnaasn</v>
          </cell>
          <cell r="C3431" t="str">
            <v>L-Aspartyl-tRNA(Asn)</v>
          </cell>
        </row>
        <row r="3432">
          <cell r="A3432" t="str">
            <v>btbet_c</v>
          </cell>
          <cell r="B3432" t="str">
            <v>btbet</v>
          </cell>
          <cell r="C3432" t="str">
            <v>Butyro-betaine</v>
          </cell>
        </row>
        <row r="3433">
          <cell r="A3433" t="str">
            <v>bzmd_c</v>
          </cell>
          <cell r="B3433" t="str">
            <v>bzmd</v>
          </cell>
          <cell r="C3433" t="str">
            <v>Benzamide</v>
          </cell>
        </row>
        <row r="3434">
          <cell r="A3434" t="str">
            <v>carP_c</v>
          </cell>
          <cell r="B3434" t="str">
            <v>carP</v>
          </cell>
          <cell r="C3434" t="str">
            <v>Carboxybiotin-carboxyl-carrier protein</v>
          </cell>
        </row>
        <row r="3435">
          <cell r="A3435" t="str">
            <v>cdpdag_MRSA_c</v>
          </cell>
          <cell r="B3435" t="str">
            <v>cdpdag_MRSA</v>
          </cell>
          <cell r="C3435" t="str">
            <v>CDP-diacylglycerol</v>
          </cell>
        </row>
        <row r="3436">
          <cell r="A3436" t="str">
            <v>citdapp_c</v>
          </cell>
          <cell r="B3436" t="str">
            <v>citdapp</v>
          </cell>
          <cell r="C3436" t="str">
            <v>Citryl-L2,3-diamino-propionic acid</v>
          </cell>
        </row>
        <row r="3437">
          <cell r="A3437" t="str">
            <v>dattoo_c</v>
          </cell>
          <cell r="B3437" t="str">
            <v>dattoo</v>
          </cell>
          <cell r="C3437" t="str">
            <v>2 5-Diamino-6-5'-triphosphoryl-3' 4'-trihydroxy-2'-oxopentyl- amino-4-oxopyrimidine</v>
          </cell>
        </row>
        <row r="3438">
          <cell r="A3438" t="str">
            <v>dglu12dig_c</v>
          </cell>
          <cell r="B3438" t="str">
            <v>dglu12dig</v>
          </cell>
          <cell r="C3438" t="str">
            <v>Diglucosyl-1 2 diisoheptadecanoylglycerol</v>
          </cell>
        </row>
        <row r="3439">
          <cell r="A3439" t="str">
            <v>diihexpglyc_c</v>
          </cell>
          <cell r="B3439" t="str">
            <v>diihexpglyc</v>
          </cell>
          <cell r="C3439" t="str">
            <v>Diisohexadecanoylphosphatidylglycerol</v>
          </cell>
        </row>
        <row r="3440">
          <cell r="A3440" t="str">
            <v>diipdpgly_c</v>
          </cell>
          <cell r="B3440" t="str">
            <v>diipdpgly</v>
          </cell>
          <cell r="C3440" t="str">
            <v>Diisopentadecanoylphosphatidylglycerol</v>
          </cell>
        </row>
        <row r="3441">
          <cell r="A3441" t="str">
            <v>dnspate_c</v>
          </cell>
          <cell r="B3441" t="str">
            <v>dnspate</v>
          </cell>
          <cell r="C3441" t="str">
            <v>4,4'-diaponeurosporenoate</v>
          </cell>
        </row>
        <row r="3442">
          <cell r="A3442" t="str">
            <v>epquetrna_c</v>
          </cell>
          <cell r="B3442" t="str">
            <v>epquetrna</v>
          </cell>
          <cell r="C3442" t="str">
            <v>Epoxyqueuosine34 in tRNA</v>
          </cell>
        </row>
        <row r="3443">
          <cell r="A3443" t="str">
            <v>gamm_c</v>
          </cell>
          <cell r="B3443" t="str">
            <v>gamm</v>
          </cell>
          <cell r="C3443" t="str">
            <v>Glucosamine malate</v>
          </cell>
        </row>
        <row r="3444">
          <cell r="A3444" t="str">
            <v>gcvHL_nhLA_c</v>
          </cell>
          <cell r="B3444" t="str">
            <v>gcvHL_nhLA</v>
          </cell>
          <cell r="C3444" t="str">
            <v>N-Lipoyl gcvh-L protein</v>
          </cell>
        </row>
        <row r="3445">
          <cell r="A3445" t="str">
            <v>gcvHdhlip_c</v>
          </cell>
          <cell r="B3445" t="str">
            <v>gcvHdhlip</v>
          </cell>
          <cell r="C3445" t="str">
            <v>Dihydrolipolprotein (gcvH)</v>
          </cell>
        </row>
        <row r="3446">
          <cell r="A3446" t="str">
            <v>gly_cys_c</v>
          </cell>
          <cell r="B3446" t="str">
            <v>gly_cys</v>
          </cell>
          <cell r="C3446" t="str">
            <v>Gly-Cys</v>
          </cell>
        </row>
        <row r="3447">
          <cell r="A3447" t="str">
            <v>gly_met_c</v>
          </cell>
          <cell r="B3447" t="str">
            <v>gly_met</v>
          </cell>
          <cell r="C3447" t="str">
            <v>Gly-Met</v>
          </cell>
        </row>
        <row r="3448">
          <cell r="A3448" t="str">
            <v>gly_tyr_c</v>
          </cell>
          <cell r="B3448" t="str">
            <v>gly_tyr</v>
          </cell>
          <cell r="C3448" t="str">
            <v>Gly-Tyr</v>
          </cell>
        </row>
        <row r="3449">
          <cell r="A3449" t="str">
            <v>gsno_c</v>
          </cell>
          <cell r="B3449" t="str">
            <v>gsno</v>
          </cell>
          <cell r="C3449" t="str">
            <v>S-nitrosoglutathione</v>
          </cell>
        </row>
        <row r="3450">
          <cell r="A3450" t="str">
            <v>his__D_c</v>
          </cell>
          <cell r="B3450" t="str">
            <v>his__D</v>
          </cell>
          <cell r="C3450" t="str">
            <v>Histidine D</v>
          </cell>
        </row>
        <row r="3451">
          <cell r="A3451" t="str">
            <v>isoh24s_c</v>
          </cell>
          <cell r="B3451" t="str">
            <v>isoh24s</v>
          </cell>
          <cell r="C3451" t="str">
            <v>Isoheptadecanoyllipoteichoic acid n=24  linked  N-acetyl-D-glucosamine</v>
          </cell>
        </row>
        <row r="3452">
          <cell r="A3452" t="str">
            <v>isopcard_c</v>
          </cell>
          <cell r="B3452" t="str">
            <v>isopcard</v>
          </cell>
          <cell r="C3452" t="str">
            <v>Isopentadecanoylcardiolipin B. subtilis</v>
          </cell>
        </row>
        <row r="3453">
          <cell r="A3453" t="str">
            <v>isotcard_c</v>
          </cell>
          <cell r="B3453" t="str">
            <v>isotcard</v>
          </cell>
          <cell r="C3453" t="str">
            <v>Isotetradecanoylcardiolipin B. subtilis</v>
          </cell>
        </row>
        <row r="3454">
          <cell r="A3454" t="str">
            <v>isovACP_c</v>
          </cell>
          <cell r="B3454" t="str">
            <v>isovACP</v>
          </cell>
          <cell r="C3454" t="str">
            <v>Isovaleryl-ACP</v>
          </cell>
        </row>
        <row r="3455">
          <cell r="A3455" t="str">
            <v>l23uo_c</v>
          </cell>
          <cell r="B3455" t="str">
            <v>l23uo</v>
          </cell>
          <cell r="C3455" t="str">
            <v>L-xylo-hex-3-ulonolactone</v>
          </cell>
        </row>
        <row r="3456">
          <cell r="A3456" t="str">
            <v>lysglugly_c</v>
          </cell>
          <cell r="B3456" t="str">
            <v>lysglugly</v>
          </cell>
          <cell r="C3456" t="str">
            <v>Lysine-glutamine-glycine tripeptide</v>
          </cell>
        </row>
        <row r="3457">
          <cell r="A3457" t="str">
            <v>mcres_c</v>
          </cell>
          <cell r="B3457" t="str">
            <v>mcres</v>
          </cell>
          <cell r="C3457" t="str">
            <v>M-Cresotic acid</v>
          </cell>
        </row>
        <row r="3458">
          <cell r="A3458" t="str">
            <v>msial_c</v>
          </cell>
          <cell r="B3458" t="str">
            <v>msial</v>
          </cell>
          <cell r="C3458" t="str">
            <v>3-Methylsalicylate</v>
          </cell>
        </row>
        <row r="3459">
          <cell r="A3459" t="str">
            <v>nacetlbdgl_c</v>
          </cell>
          <cell r="B3459" t="str">
            <v>nacetlbdgl</v>
          </cell>
          <cell r="C3459" t="str">
            <v>N-Acetyl-beta-D-mannosaminyl-1 4-N-acetyl-D- glucosaminyldiphosphoundecaprenol</v>
          </cell>
        </row>
        <row r="3460">
          <cell r="A3460" t="str">
            <v>nacetlbdglg2_c</v>
          </cell>
          <cell r="B3460" t="str">
            <v>nacetlbdglg2</v>
          </cell>
          <cell r="C3460" t="str">
            <v>Gro-P-Gro-P-ManNAc-GlcNAc-PP-undecaprenol</v>
          </cell>
        </row>
        <row r="3461">
          <cell r="A3461" t="str">
            <v>octACP_c</v>
          </cell>
          <cell r="B3461" t="str">
            <v>octACP</v>
          </cell>
          <cell r="C3461" t="str">
            <v>Octodecanoyl-ACP</v>
          </cell>
        </row>
        <row r="3462">
          <cell r="A3462" t="str">
            <v>palmt24s_c</v>
          </cell>
          <cell r="B3462" t="str">
            <v>palmt24s</v>
          </cell>
          <cell r="C3462" t="str">
            <v>Palmitoyllipoteichoic acid n=24  linked  glucose substituted</v>
          </cell>
        </row>
        <row r="3463">
          <cell r="A3463" t="str">
            <v>pep_met__L_c</v>
          </cell>
          <cell r="B3463" t="str">
            <v>pep_met__L</v>
          </cell>
          <cell r="C3463" t="str">
            <v>Peptide-L-methionine</v>
          </cell>
        </row>
        <row r="3464">
          <cell r="A3464" t="str">
            <v>pepm_w</v>
          </cell>
          <cell r="B3464" t="str">
            <v>pepm</v>
          </cell>
          <cell r="C3464" t="str">
            <v>Peptidoglycan monomer: ditrans,octacis-undecaprenyldiphospho-N-acetyl-(N-acetylglucosaminyl)muramoyl-L-alanyl-gamma-D-isoglutaminyl-L-lysyl-(glycyl)5-D-alanyl-D-alanine</v>
          </cell>
        </row>
        <row r="3465">
          <cell r="A3465" t="str">
            <v>psdp_c</v>
          </cell>
          <cell r="B3465" t="str">
            <v>psdp</v>
          </cell>
          <cell r="C3465" t="str">
            <v>Presqualene diphosphate</v>
          </cell>
        </row>
        <row r="3466">
          <cell r="A3466" t="str">
            <v>rbt5p_c</v>
          </cell>
          <cell r="B3466" t="str">
            <v>rbt5p</v>
          </cell>
          <cell r="C3466" t="str">
            <v>D-ribitol 5-phosphate</v>
          </cell>
        </row>
        <row r="3467">
          <cell r="A3467" t="str">
            <v>scys_c</v>
          </cell>
          <cell r="B3467" t="str">
            <v>scys</v>
          </cell>
          <cell r="C3467" t="str">
            <v>S-sulfo-L-cysteine</v>
          </cell>
        </row>
        <row r="3468">
          <cell r="A3468" t="str">
            <v>stear24s_c</v>
          </cell>
          <cell r="B3468" t="str">
            <v>stear24s</v>
          </cell>
          <cell r="C3468" t="str">
            <v>Stearoyllipoteichoic acid n=24  linked  N-acetyl-D-glucosamine</v>
          </cell>
        </row>
        <row r="3469">
          <cell r="A3469" t="str">
            <v>stfrnA_c</v>
          </cell>
          <cell r="B3469" t="str">
            <v>stfrnA</v>
          </cell>
          <cell r="C3469" t="str">
            <v>Staphyloferrin A</v>
          </cell>
        </row>
        <row r="3470">
          <cell r="A3470" t="str">
            <v>stphxln_c</v>
          </cell>
          <cell r="B3470" t="str">
            <v>stphxln</v>
          </cell>
          <cell r="C3470" t="str">
            <v>Staphyloxanthin</v>
          </cell>
        </row>
        <row r="3471">
          <cell r="A3471" t="str">
            <v>tvegeACP_c</v>
          </cell>
          <cell r="B3471" t="str">
            <v>tvegeACP</v>
          </cell>
          <cell r="C3471" t="str">
            <v>Trans-veg-2-enoyl-ACP</v>
          </cell>
        </row>
        <row r="3472">
          <cell r="A3472" t="str">
            <v>udcpp_w</v>
          </cell>
          <cell r="B3472" t="str">
            <v>udcpp</v>
          </cell>
          <cell r="C3472" t="str">
            <v>Undecaprenyl phosphate</v>
          </cell>
        </row>
        <row r="3473">
          <cell r="A3473" t="str">
            <v>updpamaglaa_c</v>
          </cell>
          <cell r="B3473" t="str">
            <v>updpamaglaa</v>
          </cell>
          <cell r="C3473" t="str">
            <v>Undecaprenyl-diphospho-N-acetylmuramoyl-L-alanyl-gamma-D-glutamyl-L-lysyl- D-alanyl-D-alanine</v>
          </cell>
        </row>
        <row r="3474">
          <cell r="A3474" t="str">
            <v>xNA_c</v>
          </cell>
          <cell r="B3474" t="str">
            <v>xNA</v>
          </cell>
          <cell r="C3474" t="str">
            <v>Staphylopine intermediate</v>
          </cell>
        </row>
        <row r="3475">
          <cell r="A3475" t="str">
            <v>mnl1p_e</v>
          </cell>
          <cell r="B3475" t="str">
            <v>mnl1p</v>
          </cell>
          <cell r="C3475" t="str">
            <v>D-Mannitol 1-phosphate</v>
          </cell>
        </row>
        <row r="3476">
          <cell r="A3476" t="str">
            <v>rbl_B_c</v>
          </cell>
          <cell r="B3476" t="str">
            <v>rbl_B</v>
          </cell>
          <cell r="C3476" t="str">
            <v>Salicin</v>
          </cell>
        </row>
        <row r="3477">
          <cell r="A3477" t="str">
            <v>dcaACP_e</v>
          </cell>
          <cell r="B3477" t="str">
            <v>dcaACP</v>
          </cell>
          <cell r="C3477" t="str">
            <v>Decanoyl-ACP (n-C10:0ACP)</v>
          </cell>
        </row>
        <row r="3478">
          <cell r="A3478" t="str">
            <v>arbt6p_e</v>
          </cell>
          <cell r="B3478" t="str">
            <v>arbt6p</v>
          </cell>
          <cell r="C3478" t="str">
            <v>Arbutin 6-phosphate</v>
          </cell>
        </row>
        <row r="3479">
          <cell r="A3479" t="str">
            <v>ohed_c</v>
          </cell>
          <cell r="B3479" t="str">
            <v>ohed</v>
          </cell>
          <cell r="C3479" t="str">
            <v>2 oxo hept 3 ene 1 7 dioic acid C7H8O5</v>
          </cell>
        </row>
        <row r="3480">
          <cell r="A3480" t="str">
            <v>14denlipidA_LptA_p</v>
          </cell>
          <cell r="B3480" t="str">
            <v>14denlipidA_LptA</v>
          </cell>
          <cell r="C3480" t="str">
            <v>1' 4' bisphosphoethanolamin lipidIVa C72H138N4O29P4</v>
          </cell>
        </row>
        <row r="3481">
          <cell r="A3481" t="str">
            <v>lipidAp_e</v>
          </cell>
          <cell r="B3481" t="str">
            <v>lipidAp</v>
          </cell>
          <cell r="C3481" t="str">
            <v>Lipid IVa with palmitoyl C84H156N2O24P2</v>
          </cell>
        </row>
        <row r="3482">
          <cell r="A3482" t="str">
            <v>lipa_LptA_p</v>
          </cell>
          <cell r="B3482" t="str">
            <v>lipa_LptA</v>
          </cell>
          <cell r="C3482" t="str">
            <v>KDO 2  lipid  A  C110H196N2O39P2</v>
          </cell>
        </row>
        <row r="3483">
          <cell r="A3483" t="str">
            <v>phhlipaA_c</v>
          </cell>
          <cell r="B3483" t="str">
            <v>phhlipaA</v>
          </cell>
          <cell r="C3483" t="str">
            <v>Phospho heptosyl heptosyl kdo2 lipidA C124H199N2O54P3</v>
          </cell>
        </row>
        <row r="3484">
          <cell r="A3484" t="str">
            <v>hlipaB_c</v>
          </cell>
          <cell r="B3484" t="str">
            <v>hlipaB</v>
          </cell>
          <cell r="C3484" t="str">
            <v>Heptosyl kdo2 lipidA with laurate C115H204N2O45P2</v>
          </cell>
        </row>
        <row r="3485">
          <cell r="A3485" t="str">
            <v>colipaF_p</v>
          </cell>
          <cell r="B3485" t="str">
            <v>colipaF</v>
          </cell>
          <cell r="C3485" t="str">
            <v>Core oligosaccharide lipid A with 1' diphosphate  C161H260N2O91P5</v>
          </cell>
        </row>
        <row r="3486">
          <cell r="A3486" t="str">
            <v>gammagund_c</v>
          </cell>
          <cell r="B3486" t="str">
            <v>gammagund</v>
          </cell>
          <cell r="C3486" t="str">
            <v>N acetylgalactosamyl mannosyl mannosyl N acetylglucosamyl undecaprenyl diphosphate C83H139N2O27P2</v>
          </cell>
        </row>
        <row r="3487">
          <cell r="A3487" t="str">
            <v>o6a2und_p</v>
          </cell>
          <cell r="B3487" t="str">
            <v>o6a2und</v>
          </cell>
          <cell r="C3487" t="str">
            <v xml:space="preserve"> O6 antigen x2 undecaprenyl diphosphate C123H210NO54P2</v>
          </cell>
        </row>
        <row r="3488">
          <cell r="A3488" t="str">
            <v>o6a3und_p</v>
          </cell>
          <cell r="B3488" t="str">
            <v>o6a3und</v>
          </cell>
          <cell r="C3488" t="str">
            <v xml:space="preserve"> O6 antigen x3 undecaprenyl diphosphate C157H270N2O76P2</v>
          </cell>
        </row>
        <row r="3489">
          <cell r="A3489" t="str">
            <v>o6a4und_p</v>
          </cell>
          <cell r="B3489" t="str">
            <v>o6a4und</v>
          </cell>
          <cell r="C3489" t="str">
            <v xml:space="preserve"> O6 antigen x4 undecaprenyl diphosphate C191H330N2O98P2</v>
          </cell>
        </row>
        <row r="3490">
          <cell r="A3490" t="str">
            <v>acolipa_LptA_p</v>
          </cell>
          <cell r="B3490" t="str">
            <v>acolipa_LptA</v>
          </cell>
          <cell r="C3490" t="str">
            <v>4 Amino 4 deoxy L arabinose modified core oligosaccharide lipid A C181H314N3O103P4</v>
          </cell>
        </row>
        <row r="3491">
          <cell r="A3491" t="str">
            <v>cdprbt_c</v>
          </cell>
          <cell r="B3491" t="str">
            <v>cdprbt</v>
          </cell>
          <cell r="C3491" t="str">
            <v>CDP-ribitol(2-)</v>
          </cell>
        </row>
        <row r="3492">
          <cell r="A3492" t="str">
            <v>4cnbt_c</v>
          </cell>
          <cell r="B3492" t="str">
            <v>4cnbt</v>
          </cell>
          <cell r="C3492" t="str">
            <v>4-carboxylatomethylenebut-2-en-4-olide</v>
          </cell>
        </row>
        <row r="3493">
          <cell r="A3493" t="str">
            <v>nagg_c</v>
          </cell>
          <cell r="B3493" t="str">
            <v>nagg</v>
          </cell>
          <cell r="C3493" t="str">
            <v>N-acetylglutaminylglutamine amide</v>
          </cell>
        </row>
        <row r="3494">
          <cell r="A3494" t="str">
            <v>2m3os_c</v>
          </cell>
          <cell r="B3494" t="str">
            <v>2m3os</v>
          </cell>
          <cell r="C3494" t="str">
            <v>2-methyl-3-oxosuccinate(2-)</v>
          </cell>
        </row>
        <row r="3495">
          <cell r="A3495" t="str">
            <v>hh3phac_c</v>
          </cell>
          <cell r="B3495" t="str">
            <v>hh3phac</v>
          </cell>
          <cell r="C3495" t="str">
            <v>3-hydroxyphenylacetate</v>
          </cell>
        </row>
        <row r="3496">
          <cell r="A3496" t="str">
            <v>dpchr_c</v>
          </cell>
          <cell r="B3496" t="str">
            <v>dpchr</v>
          </cell>
          <cell r="C3496" t="str">
            <v>2-L-Carboxy-2,3-dihydroindole-5,6-quinone</v>
          </cell>
        </row>
        <row r="3497">
          <cell r="A3497" t="str">
            <v>cvn_c</v>
          </cell>
          <cell r="B3497" t="str">
            <v>cvn</v>
          </cell>
          <cell r="C3497" t="str">
            <v>Cinnavalinante</v>
          </cell>
        </row>
        <row r="3498">
          <cell r="A3498" t="str">
            <v>a23op_c</v>
          </cell>
          <cell r="B3498" t="str">
            <v>a23op</v>
          </cell>
          <cell r="C3498" t="str">
            <v>3-Amino-2-oxopropyl phosphate</v>
          </cell>
        </row>
        <row r="3499">
          <cell r="A3499" t="str">
            <v>tetacp_c</v>
          </cell>
          <cell r="B3499" t="str">
            <v>tetacp</v>
          </cell>
          <cell r="C3499" t="str">
            <v>Tetradecanoyl-ACP</v>
          </cell>
        </row>
        <row r="3500">
          <cell r="A3500" t="str">
            <v>octeacp_c</v>
          </cell>
          <cell r="B3500" t="str">
            <v>octeacp</v>
          </cell>
          <cell r="C3500" t="str">
            <v>Octadecenoyl-ACP</v>
          </cell>
        </row>
        <row r="3501">
          <cell r="A3501" t="str">
            <v>dodecacid_c</v>
          </cell>
          <cell r="B3501" t="str">
            <v>dodecacid</v>
          </cell>
          <cell r="C3501" t="str">
            <v>Dodecanoic acid</v>
          </cell>
        </row>
        <row r="3502">
          <cell r="A3502" t="str">
            <v>pendecacid_c</v>
          </cell>
          <cell r="B3502" t="str">
            <v>pendecacid</v>
          </cell>
          <cell r="C3502" t="str">
            <v>Pentadecanoic acid</v>
          </cell>
        </row>
        <row r="3503">
          <cell r="A3503" t="str">
            <v>octadecacid_c</v>
          </cell>
          <cell r="B3503" t="str">
            <v>octadecacid</v>
          </cell>
          <cell r="C3503" t="str">
            <v>Octadecanoic acid</v>
          </cell>
        </row>
        <row r="3504">
          <cell r="A3504" t="str">
            <v>ag160_c</v>
          </cell>
          <cell r="B3504" t="str">
            <v>ag160</v>
          </cell>
          <cell r="C3504" t="str">
            <v>Acylglycerol</v>
          </cell>
        </row>
        <row r="3505">
          <cell r="A3505" t="str">
            <v>agps23_c</v>
          </cell>
          <cell r="B3505" t="str">
            <v>agps23</v>
          </cell>
          <cell r="C3505" t="str">
            <v>2-acyl-sn-glycero-3-phosphoserine</v>
          </cell>
        </row>
        <row r="3506">
          <cell r="A3506" t="str">
            <v>cav_c</v>
          </cell>
          <cell r="B3506" t="str">
            <v>cav</v>
          </cell>
          <cell r="C3506" t="str">
            <v>Cav c</v>
          </cell>
        </row>
        <row r="3507">
          <cell r="A3507" t="str">
            <v>15gl_c</v>
          </cell>
          <cell r="B3507" t="str">
            <v>15gl</v>
          </cell>
          <cell r="C3507" t="str">
            <v>D-Glucono-1,5-lactone</v>
          </cell>
        </row>
        <row r="3508">
          <cell r="A3508" t="str">
            <v>2mm_c</v>
          </cell>
          <cell r="B3508" t="str">
            <v>2mm</v>
          </cell>
          <cell r="C3508" t="str">
            <v>2-Methylmaleate</v>
          </cell>
        </row>
        <row r="3509">
          <cell r="A3509" t="str">
            <v>2o3h4pbut_c</v>
          </cell>
          <cell r="B3509" t="str">
            <v>2o3h4pbut</v>
          </cell>
          <cell r="C3509" t="str">
            <v>2-Oxo-3-hydroxy-4-phosphobutanoate</v>
          </cell>
        </row>
        <row r="3510">
          <cell r="A3510" t="str">
            <v>3a2oprop_c</v>
          </cell>
          <cell r="B3510" t="str">
            <v>3a2oprop</v>
          </cell>
          <cell r="C3510" t="str">
            <v>3-Amino-2-oxopropyl phosphate</v>
          </cell>
        </row>
        <row r="3511">
          <cell r="A3511" t="str">
            <v>3hechin_c</v>
          </cell>
          <cell r="B3511" t="str">
            <v>3hechin</v>
          </cell>
          <cell r="C3511" t="str">
            <v>3-Hydroxyechinenone</v>
          </cell>
        </row>
        <row r="3512">
          <cell r="A3512" t="str">
            <v>46dd4odtdpglc_c</v>
          </cell>
          <cell r="B3512" t="str">
            <v>46dd4odtdpglc</v>
          </cell>
          <cell r="C3512" t="str">
            <v>DTDP-4-oxo-6-deoxy-D-glucose</v>
          </cell>
        </row>
        <row r="3513">
          <cell r="A3513" t="str">
            <v>5drib_e</v>
          </cell>
          <cell r="B3513" t="str">
            <v>5drib</v>
          </cell>
          <cell r="C3513" t="str">
            <v>5'-deoxyribose</v>
          </cell>
        </row>
        <row r="3514">
          <cell r="A3514" t="str">
            <v>cn_c</v>
          </cell>
          <cell r="B3514" t="str">
            <v>cn</v>
          </cell>
          <cell r="C3514" t="str">
            <v>Cyanide ion</v>
          </cell>
        </row>
        <row r="3515">
          <cell r="A3515" t="str">
            <v>dadsn_c</v>
          </cell>
          <cell r="B3515" t="str">
            <v>dadsn</v>
          </cell>
          <cell r="C3515" t="str">
            <v>Deoxyadenosine</v>
          </cell>
        </row>
        <row r="3516">
          <cell r="A3516" t="str">
            <v>dtdprham_c</v>
          </cell>
          <cell r="B3516" t="str">
            <v>dtdprham</v>
          </cell>
          <cell r="C3516" t="str">
            <v>DTDP-4-dehydro-beta-L-rhamnose</v>
          </cell>
        </row>
        <row r="3517">
          <cell r="A3517" t="str">
            <v>e680_u</v>
          </cell>
          <cell r="B3517" t="str">
            <v>e680</v>
          </cell>
          <cell r="C3517" t="str">
            <v>Photons with 680nm wavelength</v>
          </cell>
        </row>
        <row r="3518">
          <cell r="A3518" t="str">
            <v>ficytc6_l</v>
          </cell>
          <cell r="B3518" t="str">
            <v>ficytc6</v>
          </cell>
          <cell r="C3518" t="str">
            <v>Ferricytochrome c6</v>
          </cell>
        </row>
        <row r="3519">
          <cell r="A3519" t="str">
            <v>hcn_c</v>
          </cell>
          <cell r="B3519" t="str">
            <v>hcn</v>
          </cell>
          <cell r="C3519" t="str">
            <v>Hydrogen cyanide</v>
          </cell>
        </row>
        <row r="3520">
          <cell r="A3520" t="str">
            <v>hdeceACP_c</v>
          </cell>
          <cell r="B3520" t="str">
            <v>hdeceACP</v>
          </cell>
          <cell r="C3520" t="str">
            <v>Hexadecenoyl-[acyl-carrier protein]</v>
          </cell>
        </row>
        <row r="3521">
          <cell r="A3521" t="str">
            <v>hemeB2p_y</v>
          </cell>
          <cell r="B3521" t="str">
            <v>hemeB2p</v>
          </cell>
          <cell r="C3521" t="str">
            <v>Heme B located in the Cytochrome-b6/f complex, twice protonated</v>
          </cell>
        </row>
        <row r="3522">
          <cell r="A3522" t="str">
            <v>hemeB3p_y</v>
          </cell>
          <cell r="B3522" t="str">
            <v>hemeB3p</v>
          </cell>
          <cell r="C3522" t="str">
            <v>Heme B located in the Cytochrome-b6/f complex, triply protonated</v>
          </cell>
        </row>
        <row r="3523">
          <cell r="A3523" t="str">
            <v>hemeX_u</v>
          </cell>
          <cell r="B3523" t="str">
            <v>hemeX</v>
          </cell>
          <cell r="C3523" t="str">
            <v>Heme X located in the Cytochrome-b6/f complex,</v>
          </cell>
        </row>
        <row r="3524">
          <cell r="A3524" t="str">
            <v>hemeXp_u</v>
          </cell>
          <cell r="B3524" t="str">
            <v>hemeXp</v>
          </cell>
          <cell r="C3524" t="str">
            <v>Heme X located in the Cytochrome-b6/f complex, protonated</v>
          </cell>
        </row>
        <row r="3525">
          <cell r="A3525" t="str">
            <v>photon_u</v>
          </cell>
          <cell r="B3525" t="str">
            <v>photon</v>
          </cell>
          <cell r="C3525" t="str">
            <v>Light</v>
          </cell>
        </row>
        <row r="3526">
          <cell r="A3526" t="str">
            <v>ind_c</v>
          </cell>
          <cell r="B3526" t="str">
            <v>ind</v>
          </cell>
          <cell r="C3526" t="str">
            <v>Indole</v>
          </cell>
        </row>
        <row r="3527">
          <cell r="A3527" t="str">
            <v>nicnt_c</v>
          </cell>
          <cell r="B3527" t="str">
            <v>nicnt</v>
          </cell>
          <cell r="C3527" t="str">
            <v>Nicotinate</v>
          </cell>
        </row>
        <row r="3528">
          <cell r="A3528" t="str">
            <v>p680_u</v>
          </cell>
          <cell r="B3528" t="str">
            <v>p680</v>
          </cell>
          <cell r="C3528" t="str">
            <v>PSII reaction center P680</v>
          </cell>
        </row>
        <row r="3529">
          <cell r="A3529" t="str">
            <v>p680p_u</v>
          </cell>
          <cell r="B3529" t="str">
            <v>p680p</v>
          </cell>
          <cell r="C3529" t="str">
            <v>Positive charged reaction centre of the Photosystem II</v>
          </cell>
        </row>
        <row r="3530">
          <cell r="A3530" t="str">
            <v>p700_u</v>
          </cell>
          <cell r="B3530" t="str">
            <v>p700</v>
          </cell>
          <cell r="C3530" t="str">
            <v>PSI reaction center P700</v>
          </cell>
        </row>
        <row r="3531">
          <cell r="A3531" t="str">
            <v>phb_c</v>
          </cell>
          <cell r="B3531" t="str">
            <v>phb</v>
          </cell>
          <cell r="C3531" t="str">
            <v>Poly-beta-hydroxybutyrate</v>
          </cell>
        </row>
        <row r="3532">
          <cell r="A3532" t="str">
            <v>pq_y</v>
          </cell>
          <cell r="B3532" t="str">
            <v>pq</v>
          </cell>
          <cell r="C3532" t="str">
            <v>Plastoquinone</v>
          </cell>
        </row>
        <row r="3533">
          <cell r="A3533" t="str">
            <v>pq_c</v>
          </cell>
          <cell r="B3533" t="str">
            <v>pq</v>
          </cell>
          <cell r="C3533" t="str">
            <v>Plastoquinone</v>
          </cell>
        </row>
        <row r="3534">
          <cell r="A3534" t="str">
            <v>pqh2_y</v>
          </cell>
          <cell r="B3534" t="str">
            <v>pqh2</v>
          </cell>
          <cell r="C3534" t="str">
            <v>Plastoquinol</v>
          </cell>
        </row>
        <row r="3535">
          <cell r="A3535" t="str">
            <v>pqhb6s_y</v>
          </cell>
          <cell r="B3535" t="str">
            <v>pqhb6s</v>
          </cell>
          <cell r="C3535" t="str">
            <v>Plastosemiquinone located at the stromal side of the Cytochrome-b6/f complex</v>
          </cell>
        </row>
        <row r="3536">
          <cell r="A3536" t="str">
            <v>qan_u</v>
          </cell>
          <cell r="B3536" t="str">
            <v>qan</v>
          </cell>
          <cell r="C3536" t="str">
            <v>Internal bound semiquinone radical of the Photosystem II</v>
          </cell>
        </row>
        <row r="3537">
          <cell r="A3537" t="str">
            <v>s2_u</v>
          </cell>
          <cell r="B3537" t="str">
            <v>s2</v>
          </cell>
          <cell r="C3537" t="str">
            <v>Second oxidation state of the cluster of manganese atoms in the Photosystem II</v>
          </cell>
        </row>
        <row r="3538">
          <cell r="A3538" t="str">
            <v>s4_u</v>
          </cell>
          <cell r="B3538" t="str">
            <v>s4</v>
          </cell>
          <cell r="C3538" t="str">
            <v>Fourth oxidation state of the cluster of manganese atoms in the Photosystem II</v>
          </cell>
        </row>
        <row r="3539">
          <cell r="A3539" t="str">
            <v>thptn_c</v>
          </cell>
          <cell r="B3539" t="str">
            <v>thptn</v>
          </cell>
          <cell r="C3539" t="str">
            <v>Tetrahydrobiopterin</v>
          </cell>
        </row>
        <row r="3540">
          <cell r="A3540" t="str">
            <v>trnarib_c</v>
          </cell>
          <cell r="B3540" t="str">
            <v>trnarib</v>
          </cell>
          <cell r="C3540" t="str">
            <v>TRNA containing ribothymidine at position 54</v>
          </cell>
        </row>
        <row r="3541">
          <cell r="A3541" t="str">
            <v>lprot_c</v>
          </cell>
          <cell r="B3541" t="str">
            <v>lprot</v>
          </cell>
          <cell r="C3541" t="str">
            <v>Lipoylprotein</v>
          </cell>
        </row>
        <row r="3542">
          <cell r="A3542" t="str">
            <v>naglc2p_L_dolp12_c</v>
          </cell>
          <cell r="B3542" t="str">
            <v>naglc2p_L_dolp12</v>
          </cell>
          <cell r="C3542" t="str">
            <v>N-Acetyl-D-glucosaminyl diphosphodolichol(12)</v>
          </cell>
        </row>
        <row r="3543">
          <cell r="A3543" t="str">
            <v>sphymyln_pf_18_1_16_0_g</v>
          </cell>
          <cell r="B3543" t="str">
            <v>sphymyln_pf_18_1_16_0</v>
          </cell>
          <cell r="C3543" t="str">
            <v>N-(hexadecanoyl)-sphing-4-enine-1-phosphocholine</v>
          </cell>
        </row>
        <row r="3544">
          <cell r="A3544" t="str">
            <v>pa_pf_20_4_20_4_c</v>
          </cell>
          <cell r="B3544" t="str">
            <v>pa_pf_20_4_20_4</v>
          </cell>
          <cell r="C3544" t="str">
            <v>Phosphatidic acid(plasmodium,C20:4,C20:4)</v>
          </cell>
        </row>
        <row r="3545">
          <cell r="A3545" t="str">
            <v>dhcrm_pf_18_0_18_0_c</v>
          </cell>
          <cell r="B3545" t="str">
            <v>dhcrm_pf_18_0_18_0</v>
          </cell>
          <cell r="C3545" t="str">
            <v>N-(octadecanoyl)-sphinganine</v>
          </cell>
        </row>
        <row r="3546">
          <cell r="A3546" t="str">
            <v>tag_pf_16_0_18_0_18_0_c</v>
          </cell>
          <cell r="B3546" t="str">
            <v>tag_pf_16_0_18_0_18_0</v>
          </cell>
          <cell r="C3546" t="str">
            <v>1-hexadecanoyl-2,3-dioctadecanoyl-sn-glycerol</v>
          </cell>
        </row>
        <row r="3547">
          <cell r="A3547" t="str">
            <v>tag_pf_18_0_18_0_18_1_c</v>
          </cell>
          <cell r="B3547" t="str">
            <v>tag_pf_18_0_18_0_18_1</v>
          </cell>
          <cell r="C3547" t="str">
            <v>1,2-dioctadecanoyl-3-(9Z-octadecenoyl)-sn-glycerol</v>
          </cell>
        </row>
        <row r="3548">
          <cell r="A3548" t="str">
            <v>pail34p_pf_18_0_18_1_c</v>
          </cell>
          <cell r="B3548" t="str">
            <v>pail34p_pf_18_0_18_1</v>
          </cell>
          <cell r="C3548" t="str">
            <v>Phosphatidylinositol 3,4-bisphosphate(plasmodium,C18:0,C18:1)</v>
          </cell>
        </row>
        <row r="3549">
          <cell r="A3549" t="str">
            <v>pail3p_pf_16_0_18_1_c</v>
          </cell>
          <cell r="B3549" t="str">
            <v>pail3p_pf_16_0_18_1</v>
          </cell>
          <cell r="C3549" t="str">
            <v>1-Phosphatidyl-1D-myo-inositol3-phosphate(plasmodium,C16:0,C18:1)</v>
          </cell>
        </row>
        <row r="3550">
          <cell r="A3550" t="str">
            <v>xolest_16_0_e</v>
          </cell>
          <cell r="B3550" t="str">
            <v>xolest_16_0</v>
          </cell>
          <cell r="C3550" t="str">
            <v>(chole)sterol ester</v>
          </cell>
        </row>
        <row r="3551">
          <cell r="A3551" t="str">
            <v>2dmmq4_c</v>
          </cell>
          <cell r="B3551" t="str">
            <v>2dmmq4</v>
          </cell>
          <cell r="C3551" t="str">
            <v>2-Demethylmenaquinone4</v>
          </cell>
        </row>
        <row r="3552">
          <cell r="A3552" t="str">
            <v>ap3a_c</v>
          </cell>
          <cell r="B3552" t="str">
            <v>ap3a</v>
          </cell>
          <cell r="C3552" t="str">
            <v>P1,P3-Bis(5-adenosyl)triphosphate</v>
          </cell>
        </row>
        <row r="3553">
          <cell r="A3553" t="str">
            <v>cdpdag_pf_16_0_18_0_c</v>
          </cell>
          <cell r="B3553" t="str">
            <v>cdpdag_pf_16_0_18_0</v>
          </cell>
          <cell r="C3553" t="str">
            <v>CDP diacylglycerol(plasmodium,C16:0,C18:0)</v>
          </cell>
        </row>
        <row r="3554">
          <cell r="A3554" t="str">
            <v>cdpdag_pf_18_0_18_1_c</v>
          </cell>
          <cell r="B3554" t="str">
            <v>cdpdag_pf_18_0_18_1</v>
          </cell>
          <cell r="C3554" t="str">
            <v>CDP diacylglycerol(plasmodium,C18:0,C18:1)</v>
          </cell>
        </row>
        <row r="3555">
          <cell r="A3555" t="str">
            <v>dag_pf_18_1_16_0_c</v>
          </cell>
          <cell r="B3555" t="str">
            <v>dag_pf_18_1_16_0</v>
          </cell>
          <cell r="C3555" t="str">
            <v>Diacylglycerol(plasmodium,C18:1,C16:0)</v>
          </cell>
        </row>
        <row r="3556">
          <cell r="A3556" t="str">
            <v>dag_pf_18_1_18_2_c</v>
          </cell>
          <cell r="B3556" t="str">
            <v>dag_pf_18_1_18_2</v>
          </cell>
          <cell r="C3556" t="str">
            <v>Diacylglycerol(plasmodium,C18:1,C18:2)</v>
          </cell>
        </row>
        <row r="3557">
          <cell r="A3557" t="str">
            <v>dag_pf_18_1_18_2_r</v>
          </cell>
          <cell r="B3557" t="str">
            <v>dag_pf_18_1_18_2</v>
          </cell>
          <cell r="C3557" t="str">
            <v>Diacylglycerol(plasmodium,C18:1,C18:2)</v>
          </cell>
        </row>
        <row r="3558">
          <cell r="A3558" t="str">
            <v>dag_pf_18_2_18_1_c</v>
          </cell>
          <cell r="B3558" t="str">
            <v>dag_pf_18_2_18_1</v>
          </cell>
          <cell r="C3558" t="str">
            <v>Diacylglycerol(plasmodium,C18:2,C18:1)</v>
          </cell>
        </row>
        <row r="3559">
          <cell r="A3559" t="str">
            <v>dag_pf_20_4_16_0_c</v>
          </cell>
          <cell r="B3559" t="str">
            <v>dag_pf_20_4_16_0</v>
          </cell>
          <cell r="C3559" t="str">
            <v>Diacylglycerol(plasmodium,C20:4,C16:0)</v>
          </cell>
        </row>
        <row r="3560">
          <cell r="A3560" t="str">
            <v>ddcpdp_c</v>
          </cell>
          <cell r="B3560" t="str">
            <v>ddcpdp</v>
          </cell>
          <cell r="C3560" t="str">
            <v>Dodecaprenyldiphosphate</v>
          </cell>
        </row>
        <row r="3561">
          <cell r="A3561" t="str">
            <v>dolichol11_c</v>
          </cell>
          <cell r="B3561" t="str">
            <v>dolichol11</v>
          </cell>
          <cell r="C3561" t="str">
            <v>Dolichol(11subunits)</v>
          </cell>
        </row>
        <row r="3562">
          <cell r="A3562" t="str">
            <v>dolichol12_c</v>
          </cell>
          <cell r="B3562" t="str">
            <v>dolichol12</v>
          </cell>
          <cell r="C3562" t="str">
            <v>Dolichol(12subunits)</v>
          </cell>
        </row>
        <row r="3563">
          <cell r="A3563" t="str">
            <v>lpchol_pf_16_0_c</v>
          </cell>
          <cell r="B3563" t="str">
            <v>lpchol_pf_16_0</v>
          </cell>
          <cell r="C3563" t="str">
            <v>Lysophosphatidyl choline(plasmodium,C16:0)</v>
          </cell>
        </row>
        <row r="3564">
          <cell r="A3564" t="str">
            <v>lpchol_pf_18_1_c</v>
          </cell>
          <cell r="B3564" t="str">
            <v>lpchol_pf_18_1</v>
          </cell>
          <cell r="C3564" t="str">
            <v>Lysophosphatidyl choline(plasmodium,C18:1)</v>
          </cell>
        </row>
        <row r="3565">
          <cell r="A3565" t="str">
            <v>lpchol_pf_18_2_c</v>
          </cell>
          <cell r="B3565" t="str">
            <v>lpchol_pf_18_2</v>
          </cell>
          <cell r="C3565" t="str">
            <v>Lysophosphatidyl choline(plasmodium,C18:2)</v>
          </cell>
        </row>
        <row r="3566">
          <cell r="A3566" t="str">
            <v>lpe_pf_18_1_c</v>
          </cell>
          <cell r="B3566" t="str">
            <v>lpe_pf_18_1</v>
          </cell>
          <cell r="C3566" t="str">
            <v>Lysophosphatidyl ethanolamine(plasmodium,C18:1)</v>
          </cell>
        </row>
        <row r="3567">
          <cell r="A3567" t="str">
            <v>lpe_pf_20_4_c</v>
          </cell>
          <cell r="B3567" t="str">
            <v>lpe_pf_20_4</v>
          </cell>
          <cell r="C3567" t="str">
            <v>Lysophosphatidyl ethanolamine(plasmodium,C20:4)</v>
          </cell>
        </row>
        <row r="3568">
          <cell r="A3568" t="str">
            <v>pail45p_pf_16_0_18_1_c</v>
          </cell>
          <cell r="B3568" t="str">
            <v>pail45p_pf_16_0_18_1</v>
          </cell>
          <cell r="C3568" t="str">
            <v>Phosphatidyl inositol4,5-bisphosphate(plasmodium,C16:0,C18:1)</v>
          </cell>
        </row>
        <row r="3569">
          <cell r="A3569" t="str">
            <v>pail45p_pf_18_0_18_1_c</v>
          </cell>
          <cell r="B3569" t="str">
            <v>pail45p_pf_18_0_18_1</v>
          </cell>
          <cell r="C3569" t="str">
            <v>Phosphatidyl inositol4,5-bisphosphate(plasmodium,C18:0,C18:1)</v>
          </cell>
        </row>
        <row r="3570">
          <cell r="A3570" t="str">
            <v>pail_pf_18_0_18_0_c</v>
          </cell>
          <cell r="B3570" t="str">
            <v>pail_pf_18_0_18_0</v>
          </cell>
          <cell r="C3570" t="str">
            <v>Phosphatidyl inositol(plasmodium,C18:0,C18:0)</v>
          </cell>
        </row>
        <row r="3571">
          <cell r="A3571" t="str">
            <v>pe_pf_16_0_18_2_r</v>
          </cell>
          <cell r="B3571" t="str">
            <v>pe_pf_16_0_18_2</v>
          </cell>
          <cell r="C3571" t="str">
            <v>Phosphatidyl ethanolamine(plasmodium,C16:0,C18:2)</v>
          </cell>
        </row>
        <row r="3572">
          <cell r="A3572" t="str">
            <v>pe_pf_18_2_18_2_r</v>
          </cell>
          <cell r="B3572" t="str">
            <v>pe_pf_18_2_18_2</v>
          </cell>
          <cell r="C3572" t="str">
            <v>Phosphatidyl ethanolamine(plasmodium,C18:2,C18:2)</v>
          </cell>
        </row>
        <row r="3573">
          <cell r="A3573" t="str">
            <v>pe_pf_16_0_18_2_c</v>
          </cell>
          <cell r="B3573" t="str">
            <v>pe_pf_16_0_18_2</v>
          </cell>
          <cell r="C3573" t="str">
            <v>Phosphatidyl ethanolamine(plasmodium,C16:0,C18:2)</v>
          </cell>
        </row>
        <row r="3574">
          <cell r="A3574" t="str">
            <v>pe_pf_18_2_18_2_c</v>
          </cell>
          <cell r="B3574" t="str">
            <v>pe_pf_18_2_18_2</v>
          </cell>
          <cell r="C3574" t="str">
            <v>Phosphatidyl ethanolamine(plasmodium,C18:2,C18:2)</v>
          </cell>
        </row>
        <row r="3575">
          <cell r="A3575" t="str">
            <v>pglyc_pf_16_0_18_1_c</v>
          </cell>
          <cell r="B3575" t="str">
            <v>pglyc_pf_16_0_18_1</v>
          </cell>
          <cell r="C3575" t="str">
            <v>Phosphatidyl glycerol(plasmodium)</v>
          </cell>
        </row>
        <row r="3576">
          <cell r="A3576" t="str">
            <v>pgp_pf_16_0_18_1_c</v>
          </cell>
          <cell r="B3576" t="str">
            <v>pgp_pf_16_0_18_1</v>
          </cell>
          <cell r="C3576" t="str">
            <v>Phosphatidyl glycerophsophate(plasmodium)</v>
          </cell>
        </row>
        <row r="3577">
          <cell r="A3577" t="str">
            <v>ps_pf_18_1_18_1_c</v>
          </cell>
          <cell r="B3577" t="str">
            <v>ps_pf_18_1_18_1</v>
          </cell>
          <cell r="C3577" t="str">
            <v>Phosphatidyl serine(plasmodium,C18:1,C18:1)</v>
          </cell>
        </row>
        <row r="3578">
          <cell r="A3578" t="str">
            <v>ps_pf_18_1_20_4_c</v>
          </cell>
          <cell r="B3578" t="str">
            <v>ps_pf_18_1_20_4</v>
          </cell>
          <cell r="C3578" t="str">
            <v>Phosphatidyl serine(plasmodium,C18:1,C20:4)</v>
          </cell>
        </row>
        <row r="3579">
          <cell r="A3579" t="str">
            <v>dag_pf_16_0_16_0_g</v>
          </cell>
          <cell r="B3579" t="str">
            <v>dag_pf_16_0_16_0</v>
          </cell>
          <cell r="C3579" t="str">
            <v>Diacylglycerol(plasmodium,C16:0,C16:0)</v>
          </cell>
        </row>
        <row r="3580">
          <cell r="A3580" t="str">
            <v>dag_pf_16_0_18_2_g</v>
          </cell>
          <cell r="B3580" t="str">
            <v>dag_pf_16_0_18_2</v>
          </cell>
          <cell r="C3580" t="str">
            <v>Diacylglycerol(plasmodium,C16:0,C18:2)</v>
          </cell>
        </row>
        <row r="3581">
          <cell r="A3581" t="str">
            <v>dag_pf_18_0_16_0_g</v>
          </cell>
          <cell r="B3581" t="str">
            <v>dag_pf_18_0_16_0</v>
          </cell>
          <cell r="C3581" t="str">
            <v>Diacylglycerol(plasmodium,C18:0,C16:0)</v>
          </cell>
        </row>
        <row r="3582">
          <cell r="A3582" t="str">
            <v>dag_pf_18_1_20_4_g</v>
          </cell>
          <cell r="B3582" t="str">
            <v>dag_pf_18_1_20_4</v>
          </cell>
          <cell r="C3582" t="str">
            <v>Diacylglycerol(plasmodium,C18:1,C20:4)</v>
          </cell>
        </row>
        <row r="3583">
          <cell r="A3583" t="str">
            <v>dag_pf_18_2_18_0_g</v>
          </cell>
          <cell r="B3583" t="str">
            <v>dag_pf_18_2_18_0</v>
          </cell>
          <cell r="C3583" t="str">
            <v>Diacylglycerol(plasmodium,C18:2,C18:0)</v>
          </cell>
        </row>
        <row r="3584">
          <cell r="A3584" t="str">
            <v>dag_pf_18_2_20_4_g</v>
          </cell>
          <cell r="B3584" t="str">
            <v>dag_pf_18_2_20_4</v>
          </cell>
          <cell r="C3584" t="str">
            <v>Diacylglycerol(plasmodium,C18:2,C20:4)</v>
          </cell>
        </row>
        <row r="3585">
          <cell r="A3585" t="str">
            <v>dag_pf_20_4_18_2_g</v>
          </cell>
          <cell r="B3585" t="str">
            <v>dag_pf_20_4_18_2</v>
          </cell>
          <cell r="C3585" t="str">
            <v>Diacylglycerol(plasmodium,C20:4,C18:2)</v>
          </cell>
        </row>
        <row r="3586">
          <cell r="A3586" t="str">
            <v>ethamp_g</v>
          </cell>
          <cell r="B3586" t="str">
            <v>ethamp</v>
          </cell>
          <cell r="C3586" t="str">
            <v>Ethanolamine phosphate C2H7NO4P</v>
          </cell>
        </row>
        <row r="3587">
          <cell r="A3587" t="str">
            <v>pchol_pf_16_0_16_0_g</v>
          </cell>
          <cell r="B3587" t="str">
            <v>pchol_pf_16_0_16_0</v>
          </cell>
          <cell r="C3587" t="str">
            <v>Phosphatidyl choline(plasmodium,C16:0,C16:0)</v>
          </cell>
        </row>
        <row r="3588">
          <cell r="A3588" t="str">
            <v>pchol_pf_16_0_18_1_g</v>
          </cell>
          <cell r="B3588" t="str">
            <v>pchol_pf_16_0_18_1</v>
          </cell>
          <cell r="C3588" t="str">
            <v>Phosphatidyl choline(plasmodium,C16:0,C18:1)</v>
          </cell>
        </row>
        <row r="3589">
          <cell r="A3589" t="str">
            <v>2fe2s_h</v>
          </cell>
          <cell r="B3589" t="str">
            <v>2fe2s</v>
          </cell>
          <cell r="C3589" t="str">
            <v>[2Fe-2S] iron-sulfur cluster</v>
          </cell>
        </row>
        <row r="3590">
          <cell r="A3590" t="str">
            <v>aoprd_h</v>
          </cell>
          <cell r="B3590" t="str">
            <v>aoprd</v>
          </cell>
          <cell r="C3590" t="str">
            <v>Antioxidant protein(reduced)</v>
          </cell>
        </row>
        <row r="3591">
          <cell r="A3591" t="str">
            <v>dpcoa_h</v>
          </cell>
          <cell r="B3591" t="str">
            <v>dpcoa</v>
          </cell>
          <cell r="C3591" t="str">
            <v>Dephospho-CoA</v>
          </cell>
        </row>
        <row r="3592">
          <cell r="A3592" t="str">
            <v>octapb_h</v>
          </cell>
          <cell r="B3592" t="str">
            <v>octapb</v>
          </cell>
          <cell r="C3592" t="str">
            <v>Octanoate (protein bound)</v>
          </cell>
        </row>
        <row r="3593">
          <cell r="A3593" t="str">
            <v>2omhmbl_m</v>
          </cell>
          <cell r="B3593" t="str">
            <v>2omhmbl</v>
          </cell>
          <cell r="C3593" t="str">
            <v>2-Octaprenyl-3-methyl-5-hydroxy-6-methoxy-1,4-benzoquinol</v>
          </cell>
        </row>
        <row r="3594">
          <cell r="A3594" t="str">
            <v>lipoate_m</v>
          </cell>
          <cell r="B3594" t="str">
            <v>lipoate</v>
          </cell>
          <cell r="C3594" t="str">
            <v>Lipoate</v>
          </cell>
        </row>
        <row r="3595">
          <cell r="A3595" t="str">
            <v>no3_m</v>
          </cell>
          <cell r="B3595" t="str">
            <v>no3</v>
          </cell>
          <cell r="C3595" t="str">
            <v>Nitrate</v>
          </cell>
        </row>
        <row r="3596">
          <cell r="A3596" t="str">
            <v>octdp_m</v>
          </cell>
          <cell r="B3596" t="str">
            <v>octdp</v>
          </cell>
          <cell r="C3596" t="str">
            <v>All-trans-Octaprenyl diphosphate</v>
          </cell>
        </row>
        <row r="3597">
          <cell r="A3597" t="str">
            <v>g6p_B_x</v>
          </cell>
          <cell r="B3597" t="str">
            <v>g6p_B</v>
          </cell>
          <cell r="C3597" t="str">
            <v>Beta D glucose 6 phosphate C6H11O9P</v>
          </cell>
        </row>
        <row r="3598">
          <cell r="A3598" t="str">
            <v>6pgc_x</v>
          </cell>
          <cell r="B3598" t="str">
            <v>6pgc</v>
          </cell>
          <cell r="C3598" t="str">
            <v>6-Phospho-D-gluconate</v>
          </cell>
        </row>
        <row r="3599">
          <cell r="A3599" t="str">
            <v>r5p_x</v>
          </cell>
          <cell r="B3599" t="str">
            <v>r5p</v>
          </cell>
          <cell r="C3599" t="str">
            <v>Alpha-D-Ribose 5-phosphate</v>
          </cell>
        </row>
        <row r="3600">
          <cell r="A3600" t="str">
            <v>rib__D_x</v>
          </cell>
          <cell r="B3600" t="str">
            <v>rib__D</v>
          </cell>
          <cell r="C3600" t="str">
            <v>D-Ribose</v>
          </cell>
        </row>
        <row r="3601">
          <cell r="A3601" t="str">
            <v>s7p_x</v>
          </cell>
          <cell r="B3601" t="str">
            <v>s7p</v>
          </cell>
          <cell r="C3601" t="str">
            <v>Sedoheptulose 7-phosphate</v>
          </cell>
        </row>
        <row r="3602">
          <cell r="A3602" t="str">
            <v>a_D_glucose_e</v>
          </cell>
          <cell r="B3602" t="str">
            <v>a_D_glucose</v>
          </cell>
          <cell r="C3602" t="str">
            <v>A DASH D DASH glucose c</v>
          </cell>
        </row>
        <row r="3603">
          <cell r="A3603" t="str">
            <v>urea_x</v>
          </cell>
          <cell r="B3603" t="str">
            <v>urea</v>
          </cell>
          <cell r="C3603" t="str">
            <v>Urea CH4N2O</v>
          </cell>
        </row>
        <row r="3604">
          <cell r="A3604" t="str">
            <v>mmalsa_m</v>
          </cell>
          <cell r="B3604" t="str">
            <v>mmalsa</v>
          </cell>
          <cell r="C3604" t="str">
            <v xml:space="preserve"> S  Methylmalonate semialdehyde C4H5O3</v>
          </cell>
        </row>
        <row r="3605">
          <cell r="A3605" t="str">
            <v>2theACP_m</v>
          </cell>
          <cell r="B3605" t="str">
            <v>2theACP</v>
          </cell>
          <cell r="C3605" t="str">
            <v>Trans Hex 2 enoyl acp C6H9OX</v>
          </cell>
        </row>
        <row r="3606">
          <cell r="A3606" t="str">
            <v>2toceACP_m</v>
          </cell>
          <cell r="B3606" t="str">
            <v>2toceACP</v>
          </cell>
          <cell r="C3606" t="str">
            <v>Trans Oct 2 enoyl acp C8H13OX</v>
          </cell>
        </row>
        <row r="3607">
          <cell r="A3607" t="str">
            <v>3hocACP_m</v>
          </cell>
          <cell r="B3607" t="str">
            <v>3hocACP</v>
          </cell>
          <cell r="C3607" t="str">
            <v>R-3-Hydroxyoctanoyl-acyl-carrier protein</v>
          </cell>
        </row>
        <row r="3608">
          <cell r="A3608" t="str">
            <v>2tdeACP_m</v>
          </cell>
          <cell r="B3608" t="str">
            <v>2tdeACP</v>
          </cell>
          <cell r="C3608" t="str">
            <v>Trans Dec 2 enoyl acyl carrier protein C10H17OX</v>
          </cell>
        </row>
        <row r="3609">
          <cell r="A3609" t="str">
            <v>2tddACP_m</v>
          </cell>
          <cell r="B3609" t="str">
            <v>2tddACP</v>
          </cell>
          <cell r="C3609" t="str">
            <v>Trans Dodec 2 enoyl acyl carrier protein C12H21OX</v>
          </cell>
        </row>
        <row r="3610">
          <cell r="A3610" t="str">
            <v>3oxocACP_m</v>
          </cell>
          <cell r="B3610" t="str">
            <v>3oxocACP</v>
          </cell>
          <cell r="C3610" t="str">
            <v>3-oxooctanoyl-acp</v>
          </cell>
        </row>
        <row r="3611">
          <cell r="A3611" t="str">
            <v>3oxocdacp_m</v>
          </cell>
          <cell r="B3611" t="str">
            <v>3oxocdacp</v>
          </cell>
          <cell r="C3611" t="str">
            <v>3 Oxooctadecanoyl acp</v>
          </cell>
        </row>
        <row r="3612">
          <cell r="A3612" t="str">
            <v>ddcoa_m</v>
          </cell>
          <cell r="B3612" t="str">
            <v>ddcoa</v>
          </cell>
          <cell r="C3612" t="str">
            <v>Dodecanoyl CoA  n C120CoA  C33H54N7O17P3S</v>
          </cell>
        </row>
        <row r="3613">
          <cell r="A3613" t="str">
            <v>ocd2coa_m</v>
          </cell>
          <cell r="B3613" t="str">
            <v>ocd2coa</v>
          </cell>
          <cell r="C3613" t="str">
            <v>Trans Oct 2 enoyl CoA C29H44N7O17P3S</v>
          </cell>
        </row>
        <row r="3614">
          <cell r="A3614" t="str">
            <v>alincoa_c</v>
          </cell>
          <cell r="B3614" t="str">
            <v>alincoa</v>
          </cell>
          <cell r="C3614" t="str">
            <v>Alpha Linoyl CoA  n C1839 12 15CoA  C39H60N7O17P3S</v>
          </cell>
        </row>
        <row r="3615">
          <cell r="A3615" t="str">
            <v>lincoa_c</v>
          </cell>
          <cell r="B3615" t="str">
            <v>lincoa</v>
          </cell>
          <cell r="C3615" t="str">
            <v>Linoleoyl CoA  n C1829 12CoA  C39H62N7O17P3S</v>
          </cell>
        </row>
        <row r="3616">
          <cell r="A3616" t="str">
            <v>gdpman_c</v>
          </cell>
          <cell r="B3616" t="str">
            <v>gdpman</v>
          </cell>
          <cell r="C3616" t="str">
            <v>GDP D mannose C16H23N5O16P2</v>
          </cell>
        </row>
        <row r="3617">
          <cell r="A3617" t="str">
            <v>mag_LM_c</v>
          </cell>
          <cell r="B3617" t="str">
            <v>mag_LM</v>
          </cell>
          <cell r="C3617" t="str">
            <v>Monoacylglycerol  L major  C2070H3862O400</v>
          </cell>
        </row>
        <row r="3618">
          <cell r="A3618" t="str">
            <v>ethap_m</v>
          </cell>
          <cell r="B3618" t="str">
            <v>ethap</v>
          </cell>
          <cell r="C3618" t="str">
            <v>Ethanolamine phosphate C2H7NO4P</v>
          </cell>
        </row>
        <row r="3619">
          <cell r="A3619" t="str">
            <v>strcoa_m</v>
          </cell>
          <cell r="B3619" t="str">
            <v>strcoa</v>
          </cell>
          <cell r="C3619" t="str">
            <v>Stearyl CoA  n C180CoA  C39H66N7O17P3S</v>
          </cell>
        </row>
        <row r="3620">
          <cell r="A3620" t="str">
            <v>alincoa_x</v>
          </cell>
          <cell r="B3620" t="str">
            <v>alincoa</v>
          </cell>
          <cell r="C3620" t="str">
            <v>Alpha Linoyl CoA  n C1839 12 15CoA  C39H60N7O17P3S</v>
          </cell>
        </row>
        <row r="3621">
          <cell r="A3621" t="str">
            <v>lincoa_x</v>
          </cell>
          <cell r="B3621" t="str">
            <v>lincoa</v>
          </cell>
          <cell r="C3621" t="str">
            <v>Linoleoyl CoA  n C1829 12CoA  C39H62N7O17P3S</v>
          </cell>
        </row>
        <row r="3622">
          <cell r="A3622" t="str">
            <v>CDPdag_LM_c</v>
          </cell>
          <cell r="B3622" t="str">
            <v>CDPdag_LM</v>
          </cell>
          <cell r="C3622" t="str">
            <v>CDP diacylglycerol  L major  C4740H8024N300O1500P200</v>
          </cell>
        </row>
        <row r="3623">
          <cell r="A3623" t="str">
            <v>pe_LM_c</v>
          </cell>
          <cell r="B3623" t="str">
            <v>pe_LM</v>
          </cell>
          <cell r="C3623" t="str">
            <v>Phosphatidylethanolamine C4040H7524N100O800P100</v>
          </cell>
        </row>
        <row r="3624">
          <cell r="A3624" t="str">
            <v>ptd3ino_LM_c</v>
          </cell>
          <cell r="B3624" t="str">
            <v>ptd3ino_LM</v>
          </cell>
          <cell r="C3624" t="str">
            <v>1 Phosphatidyl 1D myo inositol 3 phosphate C4440H7824O1600P200</v>
          </cell>
        </row>
        <row r="3625">
          <cell r="A3625" t="str">
            <v>nh3_x</v>
          </cell>
          <cell r="B3625" t="str">
            <v>nh3</v>
          </cell>
          <cell r="C3625" t="str">
            <v>Ammonia</v>
          </cell>
        </row>
        <row r="3626">
          <cell r="A3626" t="str">
            <v>trpdrd_n</v>
          </cell>
          <cell r="B3626" t="str">
            <v>trpdrd</v>
          </cell>
          <cell r="C3626" t="str">
            <v>Reduced tryparedoxin XH2</v>
          </cell>
        </row>
        <row r="3627">
          <cell r="A3627" t="str">
            <v>imp_x</v>
          </cell>
          <cell r="B3627" t="str">
            <v>imp</v>
          </cell>
          <cell r="C3627" t="str">
            <v>IMP C10H11N4O8P</v>
          </cell>
        </row>
        <row r="3628">
          <cell r="A3628" t="str">
            <v>prpp_x</v>
          </cell>
          <cell r="B3628" t="str">
            <v>prpp</v>
          </cell>
          <cell r="C3628" t="str">
            <v>5-Phospho-alpha-D-ribose 1-diphosphate</v>
          </cell>
        </row>
        <row r="3629">
          <cell r="A3629" t="str">
            <v>dgdp_r</v>
          </cell>
          <cell r="B3629" t="str">
            <v>dgdp</v>
          </cell>
          <cell r="C3629" t="str">
            <v>DGDP C10H12N5O10P2</v>
          </cell>
        </row>
        <row r="3630">
          <cell r="A3630" t="str">
            <v>co1dam_e</v>
          </cell>
          <cell r="B3630" t="str">
            <v>co1dam</v>
          </cell>
          <cell r="C3630" t="str">
            <v>Cob(I)yrinate a,c diamide</v>
          </cell>
        </row>
        <row r="3631">
          <cell r="A3631" t="str">
            <v>h2isocap_c</v>
          </cell>
          <cell r="B3631" t="str">
            <v>h2isocap</v>
          </cell>
          <cell r="C3631" t="str">
            <v>(R)-2-hydroxyisocaproate</v>
          </cell>
        </row>
        <row r="3632">
          <cell r="A3632" t="str">
            <v>acap_c</v>
          </cell>
          <cell r="B3632" t="str">
            <v>acap</v>
          </cell>
          <cell r="C3632" t="str">
            <v>Adenosyl-cobinamide phosphate</v>
          </cell>
        </row>
        <row r="3633">
          <cell r="A3633" t="str">
            <v>a53oh_c</v>
          </cell>
          <cell r="B3633" t="str">
            <v>a53oh</v>
          </cell>
          <cell r="C3633" t="str">
            <v>(S)-5-amino-3-oxohexanoate</v>
          </cell>
        </row>
        <row r="3634">
          <cell r="A3634" t="str">
            <v>dhettp_c</v>
          </cell>
          <cell r="B3634" t="str">
            <v>dhettp</v>
          </cell>
          <cell r="C3634" t="str">
            <v>Alpha,beta-dihydroxyethyl-TPP</v>
          </cell>
        </row>
        <row r="3635">
          <cell r="A3635" t="str">
            <v>i2ac_c</v>
          </cell>
          <cell r="B3635" t="str">
            <v>i2ac</v>
          </cell>
          <cell r="C3635" t="str">
            <v>2-iminoacetate</v>
          </cell>
        </row>
        <row r="3636">
          <cell r="A3636" t="str">
            <v>dachi_e</v>
          </cell>
          <cell r="B3636" t="str">
            <v>dachi</v>
          </cell>
          <cell r="C3636" t="str">
            <v>Diacetylchitobiose</v>
          </cell>
        </row>
        <row r="3637">
          <cell r="A3637" t="str">
            <v>d23hb_e</v>
          </cell>
          <cell r="B3637" t="str">
            <v>d23hb</v>
          </cell>
          <cell r="C3637" t="str">
            <v>2,3-dihydroxybenzoate</v>
          </cell>
        </row>
        <row r="3638">
          <cell r="A3638" t="str">
            <v>tmam_e</v>
          </cell>
          <cell r="B3638" t="str">
            <v>tmam</v>
          </cell>
          <cell r="C3638" t="str">
            <v>Trimethylamine</v>
          </cell>
        </row>
        <row r="3639">
          <cell r="A3639" t="str">
            <v>h4but_c</v>
          </cell>
          <cell r="B3639" t="str">
            <v>h4but</v>
          </cell>
          <cell r="C3639" t="str">
            <v>4-hydroxybutyrate</v>
          </cell>
        </row>
        <row r="3640">
          <cell r="A3640" t="str">
            <v>isobutp_c</v>
          </cell>
          <cell r="B3640" t="str">
            <v>isobutp</v>
          </cell>
          <cell r="C3640" t="str">
            <v>Isobutanoylphosphate</v>
          </cell>
        </row>
        <row r="3641">
          <cell r="A3641" t="str">
            <v>escul_e</v>
          </cell>
          <cell r="B3641" t="str">
            <v>escul</v>
          </cell>
          <cell r="C3641" t="str">
            <v>Esculin</v>
          </cell>
        </row>
        <row r="3642">
          <cell r="A3642" t="str">
            <v>m2butp_c</v>
          </cell>
          <cell r="B3642" t="str">
            <v>m2butp</v>
          </cell>
          <cell r="C3642" t="str">
            <v>2-methylbutanoyl-phosphate</v>
          </cell>
        </row>
        <row r="3643">
          <cell r="A3643" t="str">
            <v>cbshclin_c</v>
          </cell>
          <cell r="B3643" t="str">
            <v>cbshclin</v>
          </cell>
          <cell r="C3643" t="str">
            <v>Cobalt-sirohydrochlorin</v>
          </cell>
        </row>
        <row r="3644">
          <cell r="A3644" t="str">
            <v>d2rib1p_c</v>
          </cell>
          <cell r="B3644" t="str">
            <v>d2rib1p</v>
          </cell>
          <cell r="C3644" t="str">
            <v>2-deoxy-alpha-D-ribose 1-phosphate</v>
          </cell>
        </row>
        <row r="3645">
          <cell r="A3645" t="str">
            <v>isobuta_c</v>
          </cell>
          <cell r="B3645" t="str">
            <v>isobuta</v>
          </cell>
          <cell r="C3645" t="str">
            <v>Isobutyric acid</v>
          </cell>
        </row>
        <row r="3646">
          <cell r="A3646" t="str">
            <v>m4po_c</v>
          </cell>
          <cell r="B3646" t="str">
            <v>m4po</v>
          </cell>
          <cell r="C3646" t="str">
            <v>4-methylphenol</v>
          </cell>
        </row>
        <row r="3647">
          <cell r="A3647" t="str">
            <v>unsc_c</v>
          </cell>
          <cell r="B3647" t="str">
            <v>unsc</v>
          </cell>
          <cell r="C3647" t="str">
            <v>Unsulfurated [sulfur carrier]</v>
          </cell>
        </row>
        <row r="3648">
          <cell r="A3648" t="str">
            <v>isocap_e</v>
          </cell>
          <cell r="B3648" t="str">
            <v>isocap</v>
          </cell>
          <cell r="C3648" t="str">
            <v>Isocaproate</v>
          </cell>
        </row>
        <row r="3649">
          <cell r="A3649" t="str">
            <v>teichoic_c</v>
          </cell>
          <cell r="B3649" t="str">
            <v>teichoic</v>
          </cell>
          <cell r="C3649" t="str">
            <v>Teichoic acid</v>
          </cell>
        </row>
        <row r="3650">
          <cell r="A3650" t="str">
            <v>g3p_e</v>
          </cell>
          <cell r="B3650" t="str">
            <v>g3p</v>
          </cell>
          <cell r="C3650" t="str">
            <v>Glyceraldehyde 3-phosphate</v>
          </cell>
        </row>
        <row r="3651">
          <cell r="A3651" t="str">
            <v>man6pglyc_e</v>
          </cell>
          <cell r="B3651" t="str">
            <v>man6pglyc</v>
          </cell>
          <cell r="C3651" t="str">
            <v>2(alpha-D-Mannosyl-6-phosphate)-D-glycerate</v>
          </cell>
        </row>
        <row r="3652">
          <cell r="A3652" t="str">
            <v>DNA_c</v>
          </cell>
          <cell r="B3652" t="str">
            <v>DNA</v>
          </cell>
          <cell r="C3652" t="str">
            <v>Deoxyribonucleic acid</v>
          </cell>
        </row>
        <row r="3653">
          <cell r="A3653" t="str">
            <v>hicit_c</v>
          </cell>
          <cell r="B3653" t="str">
            <v>hicit</v>
          </cell>
          <cell r="C3653" t="str">
            <v>Homoisocitrate C7H7O7</v>
          </cell>
        </row>
        <row r="3654">
          <cell r="A3654" t="str">
            <v>c1yda_c</v>
          </cell>
          <cell r="B3654" t="str">
            <v>c1yda</v>
          </cell>
          <cell r="C3654" t="str">
            <v>Cob(I)yrinate a,c-diamide</v>
          </cell>
        </row>
        <row r="3655">
          <cell r="A3655" t="str">
            <v>ssc_c</v>
          </cell>
          <cell r="B3655" t="str">
            <v>ssc</v>
          </cell>
          <cell r="C3655" t="str">
            <v>Sulfurated [sulfur carrier]</v>
          </cell>
        </row>
        <row r="3656">
          <cell r="A3656" t="str">
            <v>uaccg_e</v>
          </cell>
          <cell r="B3656" t="str">
            <v>uaccg</v>
          </cell>
          <cell r="C3656" t="str">
            <v>UDP-N-acetyl-3-O-(1-carboxyvinyl)-D-glucosamine</v>
          </cell>
        </row>
        <row r="3657">
          <cell r="A3657" t="str">
            <v>gpgl_c</v>
          </cell>
          <cell r="B3657" t="str">
            <v>gpgl</v>
          </cell>
          <cell r="C3657" t="str">
            <v>Glycerophosphoglycoglycerolipid</v>
          </cell>
        </row>
        <row r="3658">
          <cell r="A3658" t="str">
            <v>m5t23dopp_c</v>
          </cell>
          <cell r="B3658" t="str">
            <v>m5t23dopp</v>
          </cell>
          <cell r="C3658" t="str">
            <v>5-(methylthio)-2,3-dioxopentyl phosphate</v>
          </cell>
        </row>
        <row r="3659">
          <cell r="A3659" t="str">
            <v>gcoa_c</v>
          </cell>
          <cell r="B3659" t="str">
            <v>gcoa</v>
          </cell>
          <cell r="C3659" t="str">
            <v>Glutaryl-CoA</v>
          </cell>
        </row>
        <row r="3660">
          <cell r="A3660" t="str">
            <v>myrstacp_c</v>
          </cell>
          <cell r="B3660" t="str">
            <v>myrstacp</v>
          </cell>
          <cell r="C3660" t="str">
            <v>Myristoyl-[acp]</v>
          </cell>
        </row>
        <row r="3661">
          <cell r="A3661" t="str">
            <v>octcoa_c</v>
          </cell>
          <cell r="B3661" t="str">
            <v>octcoa</v>
          </cell>
          <cell r="C3661" t="str">
            <v>Octanoyl-CoA</v>
          </cell>
        </row>
        <row r="3662">
          <cell r="A3662" t="str">
            <v>dodeccoa_c</v>
          </cell>
          <cell r="B3662" t="str">
            <v>dodeccoa</v>
          </cell>
          <cell r="C3662" t="str">
            <v>Dodecanoyl-CoA</v>
          </cell>
        </row>
        <row r="3663">
          <cell r="A3663" t="str">
            <v>o3ctcoa_c</v>
          </cell>
          <cell r="B3663" t="str">
            <v>o3ctcoa</v>
          </cell>
          <cell r="C3663" t="str">
            <v>(S)-3-Hydroxyoctanoyl-CoA</v>
          </cell>
        </row>
        <row r="3664">
          <cell r="A3664" t="str">
            <v>o3hacp_c</v>
          </cell>
          <cell r="B3664" t="str">
            <v>o3hacp</v>
          </cell>
          <cell r="C3664" t="str">
            <v>3-oxo-hexanoyl-[acp]</v>
          </cell>
        </row>
        <row r="3665">
          <cell r="A3665" t="str">
            <v>o3xooctcoa_c</v>
          </cell>
          <cell r="B3665" t="str">
            <v>o3xooctcoa</v>
          </cell>
          <cell r="C3665" t="str">
            <v>3-oxo-octanoyl-coa</v>
          </cell>
        </row>
        <row r="3666">
          <cell r="A3666" t="str">
            <v>o3xopalmcoa_c</v>
          </cell>
          <cell r="B3666" t="str">
            <v>o3xopalmcoa</v>
          </cell>
          <cell r="C3666" t="str">
            <v>3-oxo-palmitoyl-coa</v>
          </cell>
        </row>
        <row r="3667">
          <cell r="A3667" t="str">
            <v>toct2enacp_c</v>
          </cell>
          <cell r="B3667" t="str">
            <v>toct2enacp</v>
          </cell>
          <cell r="C3667" t="str">
            <v>Trans oct-2-enoyl-[acp]</v>
          </cell>
        </row>
        <row r="3668">
          <cell r="A3668" t="str">
            <v>dec22enacp_c</v>
          </cell>
          <cell r="B3668" t="str">
            <v>dec22enacp</v>
          </cell>
          <cell r="C3668" t="str">
            <v>(2E)-dec-2-enoyl-[acp]</v>
          </cell>
        </row>
        <row r="3669">
          <cell r="A3669" t="str">
            <v>ttetdec2enoylacp_c</v>
          </cell>
          <cell r="B3669" t="str">
            <v>ttetdec2enoylacp</v>
          </cell>
          <cell r="C3669" t="str">
            <v>Trans tetradec-2-enoyl-[acp]</v>
          </cell>
        </row>
        <row r="3670">
          <cell r="A3670" t="str">
            <v>thexdecenoylacp_c</v>
          </cell>
          <cell r="B3670" t="str">
            <v>thexdecenoylacp</v>
          </cell>
          <cell r="C3670" t="str">
            <v>Trans hexadecenoyl-[acp]</v>
          </cell>
        </row>
        <row r="3671">
          <cell r="A3671" t="str">
            <v>oct1decg3p_c</v>
          </cell>
          <cell r="B3671" t="str">
            <v>oct1decg3p</v>
          </cell>
          <cell r="C3671" t="str">
            <v>1-octadecanoyl-sn-glycerol 3-phosphate</v>
          </cell>
        </row>
        <row r="3672">
          <cell r="A3672" t="str">
            <v>digludstgl_c</v>
          </cell>
          <cell r="B3672" t="str">
            <v>digludstgl</v>
          </cell>
          <cell r="C3672" t="str">
            <v>Diglucosyl-1,2 distearoylglycerol</v>
          </cell>
        </row>
        <row r="3673">
          <cell r="A3673" t="str">
            <v>dgdi12octdec_c</v>
          </cell>
          <cell r="B3673" t="str">
            <v>dgdi12octdec</v>
          </cell>
          <cell r="C3673" t="str">
            <v>1,2-Diacyl-sn-glycerol dioctadecanoyl</v>
          </cell>
        </row>
        <row r="3674">
          <cell r="A3674" t="str">
            <v>cdpdhexdecglc_c</v>
          </cell>
          <cell r="B3674" t="str">
            <v>cdpdhexdecglc</v>
          </cell>
          <cell r="C3674" t="str">
            <v>CDP-1,2-dihexadecanoylglycerol</v>
          </cell>
        </row>
        <row r="3675">
          <cell r="A3675" t="str">
            <v>pgpditetdec_c</v>
          </cell>
          <cell r="B3675" t="str">
            <v>pgpditetdec</v>
          </cell>
          <cell r="C3675" t="str">
            <v>Phosphatidylglycerophosphate ditetradecanoyl</v>
          </cell>
        </row>
        <row r="3676">
          <cell r="A3676" t="str">
            <v>phosglcdihexdec_c</v>
          </cell>
          <cell r="B3676" t="str">
            <v>phosglcdihexdec</v>
          </cell>
          <cell r="C3676" t="str">
            <v>Phosphatidylglycerol dihexadecanoyl</v>
          </cell>
        </row>
        <row r="3677">
          <cell r="A3677" t="str">
            <v>myrphgl_c</v>
          </cell>
          <cell r="B3677" t="str">
            <v>myrphgl</v>
          </cell>
          <cell r="C3677" t="str">
            <v>Myristoyllysylphophatidylglycerol</v>
          </cell>
        </row>
        <row r="3678">
          <cell r="A3678" t="str">
            <v>palmcdlpn_c</v>
          </cell>
          <cell r="B3678" t="str">
            <v>palmcdlpn</v>
          </cell>
          <cell r="C3678" t="str">
            <v xml:space="preserve">Palmitoylcardiolipin </v>
          </cell>
        </row>
        <row r="3679">
          <cell r="A3679" t="str">
            <v>pmf_c</v>
          </cell>
          <cell r="B3679" t="str">
            <v>pmf</v>
          </cell>
          <cell r="C3679" t="str">
            <v>Proton motive force</v>
          </cell>
        </row>
        <row r="3680">
          <cell r="A3680" t="str">
            <v>sectrnasec_c</v>
          </cell>
          <cell r="B3680" t="str">
            <v>sectrnasec</v>
          </cell>
          <cell r="C3680" t="str">
            <v>L-Seryl-tRNA(Sec)</v>
          </cell>
        </row>
        <row r="3681">
          <cell r="A3681" t="str">
            <v>1ag160_e</v>
          </cell>
          <cell r="B3681" t="str">
            <v>1ag160</v>
          </cell>
          <cell r="C3681" t="str">
            <v>1 Acyl sn glycerol  hexadecanoate</v>
          </cell>
        </row>
        <row r="3682">
          <cell r="A3682" t="str">
            <v>1ag181d9_e</v>
          </cell>
          <cell r="B3682" t="str">
            <v>1ag181d9</v>
          </cell>
          <cell r="C3682" t="str">
            <v>1 Acyl sn glycerol  nC181d9</v>
          </cell>
        </row>
        <row r="3683">
          <cell r="A3683" t="str">
            <v>1pqq_c</v>
          </cell>
          <cell r="B3683" t="str">
            <v>1pqq</v>
          </cell>
          <cell r="C3683" t="str">
            <v>6  2 amino 2 carboxylatoethyl  7 hydroxy 8 oxo 1 2 3 4 7 8 hexahydroquinoline 2 4 dicarboxylate</v>
          </cell>
        </row>
        <row r="3684">
          <cell r="A3684" t="str">
            <v>25dkglcn_e</v>
          </cell>
          <cell r="B3684" t="str">
            <v>25dkglcn</v>
          </cell>
          <cell r="C3684" t="str">
            <v>2,5-diketo-D-gluconate</v>
          </cell>
        </row>
        <row r="3685">
          <cell r="A3685" t="str">
            <v>2hadnt_c</v>
          </cell>
          <cell r="B3685" t="str">
            <v>2hadnt</v>
          </cell>
          <cell r="C3685" t="str">
            <v>2 Hydroxylamino 4 6 dinitrotoluene</v>
          </cell>
        </row>
        <row r="3686">
          <cell r="A3686" t="str">
            <v>2m35mdntha_c</v>
          </cell>
          <cell r="B3686" t="str">
            <v>2m35mdntha</v>
          </cell>
          <cell r="C3686" t="str">
            <v>N  2 methyl 3 5 dinitrophenyl  4 methyl 3 5 dinitroaniline</v>
          </cell>
        </row>
        <row r="3687">
          <cell r="A3687" t="str">
            <v>35dnta_e</v>
          </cell>
          <cell r="B3687" t="str">
            <v>35dnta</v>
          </cell>
          <cell r="C3687" t="str">
            <v>N N bis 3 5 dinitrotolyl  amine</v>
          </cell>
        </row>
        <row r="3688">
          <cell r="A3688" t="str">
            <v>3h4atb_c</v>
          </cell>
          <cell r="B3688" t="str">
            <v>3h4atb</v>
          </cell>
          <cell r="C3688" t="str">
            <v>3 Hydroxy 4 acetylthiobutanoic acid</v>
          </cell>
        </row>
        <row r="3689">
          <cell r="A3689" t="str">
            <v>3h4atb_p</v>
          </cell>
          <cell r="B3689" t="str">
            <v>3h4atb</v>
          </cell>
          <cell r="C3689" t="str">
            <v>3 Hydroxy 4 acetylthiobutanoic acid</v>
          </cell>
        </row>
        <row r="3690">
          <cell r="A3690" t="str">
            <v>3h4atbcoa_c</v>
          </cell>
          <cell r="B3690" t="str">
            <v>3h4atbcoa</v>
          </cell>
          <cell r="C3690" t="str">
            <v>3 Hydroxy 4 acetylthiobutanyl CoA</v>
          </cell>
        </row>
        <row r="3691">
          <cell r="A3691" t="str">
            <v>3hasp__L_c</v>
          </cell>
          <cell r="B3691" t="str">
            <v>3hasp__L</v>
          </cell>
          <cell r="C3691" t="str">
            <v>Erythro 3 HydroxyL aspartate</v>
          </cell>
        </row>
        <row r="3692">
          <cell r="A3692" t="str">
            <v>3hdd6coa_c</v>
          </cell>
          <cell r="B3692" t="str">
            <v>3hdd6coa</v>
          </cell>
          <cell r="C3692" t="str">
            <v>S  3 hydroxy  6Z  dodedecenyl CoA</v>
          </cell>
        </row>
        <row r="3693">
          <cell r="A3693" t="str">
            <v>3hdec4coa_c</v>
          </cell>
          <cell r="B3693" t="str">
            <v>3hdec4coa</v>
          </cell>
          <cell r="C3693" t="str">
            <v>3 Hydroxy 4Z decenoyl CoA</v>
          </cell>
        </row>
        <row r="3694">
          <cell r="A3694" t="str">
            <v>3hhpcoa_c</v>
          </cell>
          <cell r="B3694" t="str">
            <v>3hhpcoa</v>
          </cell>
          <cell r="C3694" t="str">
            <v>3 Hydroxyheptanoyl CoA</v>
          </cell>
        </row>
        <row r="3695">
          <cell r="A3695" t="str">
            <v>3hphpcoa_c</v>
          </cell>
          <cell r="B3695" t="str">
            <v>3hphpcoa</v>
          </cell>
          <cell r="C3695" t="str">
            <v>3 Hydroxyphenylheptanoyl CoA</v>
          </cell>
        </row>
        <row r="3696">
          <cell r="A3696" t="str">
            <v>3htdccoa_c</v>
          </cell>
          <cell r="B3696" t="str">
            <v>3htdccoa</v>
          </cell>
          <cell r="C3696" t="str">
            <v>S  3 hydroxy  7Z  tetradecenyl CoA</v>
          </cell>
        </row>
        <row r="3697">
          <cell r="A3697" t="str">
            <v>3hvacccoa_c</v>
          </cell>
          <cell r="B3697" t="str">
            <v>3hvacccoa</v>
          </cell>
          <cell r="C3697" t="str">
            <v>3 hydroxy  11Z  octadecenyl CoA</v>
          </cell>
        </row>
        <row r="3698">
          <cell r="A3698" t="str">
            <v>3odd5coa_c</v>
          </cell>
          <cell r="B3698" t="str">
            <v>3odd5coa</v>
          </cell>
          <cell r="C3698" t="str">
            <v>3 oxo  5Z  tetradecenyl CoA</v>
          </cell>
        </row>
        <row r="3699">
          <cell r="A3699" t="str">
            <v>3ohdccoa_c</v>
          </cell>
          <cell r="B3699" t="str">
            <v>3ohdccoa</v>
          </cell>
          <cell r="C3699" t="str">
            <v>3 oxo  9Z  hexadecenyl CoA</v>
          </cell>
        </row>
        <row r="3700">
          <cell r="A3700" t="str">
            <v>3ohdd4coa_c</v>
          </cell>
          <cell r="B3700" t="str">
            <v>3ohdd4coa</v>
          </cell>
          <cell r="C3700" t="str">
            <v>3 oxo  4Z  hexadecenyl CoA</v>
          </cell>
        </row>
        <row r="3701">
          <cell r="A3701" t="str">
            <v>3olnlccoa_c</v>
          </cell>
          <cell r="B3701" t="str">
            <v>3olnlccoa</v>
          </cell>
          <cell r="C3701" t="str">
            <v>3 oxo  9Z 12Z  octadec dienyl CoA</v>
          </cell>
        </row>
        <row r="3702">
          <cell r="A3702" t="str">
            <v>3opbcoa_c</v>
          </cell>
          <cell r="B3702" t="str">
            <v>3opbcoa</v>
          </cell>
          <cell r="C3702" t="str">
            <v>3 Oxophenylbutanoyl CoA</v>
          </cell>
        </row>
        <row r="3703">
          <cell r="A3703" t="str">
            <v>3opptcoa_c</v>
          </cell>
          <cell r="B3703" t="str">
            <v>3opptcoa</v>
          </cell>
          <cell r="C3703" t="str">
            <v>3 Oxophenylpentanoyl CoA</v>
          </cell>
        </row>
        <row r="3704">
          <cell r="A3704" t="str">
            <v>3pqq_c</v>
          </cell>
          <cell r="B3704" t="str">
            <v>3pqq</v>
          </cell>
          <cell r="C3704" t="str">
            <v>2 amino 4 3  2 amino 2 carboxylatoethyl  6 oxocyclohexa 1 4 dien 1 ylpentanedioate</v>
          </cell>
        </row>
        <row r="3705">
          <cell r="A3705" t="str">
            <v>4atbcoa_c</v>
          </cell>
          <cell r="B3705" t="str">
            <v>4atbcoa</v>
          </cell>
          <cell r="C3705" t="str">
            <v>4 Acetylthiobutanoyl CoA</v>
          </cell>
        </row>
        <row r="3706">
          <cell r="A3706" t="str">
            <v>4hadnt_c</v>
          </cell>
          <cell r="B3706" t="str">
            <v>4hadnt</v>
          </cell>
          <cell r="C3706" t="str">
            <v>4 Hydroxylamino 2 6 dinitrotoluene</v>
          </cell>
        </row>
        <row r="3707">
          <cell r="A3707" t="str">
            <v>4hpro_DC_c</v>
          </cell>
          <cell r="B3707" t="str">
            <v>4hpro_DC</v>
          </cell>
          <cell r="C3707" t="str">
            <v>Cis 4 Hydroxy D proline</v>
          </cell>
        </row>
        <row r="3708">
          <cell r="A3708" t="str">
            <v>4hpro_DC_p</v>
          </cell>
          <cell r="B3708" t="str">
            <v>4hpro_DC</v>
          </cell>
          <cell r="C3708" t="str">
            <v>Cis 4 Hydroxy D proline</v>
          </cell>
        </row>
        <row r="3709">
          <cell r="A3709" t="str">
            <v>4hpro_LT_p</v>
          </cell>
          <cell r="B3709" t="str">
            <v>4hpro_LT</v>
          </cell>
          <cell r="C3709" t="str">
            <v>Trans 4 Hydroxy L proline C5H9NO3</v>
          </cell>
        </row>
        <row r="3710">
          <cell r="A3710" t="str">
            <v>4pqq_c</v>
          </cell>
          <cell r="B3710" t="str">
            <v>4pqq</v>
          </cell>
          <cell r="C3710" t="str">
            <v>2 amino 4 5  2 amino 2 carboxylatoethyl  2 hydroxyphenylpentanedioate</v>
          </cell>
        </row>
        <row r="3711">
          <cell r="A3711" t="str">
            <v>5aptn_p</v>
          </cell>
          <cell r="B3711" t="str">
            <v>5aptn</v>
          </cell>
          <cell r="C3711" t="str">
            <v>5-Aminopentanoate</v>
          </cell>
        </row>
        <row r="3712">
          <cell r="A3712" t="str">
            <v>5mcsn_p</v>
          </cell>
          <cell r="B3712" t="str">
            <v>5mcsn</v>
          </cell>
          <cell r="C3712" t="str">
            <v>5-Methylcytosine</v>
          </cell>
        </row>
        <row r="3713">
          <cell r="A3713" t="str">
            <v>6ath2coa_c</v>
          </cell>
          <cell r="B3713" t="str">
            <v>6ath2coa</v>
          </cell>
          <cell r="C3713" t="str">
            <v>6 acetylthiohex 2 enoyl CoA</v>
          </cell>
        </row>
        <row r="3714">
          <cell r="A3714" t="str">
            <v>6atha_p</v>
          </cell>
          <cell r="B3714" t="str">
            <v>6atha</v>
          </cell>
          <cell r="C3714" t="str">
            <v>6 acetylthiohexanoic acid</v>
          </cell>
        </row>
        <row r="3715">
          <cell r="A3715" t="str">
            <v>6athcoa_c</v>
          </cell>
          <cell r="B3715" t="str">
            <v>6athcoa</v>
          </cell>
          <cell r="C3715" t="str">
            <v>6 Acetylthiohexanoyl CoA</v>
          </cell>
        </row>
        <row r="3716">
          <cell r="A3716" t="str">
            <v>C120aPHA_c</v>
          </cell>
          <cell r="B3716" t="str">
            <v>C120aPHA</v>
          </cell>
          <cell r="C3716" t="str">
            <v>C120 Medium chain length Polyhydroxyalkanoate</v>
          </cell>
        </row>
        <row r="3717">
          <cell r="A3717" t="str">
            <v>C140aPHA_c</v>
          </cell>
          <cell r="B3717" t="str">
            <v>C140aPHA</v>
          </cell>
          <cell r="C3717" t="str">
            <v>C140 Medium chain length Polylydroxyalkanoate</v>
          </cell>
        </row>
        <row r="3718">
          <cell r="A3718" t="str">
            <v>C142PHA_c</v>
          </cell>
          <cell r="B3718" t="str">
            <v>C142PHA</v>
          </cell>
          <cell r="C3718" t="str">
            <v>C142 Medium chain length Polyhydroxyalkanoate</v>
          </cell>
        </row>
        <row r="3719">
          <cell r="A3719" t="str">
            <v>C40atPHA_c</v>
          </cell>
          <cell r="B3719" t="str">
            <v>C40atPHA</v>
          </cell>
          <cell r="C3719" t="str">
            <v>C40 Medium chain length acetylthio Polyhydroxyalkanoate</v>
          </cell>
        </row>
        <row r="3720">
          <cell r="A3720" t="str">
            <v>Ncbmpts_p</v>
          </cell>
          <cell r="B3720" t="str">
            <v>Ncbmpts</v>
          </cell>
          <cell r="C3720" t="str">
            <v>N-Carbamoylputrescine</v>
          </cell>
        </row>
        <row r="3721">
          <cell r="A3721" t="str">
            <v>PHAg_c</v>
          </cell>
          <cell r="B3721" t="str">
            <v>PHAg</v>
          </cell>
          <cell r="C3721" t="str">
            <v>Pre existent Polyhydroxyalkanoate granule</v>
          </cell>
        </row>
        <row r="3722">
          <cell r="A3722" t="str">
            <v>R3hdec4e_c</v>
          </cell>
          <cell r="B3722" t="str">
            <v>R3hdec4e</v>
          </cell>
          <cell r="C3722" t="str">
            <v xml:space="preserve"> 3 Hydroxy 4Z decenic acid</v>
          </cell>
        </row>
        <row r="3723">
          <cell r="A3723" t="str">
            <v>R3hdec4e_p</v>
          </cell>
          <cell r="B3723" t="str">
            <v>R3hdec4e</v>
          </cell>
          <cell r="C3723" t="str">
            <v xml:space="preserve"> 3 Hydroxy 4Z decenic acid</v>
          </cell>
        </row>
        <row r="3724">
          <cell r="A3724" t="str">
            <v>R_3h6athcoa_c</v>
          </cell>
          <cell r="B3724" t="str">
            <v>R_3h6athcoa</v>
          </cell>
          <cell r="C3724" t="str">
            <v xml:space="preserve"> 3 Hydroxy 6 acetylthiohexanoyl CoA</v>
          </cell>
        </row>
        <row r="3725">
          <cell r="A3725" t="str">
            <v>R_3hcmrs7e_e</v>
          </cell>
          <cell r="B3725" t="str">
            <v>R_3hcmrs7e</v>
          </cell>
          <cell r="C3725" t="str">
            <v xml:space="preserve"> 3 hydroxy cis myristol 7 en</v>
          </cell>
        </row>
        <row r="3726">
          <cell r="A3726" t="str">
            <v>R_3hdd6e_e</v>
          </cell>
          <cell r="B3726" t="str">
            <v>R_3hdd6e</v>
          </cell>
          <cell r="C3726" t="str">
            <v xml:space="preserve"> 3 Hydroxydodecanoic 6 en acid</v>
          </cell>
        </row>
        <row r="3727">
          <cell r="A3727" t="str">
            <v>R_3hhdca_c</v>
          </cell>
          <cell r="B3727" t="str">
            <v>R_3hhdca</v>
          </cell>
          <cell r="C3727" t="str">
            <v xml:space="preserve"> 3 Hydroxyhexadecanoic acid</v>
          </cell>
        </row>
        <row r="3728">
          <cell r="A3728" t="str">
            <v>R_3hhdca_p</v>
          </cell>
          <cell r="B3728" t="str">
            <v>R_3hhdca</v>
          </cell>
          <cell r="C3728" t="str">
            <v xml:space="preserve"> 3 Hydroxyhexadecanoic acid</v>
          </cell>
        </row>
        <row r="3729">
          <cell r="A3729" t="str">
            <v>R_3hhdcoa_c</v>
          </cell>
          <cell r="B3729" t="str">
            <v>R_3hhdcoa</v>
          </cell>
          <cell r="C3729" t="str">
            <v xml:space="preserve"> 3 Hydroxyhexadecanoyl CoA</v>
          </cell>
        </row>
        <row r="3730">
          <cell r="A3730" t="str">
            <v>R_3hhpcoa_c</v>
          </cell>
          <cell r="B3730" t="str">
            <v>R_3hhpcoa</v>
          </cell>
          <cell r="C3730" t="str">
            <v xml:space="preserve"> 3 Hydroxyheptanoyl CoA</v>
          </cell>
        </row>
        <row r="3731">
          <cell r="A3731" t="str">
            <v>R_3hhxa_c</v>
          </cell>
          <cell r="B3731" t="str">
            <v>R_3hhxa</v>
          </cell>
          <cell r="C3731" t="str">
            <v xml:space="preserve"> 3 hydroxyhexanoic acid</v>
          </cell>
        </row>
        <row r="3732">
          <cell r="A3732" t="str">
            <v>R_3hhxa_p</v>
          </cell>
          <cell r="B3732" t="str">
            <v>R_3hhxa</v>
          </cell>
          <cell r="C3732" t="str">
            <v xml:space="preserve"> 3 hydroxyhexanoic acid</v>
          </cell>
        </row>
        <row r="3733">
          <cell r="A3733" t="str">
            <v>R_3hnonacoa_c</v>
          </cell>
          <cell r="B3733" t="str">
            <v>R_3hnonacoa</v>
          </cell>
          <cell r="C3733" t="str">
            <v xml:space="preserve"> 3 Hydroxynonanoyl CoA</v>
          </cell>
        </row>
        <row r="3734">
          <cell r="A3734" t="str">
            <v>R_3hocta_c</v>
          </cell>
          <cell r="B3734" t="str">
            <v>R_3hocta</v>
          </cell>
          <cell r="C3734" t="str">
            <v xml:space="preserve"> 3 hydroxyoctanoic acid</v>
          </cell>
        </row>
        <row r="3735">
          <cell r="A3735" t="str">
            <v>R_3hocta_p</v>
          </cell>
          <cell r="B3735" t="str">
            <v>R_3hocta</v>
          </cell>
          <cell r="C3735" t="str">
            <v xml:space="preserve"> 3 hydroxyoctanoic acid</v>
          </cell>
        </row>
        <row r="3736">
          <cell r="A3736" t="str">
            <v>R_3hphxa_c</v>
          </cell>
          <cell r="B3736" t="str">
            <v>R_3hphxa</v>
          </cell>
          <cell r="C3736" t="str">
            <v xml:space="preserve"> 3 Hydroxy 6 phenylhexanoic acid</v>
          </cell>
        </row>
        <row r="3737">
          <cell r="A3737" t="str">
            <v>R_3hphxa_p</v>
          </cell>
          <cell r="B3737" t="str">
            <v>R_3hphxa</v>
          </cell>
          <cell r="C3737" t="str">
            <v xml:space="preserve"> 3 Hydroxy 6 phenylhexanoic acid</v>
          </cell>
        </row>
        <row r="3738">
          <cell r="A3738" t="str">
            <v>R_3hpnona_e</v>
          </cell>
          <cell r="B3738" t="str">
            <v>R_3hpnona</v>
          </cell>
          <cell r="C3738" t="str">
            <v xml:space="preserve"> 3 Hydroxy 9 phenylnonanoic acid</v>
          </cell>
        </row>
        <row r="3739">
          <cell r="A3739" t="str">
            <v>R_3hpocta_c</v>
          </cell>
          <cell r="B3739" t="str">
            <v>R_3hpocta</v>
          </cell>
          <cell r="C3739" t="str">
            <v xml:space="preserve"> 3 Hydroxy 8 phenyloctanoic acid</v>
          </cell>
        </row>
        <row r="3740">
          <cell r="A3740" t="str">
            <v>R_3hpocta_p</v>
          </cell>
          <cell r="B3740" t="str">
            <v>R_3hpocta</v>
          </cell>
          <cell r="C3740" t="str">
            <v xml:space="preserve"> 3 Hydroxy 8 phenyloctanoic acid</v>
          </cell>
        </row>
        <row r="3741">
          <cell r="A3741" t="str">
            <v>R_3hptcoa_c</v>
          </cell>
          <cell r="B3741" t="str">
            <v>R_3hptcoa</v>
          </cell>
          <cell r="C3741" t="str">
            <v xml:space="preserve"> 3 Hydroxpypentoyl CoA</v>
          </cell>
        </row>
        <row r="3742">
          <cell r="A3742" t="str">
            <v>R_3htd58e_c</v>
          </cell>
          <cell r="B3742" t="str">
            <v>R_3htd58e</v>
          </cell>
          <cell r="C3742" t="str">
            <v xml:space="preserve"> 3 hydroxy  5Z 8Z  tetradecedienic acid</v>
          </cell>
        </row>
        <row r="3743">
          <cell r="A3743" t="str">
            <v>R_3htd58e_p</v>
          </cell>
          <cell r="B3743" t="str">
            <v>R_3htd58e</v>
          </cell>
          <cell r="C3743" t="str">
            <v xml:space="preserve"> 3 hydroxy  5Z 8Z  tetradecedienic acid</v>
          </cell>
        </row>
        <row r="3744">
          <cell r="A3744" t="str">
            <v>R_3htd5e_e</v>
          </cell>
          <cell r="B3744" t="str">
            <v>R_3htd5e</v>
          </cell>
          <cell r="C3744" t="str">
            <v xml:space="preserve"> 3 hydroxy  5Z  tetradecenic acid</v>
          </cell>
        </row>
        <row r="3745">
          <cell r="A3745" t="str">
            <v>R_3httdca_e</v>
          </cell>
          <cell r="B3745" t="str">
            <v>R_3httdca</v>
          </cell>
          <cell r="C3745" t="str">
            <v xml:space="preserve"> 3 Hydroxytetradecanoic acid</v>
          </cell>
        </row>
        <row r="3746">
          <cell r="A3746" t="str">
            <v>ag_p</v>
          </cell>
          <cell r="B3746" t="str">
            <v>ag</v>
          </cell>
          <cell r="C3746" t="str">
            <v>Silver</v>
          </cell>
        </row>
        <row r="3747">
          <cell r="A3747" t="str">
            <v>alaleu_c</v>
          </cell>
          <cell r="B3747" t="str">
            <v>alaleu</v>
          </cell>
          <cell r="C3747" t="str">
            <v>L alaninylleucine</v>
          </cell>
        </row>
        <row r="3748">
          <cell r="A3748" t="str">
            <v>alaleu_p</v>
          </cell>
          <cell r="B3748" t="str">
            <v>alaleu</v>
          </cell>
          <cell r="C3748" t="str">
            <v>L alaninylleucine</v>
          </cell>
        </row>
        <row r="3749">
          <cell r="A3749" t="str">
            <v>alathr_c</v>
          </cell>
          <cell r="B3749" t="str">
            <v>alathr</v>
          </cell>
          <cell r="C3749" t="str">
            <v>L alaninylthreonine</v>
          </cell>
        </row>
        <row r="3750">
          <cell r="A3750" t="str">
            <v>alathr_p</v>
          </cell>
          <cell r="B3750" t="str">
            <v>alathr</v>
          </cell>
          <cell r="C3750" t="str">
            <v>L alaninylthreonine</v>
          </cell>
        </row>
        <row r="3751">
          <cell r="A3751" t="str">
            <v>algac_MG_14_e</v>
          </cell>
          <cell r="B3751" t="str">
            <v>algac_MG_14</v>
          </cell>
          <cell r="C3751" t="str">
            <v>Alginate  1 units of acetylated D mannuronate and 4 units ofL guluronate</v>
          </cell>
        </row>
        <row r="3752">
          <cell r="A3752" t="str">
            <v>algac_MG_23_p</v>
          </cell>
          <cell r="B3752" t="str">
            <v>algac_MG_23</v>
          </cell>
          <cell r="C3752" t="str">
            <v>Alginate  2 units of acetylated D mannuronate and 3 units ofL guluronate</v>
          </cell>
        </row>
        <row r="3753">
          <cell r="A3753" t="str">
            <v>apc_e</v>
          </cell>
          <cell r="B3753" t="str">
            <v>apc</v>
          </cell>
          <cell r="C3753" t="str">
            <v>Ampicillin</v>
          </cell>
        </row>
        <row r="3754">
          <cell r="A3754" t="str">
            <v>balagly_c</v>
          </cell>
          <cell r="B3754" t="str">
            <v>balagly</v>
          </cell>
          <cell r="C3754" t="str">
            <v>Beta alanylL glycine</v>
          </cell>
        </row>
        <row r="3755">
          <cell r="A3755" t="str">
            <v>balagly_p</v>
          </cell>
          <cell r="B3755" t="str">
            <v>balagly</v>
          </cell>
          <cell r="C3755" t="str">
            <v>Beta alanylL glycine</v>
          </cell>
        </row>
        <row r="3756">
          <cell r="A3756" t="str">
            <v>balaleu_e</v>
          </cell>
          <cell r="B3756" t="str">
            <v>balaleu</v>
          </cell>
          <cell r="C3756" t="str">
            <v>Beta alanylL leucine</v>
          </cell>
        </row>
        <row r="3757">
          <cell r="A3757" t="str">
            <v>biliverd_p</v>
          </cell>
          <cell r="B3757" t="str">
            <v>biliverd</v>
          </cell>
          <cell r="C3757" t="str">
            <v>Biliverdin cytosol</v>
          </cell>
        </row>
        <row r="3758">
          <cell r="A3758" t="str">
            <v>carn_p</v>
          </cell>
          <cell r="B3758" t="str">
            <v>carn</v>
          </cell>
          <cell r="C3758" t="str">
            <v>L-Carnosine</v>
          </cell>
        </row>
        <row r="3759">
          <cell r="A3759" t="str">
            <v>cell4_p</v>
          </cell>
          <cell r="B3759" t="str">
            <v>cell4</v>
          </cell>
          <cell r="C3759" t="str">
            <v>Cellulose (n=4 repeating units)</v>
          </cell>
        </row>
        <row r="3760">
          <cell r="A3760" t="str">
            <v>cmcbtt_e</v>
          </cell>
          <cell r="B3760" t="str">
            <v>cmcbtt</v>
          </cell>
          <cell r="C3760" t="str">
            <v>Carboxymycobactin T (R=8 carbon, final carbon is carboxyl group)</v>
          </cell>
        </row>
        <row r="3761">
          <cell r="A3761" t="str">
            <v>dag182d9d12_e</v>
          </cell>
          <cell r="B3761" t="str">
            <v>dag182d9d12</v>
          </cell>
          <cell r="C3761" t="str">
            <v>1 2 Diacyl sn glycerol  nC182d9d12</v>
          </cell>
        </row>
        <row r="3762">
          <cell r="A3762" t="str">
            <v>dde2coa_c</v>
          </cell>
          <cell r="B3762" t="str">
            <v>dde2coa</v>
          </cell>
          <cell r="C3762" t="str">
            <v>Trans cis dodedeca 2 5 dienoyl CoA</v>
          </cell>
        </row>
        <row r="3763">
          <cell r="A3763" t="str">
            <v>dec4coa_c</v>
          </cell>
          <cell r="B3763" t="str">
            <v>dec4coa</v>
          </cell>
          <cell r="C3763" t="str">
            <v>4 cis decenoyl CoA</v>
          </cell>
        </row>
        <row r="3764">
          <cell r="A3764" t="str">
            <v>dhcrncoa_c</v>
          </cell>
          <cell r="B3764" t="str">
            <v>dhcrncoa</v>
          </cell>
          <cell r="C3764" t="str">
            <v>3 dehydrocarnitine coenzyme A</v>
          </cell>
        </row>
        <row r="3765">
          <cell r="A3765" t="str">
            <v>dmso2_c</v>
          </cell>
          <cell r="B3765" t="str">
            <v>dmso2</v>
          </cell>
          <cell r="C3765" t="str">
            <v>Dimethyl sulfone</v>
          </cell>
        </row>
        <row r="3766">
          <cell r="A3766" t="str">
            <v>dmso2_p</v>
          </cell>
          <cell r="B3766" t="str">
            <v>dmso2</v>
          </cell>
          <cell r="C3766" t="str">
            <v>Dimethyl sulfone</v>
          </cell>
        </row>
        <row r="3767">
          <cell r="A3767" t="str">
            <v>ecto__L_e</v>
          </cell>
          <cell r="B3767" t="str">
            <v>ecto__L</v>
          </cell>
          <cell r="C3767" t="str">
            <v>L Ectoine</v>
          </cell>
        </row>
        <row r="3768">
          <cell r="A3768" t="str">
            <v>fbac_kt_c</v>
          </cell>
          <cell r="B3768" t="str">
            <v>fbac_kt</v>
          </cell>
          <cell r="C3768" t="str">
            <v>Ferribactin  Pputida KT2440 specific</v>
          </cell>
        </row>
        <row r="3769">
          <cell r="A3769" t="str">
            <v>fbac_kt_p</v>
          </cell>
          <cell r="B3769" t="str">
            <v>fbac_kt</v>
          </cell>
          <cell r="C3769" t="str">
            <v>Ferribactin  Pputida KT2440 specific</v>
          </cell>
        </row>
        <row r="3770">
          <cell r="A3770" t="str">
            <v>fcmcbtt_e</v>
          </cell>
          <cell r="B3770" t="str">
            <v>fcmcbtt</v>
          </cell>
          <cell r="C3770" t="str">
            <v>Iron(III) chelated carboxymycobactin T (R=8 carbon, final carbon is carboxyl group)</v>
          </cell>
        </row>
        <row r="3771">
          <cell r="A3771" t="str">
            <v>fdxr_22_c</v>
          </cell>
          <cell r="B3771" t="str">
            <v>fdxr_22</v>
          </cell>
          <cell r="C3771" t="str">
            <v>Ferredoxin  oxided form 2Fe 2S</v>
          </cell>
        </row>
        <row r="3772">
          <cell r="A3772" t="str">
            <v>fe3mcbtt_e</v>
          </cell>
          <cell r="B3772" t="str">
            <v>fe3mcbtt</v>
          </cell>
          <cell r="C3772" t="str">
            <v>Iron III  chelated mycobactin T</v>
          </cell>
        </row>
        <row r="3773">
          <cell r="A3773" t="str">
            <v>fe3pyovd_kt_p</v>
          </cell>
          <cell r="B3773" t="str">
            <v>fe3pyovd_kt</v>
          </cell>
          <cell r="C3773" t="str">
            <v>Ferrypyoverdine  P putida KT2440 specific</v>
          </cell>
        </row>
        <row r="3774">
          <cell r="A3774" t="str">
            <v>galhhlipa_kt_c</v>
          </cell>
          <cell r="B3774" t="str">
            <v>galhhlipa_kt</v>
          </cell>
          <cell r="C3774" t="str">
            <v>Galactosyl heptosyl heptosyl kdo2 lipidA</v>
          </cell>
        </row>
        <row r="3775">
          <cell r="A3775" t="str">
            <v>gdpmanur_c</v>
          </cell>
          <cell r="B3775" t="str">
            <v>gdpmanur</v>
          </cell>
          <cell r="C3775" t="str">
            <v>GDP D mannuronate</v>
          </cell>
        </row>
        <row r="3776">
          <cell r="A3776" t="str">
            <v>ggala_B_c</v>
          </cell>
          <cell r="B3776" t="str">
            <v>ggala_B</v>
          </cell>
          <cell r="C3776" t="str">
            <v>Gamma glutamyl gamma beta Aminopropionate</v>
          </cell>
        </row>
        <row r="3777">
          <cell r="A3777" t="str">
            <v>ggaptn_c</v>
          </cell>
          <cell r="B3777" t="str">
            <v>ggaptn</v>
          </cell>
          <cell r="C3777" t="str">
            <v>Gamma glutamyl gamma delta Aminovalerate acid</v>
          </cell>
        </row>
        <row r="3778">
          <cell r="A3778" t="str">
            <v>glybcoa_c</v>
          </cell>
          <cell r="B3778" t="str">
            <v>glybcoa</v>
          </cell>
          <cell r="C3778" t="str">
            <v>Glycine betaine coenzyme A</v>
          </cell>
        </row>
        <row r="3779">
          <cell r="A3779" t="str">
            <v>glycol_e</v>
          </cell>
          <cell r="B3779" t="str">
            <v>glycol</v>
          </cell>
          <cell r="C3779" t="str">
            <v>Glycol</v>
          </cell>
        </row>
        <row r="3780">
          <cell r="A3780" t="str">
            <v>glyglu_e</v>
          </cell>
          <cell r="B3780" t="str">
            <v>glyglu</v>
          </cell>
          <cell r="C3780" t="str">
            <v>L glycinylglutamate</v>
          </cell>
        </row>
        <row r="3781">
          <cell r="A3781" t="str">
            <v>glyphe_p</v>
          </cell>
          <cell r="B3781" t="str">
            <v>glyphe</v>
          </cell>
          <cell r="C3781" t="str">
            <v>Glycylphenylalanine</v>
          </cell>
        </row>
        <row r="3782">
          <cell r="A3782" t="str">
            <v>gudptn_e</v>
          </cell>
          <cell r="B3782" t="str">
            <v>gudptn</v>
          </cell>
          <cell r="C3782" t="str">
            <v>Delta Guanidinovaleric acid</v>
          </cell>
        </row>
        <row r="3783">
          <cell r="A3783" t="str">
            <v>hcys__L_p</v>
          </cell>
          <cell r="B3783" t="str">
            <v>hcys__L</v>
          </cell>
          <cell r="C3783" t="str">
            <v>L-Homocysteine</v>
          </cell>
        </row>
        <row r="3784">
          <cell r="A3784" t="str">
            <v>hd_7_10_coa_c</v>
          </cell>
          <cell r="B3784" t="str">
            <v>hd_7_10_coa</v>
          </cell>
          <cell r="C3784" t="str">
            <v>Cis cis hexadec 7 10 dienoyl CoA</v>
          </cell>
        </row>
        <row r="3785">
          <cell r="A3785" t="str">
            <v>hdd4coa_c</v>
          </cell>
          <cell r="B3785" t="str">
            <v>hdd4coa</v>
          </cell>
          <cell r="C3785" t="str">
            <v>Cis hexadec 4 enoyl CoA</v>
          </cell>
        </row>
        <row r="3786">
          <cell r="A3786" t="str">
            <v>hishis_e</v>
          </cell>
          <cell r="B3786" t="str">
            <v>hishis</v>
          </cell>
          <cell r="C3786" t="str">
            <v>L histidinylhistidine</v>
          </cell>
        </row>
        <row r="3787">
          <cell r="A3787" t="str">
            <v>leu__D_e</v>
          </cell>
          <cell r="B3787" t="str">
            <v>leu__D</v>
          </cell>
          <cell r="C3787" t="str">
            <v>D Leucine</v>
          </cell>
        </row>
        <row r="3788">
          <cell r="A3788" t="str">
            <v>leuleu_p</v>
          </cell>
          <cell r="B3788" t="str">
            <v>leuleu</v>
          </cell>
          <cell r="C3788" t="str">
            <v>Leucylleucine</v>
          </cell>
        </row>
        <row r="3789">
          <cell r="A3789" t="str">
            <v>lipid4L_kt_c</v>
          </cell>
          <cell r="B3789" t="str">
            <v>lipid4L_kt</v>
          </cell>
          <cell r="C3789" t="str">
            <v>Lipid IV A  with laurate</v>
          </cell>
        </row>
        <row r="3790">
          <cell r="A3790" t="str">
            <v>lnlc2coa_c</v>
          </cell>
          <cell r="B3790" t="str">
            <v>lnlc2coa</v>
          </cell>
          <cell r="C3790" t="str">
            <v>Trans cis cis octadeca 2 9 12 trienoyl CoA</v>
          </cell>
        </row>
        <row r="3791">
          <cell r="A3791" t="str">
            <v>lnlc_p</v>
          </cell>
          <cell r="B3791" t="str">
            <v>lnlc</v>
          </cell>
          <cell r="C3791" t="str">
            <v>Linoleic acid (all cis C18:2) n-6</v>
          </cell>
        </row>
        <row r="3792">
          <cell r="A3792" t="str">
            <v>lpp181_p</v>
          </cell>
          <cell r="B3792" t="str">
            <v>lpp181</v>
          </cell>
          <cell r="C3792" t="str">
            <v>Lipoprotein acylated  C181</v>
          </cell>
        </row>
        <row r="3793">
          <cell r="A3793" t="str">
            <v>lpspput_e</v>
          </cell>
          <cell r="B3793" t="str">
            <v>lpspput</v>
          </cell>
          <cell r="C3793" t="str">
            <v>Lipopolysacharide  LPS  from P putida KT2440</v>
          </cell>
        </row>
        <row r="3794">
          <cell r="A3794" t="str">
            <v>manur_e</v>
          </cell>
          <cell r="B3794" t="str">
            <v>manur</v>
          </cell>
          <cell r="C3794" t="str">
            <v>D Mannuronate</v>
          </cell>
        </row>
        <row r="3795">
          <cell r="A3795" t="str">
            <v>mthd_c</v>
          </cell>
          <cell r="B3795" t="str">
            <v>mthd</v>
          </cell>
          <cell r="C3795" t="str">
            <v>N Methylhydantoin</v>
          </cell>
        </row>
        <row r="3796">
          <cell r="A3796" t="str">
            <v>nona2coa_c</v>
          </cell>
          <cell r="B3796" t="str">
            <v>nona2coa</v>
          </cell>
          <cell r="C3796" t="str">
            <v>Nona 2 enoyl CoA</v>
          </cell>
        </row>
        <row r="3797">
          <cell r="A3797" t="str">
            <v>nona_e</v>
          </cell>
          <cell r="B3797" t="str">
            <v>nona</v>
          </cell>
          <cell r="C3797" t="str">
            <v>Nonanoate C9H17O2</v>
          </cell>
        </row>
        <row r="3798">
          <cell r="A3798" t="str">
            <v>o_xyl_c</v>
          </cell>
          <cell r="B3798" t="str">
            <v>o_xyl</v>
          </cell>
          <cell r="C3798" t="str">
            <v>O methyltoluene</v>
          </cell>
        </row>
        <row r="3799">
          <cell r="A3799" t="str">
            <v>o_xyl_p</v>
          </cell>
          <cell r="B3799" t="str">
            <v>o_xyl</v>
          </cell>
          <cell r="C3799" t="str">
            <v>O methyltoluene</v>
          </cell>
        </row>
        <row r="3800">
          <cell r="A3800" t="str">
            <v>orn__D_p</v>
          </cell>
          <cell r="B3800" t="str">
            <v>orn__D</v>
          </cell>
          <cell r="C3800" t="str">
            <v>D-Ornithine</v>
          </cell>
        </row>
        <row r="3801">
          <cell r="A3801" t="str">
            <v>pb2_e</v>
          </cell>
          <cell r="B3801" t="str">
            <v>pb2</v>
          </cell>
          <cell r="C3801" t="str">
            <v>Pb2</v>
          </cell>
        </row>
        <row r="3802">
          <cell r="A3802" t="str">
            <v>pbcoa_c</v>
          </cell>
          <cell r="B3802" t="str">
            <v>pbcoa</v>
          </cell>
          <cell r="C3802" t="str">
            <v>4 Phenyl butyryl CoA Phe C4CoA</v>
          </cell>
        </row>
        <row r="3803">
          <cell r="A3803" t="str">
            <v>pg161e9_p</v>
          </cell>
          <cell r="B3803" t="str">
            <v>pg161e9</v>
          </cell>
          <cell r="C3803" t="str">
            <v>Phosphatidylglycerol  dihexadec  9E  enoyl  n C161 trans</v>
          </cell>
        </row>
        <row r="3804">
          <cell r="A3804" t="str">
            <v>phenona_e</v>
          </cell>
          <cell r="B3804" t="str">
            <v>phenona</v>
          </cell>
          <cell r="C3804" t="str">
            <v>9 Phenylnonanoic acid</v>
          </cell>
        </row>
        <row r="3805">
          <cell r="A3805" t="str">
            <v>phept_e</v>
          </cell>
          <cell r="B3805" t="str">
            <v>phept</v>
          </cell>
          <cell r="C3805" t="str">
            <v>5 phenylvaleric acid</v>
          </cell>
        </row>
        <row r="3806">
          <cell r="A3806" t="str">
            <v>phppcoa_c</v>
          </cell>
          <cell r="B3806" t="str">
            <v>phppcoa</v>
          </cell>
          <cell r="C3806" t="str">
            <v>3 Phenyl propionyl CoA Phe C30 CoA</v>
          </cell>
        </row>
        <row r="3807">
          <cell r="A3807" t="str">
            <v>phxa2coa_c</v>
          </cell>
          <cell r="B3807" t="str">
            <v>phxa2coa</v>
          </cell>
          <cell r="C3807" t="str">
            <v>Phenyl hexa 2 enoyl CoA</v>
          </cell>
        </row>
        <row r="3808">
          <cell r="A3808" t="str">
            <v>pnona2coa_c</v>
          </cell>
          <cell r="B3808" t="str">
            <v>pnona2coa</v>
          </cell>
          <cell r="C3808" t="str">
            <v>Phenyl nona 2 enoyl CoA</v>
          </cell>
        </row>
        <row r="3809">
          <cell r="A3809" t="str">
            <v>pocta2coa_c</v>
          </cell>
          <cell r="B3809" t="str">
            <v>pocta2coa</v>
          </cell>
          <cell r="C3809" t="str">
            <v>Phenyl octa 2 enoyl CoA</v>
          </cell>
        </row>
        <row r="3810">
          <cell r="A3810" t="str">
            <v>poctacoa_c</v>
          </cell>
          <cell r="B3810" t="str">
            <v>poctacoa</v>
          </cell>
          <cell r="C3810" t="str">
            <v>Phenyl Octanoyl CoA Phe C80CoA</v>
          </cell>
        </row>
        <row r="3811">
          <cell r="A3811" t="str">
            <v>prealg_MG_14_p</v>
          </cell>
          <cell r="B3811" t="str">
            <v>prealg_MG_14</v>
          </cell>
          <cell r="C3811" t="str">
            <v>Beta 1 4 glycosidic  1  beta D mannuronic  4L guluronic acid</v>
          </cell>
        </row>
        <row r="3812">
          <cell r="A3812" t="str">
            <v>prealg_MG_23_e</v>
          </cell>
          <cell r="B3812" t="str">
            <v>prealg_MG_23</v>
          </cell>
          <cell r="C3812" t="str">
            <v>Beta 1 4 glycosidic  2  beta D mannuronic  3L guluronic acid</v>
          </cell>
        </row>
        <row r="3813">
          <cell r="A3813" t="str">
            <v>prealginate__M_p</v>
          </cell>
          <cell r="B3813" t="str">
            <v>prealginate__M</v>
          </cell>
          <cell r="C3813" t="str">
            <v>Prealginate KT2440   beta 1 4  linked copolymers of  beta D mannuronic acid  5 units</v>
          </cell>
        </row>
        <row r="3814">
          <cell r="A3814" t="str">
            <v>pyovd_kt_e</v>
          </cell>
          <cell r="B3814" t="str">
            <v>pyovd_kt</v>
          </cell>
          <cell r="C3814" t="str">
            <v>Pyoverdine  P putida specific</v>
          </cell>
        </row>
        <row r="3815">
          <cell r="A3815" t="str">
            <v>pyovd_p</v>
          </cell>
          <cell r="B3815" t="str">
            <v>pyovd</v>
          </cell>
          <cell r="C3815" t="str">
            <v>Pyoverdine</v>
          </cell>
        </row>
        <row r="3816">
          <cell r="A3816" t="str">
            <v>sheme_e</v>
          </cell>
          <cell r="B3816" t="str">
            <v>sheme</v>
          </cell>
          <cell r="C3816" t="str">
            <v>Siroheme C42H36FeN4O16</v>
          </cell>
        </row>
        <row r="3817">
          <cell r="A3817" t="str">
            <v>tnt_c</v>
          </cell>
          <cell r="B3817" t="str">
            <v>tnt</v>
          </cell>
          <cell r="C3817" t="str">
            <v>2 4 6 Trinitrotoluene</v>
          </cell>
        </row>
        <row r="3818">
          <cell r="A3818" t="str">
            <v>tnt_p</v>
          </cell>
          <cell r="B3818" t="str">
            <v>tnt</v>
          </cell>
          <cell r="C3818" t="str">
            <v>2 4 6 Trinitrotoluene</v>
          </cell>
        </row>
        <row r="3819">
          <cell r="A3819" t="str">
            <v>trnaasp_preq34_c</v>
          </cell>
          <cell r="B3819" t="str">
            <v>trnaasp_preq34</v>
          </cell>
          <cell r="C3819" t="str">
            <v>TRNA Asp  preQ1 modified</v>
          </cell>
        </row>
        <row r="3820">
          <cell r="A3820" t="str">
            <v>trnatyr_preq34_c</v>
          </cell>
          <cell r="B3820" t="str">
            <v>trnatyr_preq34</v>
          </cell>
          <cell r="C3820" t="str">
            <v>TRNA Tyr  preQ1 modified</v>
          </cell>
        </row>
        <row r="3821">
          <cell r="A3821" t="str">
            <v>tyr__D_c</v>
          </cell>
          <cell r="B3821" t="str">
            <v>tyr__D</v>
          </cell>
          <cell r="C3821" t="str">
            <v>D Tyrosine</v>
          </cell>
        </row>
        <row r="3822">
          <cell r="A3822" t="str">
            <v>tyr__D_p</v>
          </cell>
          <cell r="B3822" t="str">
            <v>tyr__D</v>
          </cell>
          <cell r="C3822" t="str">
            <v>D Tyrosine</v>
          </cell>
        </row>
        <row r="3823">
          <cell r="A3823" t="str">
            <v>u3dcaga_c</v>
          </cell>
          <cell r="B3823" t="str">
            <v>u3dcaga</v>
          </cell>
          <cell r="C3823" t="str">
            <v>UDP 3 O  3 hydroxydecanoyl  N acetylglucosamine</v>
          </cell>
        </row>
        <row r="3824">
          <cell r="A3824" t="str">
            <v>ukquivo_c</v>
          </cell>
          <cell r="B3824" t="str">
            <v>ukquivo</v>
          </cell>
          <cell r="C3824" t="str">
            <v>UDP 2 acetamido 2 6 dideoxy D xylo 4 hexulose</v>
          </cell>
        </row>
        <row r="3825">
          <cell r="A3825" t="str">
            <v>unquivo_c</v>
          </cell>
          <cell r="B3825" t="str">
            <v>unquivo</v>
          </cell>
          <cell r="C3825" t="str">
            <v>Undecaprenyl diphospho 2 acetamido 2 deoxy D quinovose</v>
          </cell>
        </row>
        <row r="3826">
          <cell r="A3826" t="str">
            <v>unquivo_p</v>
          </cell>
          <cell r="B3826" t="str">
            <v>unquivo</v>
          </cell>
          <cell r="C3826" t="str">
            <v>Undecaprenyl diphospho 2 acetamido 2 deoxy D quinovose</v>
          </cell>
        </row>
        <row r="3827">
          <cell r="A3827" t="str">
            <v>4hvcoa_c</v>
          </cell>
          <cell r="B3827" t="str">
            <v>4hvcoa</v>
          </cell>
          <cell r="C3827" t="str">
            <v>4-hydroxyvaleryl-CoA</v>
          </cell>
        </row>
        <row r="3828">
          <cell r="A3828" t="str">
            <v>4pvcoa_c</v>
          </cell>
          <cell r="B3828" t="str">
            <v>4pvcoa</v>
          </cell>
          <cell r="C3828" t="str">
            <v>4-phosphovaleryl-CoA</v>
          </cell>
        </row>
        <row r="3829">
          <cell r="A3829" t="str">
            <v>3kvcoa_c</v>
          </cell>
          <cell r="B3829" t="str">
            <v>3kvcoa</v>
          </cell>
          <cell r="C3829" t="str">
            <v>3-ketovaleryl-CoA</v>
          </cell>
        </row>
        <row r="3830">
          <cell r="A3830" t="str">
            <v>pt3coa_c</v>
          </cell>
          <cell r="B3830" t="str">
            <v>pt3coa</v>
          </cell>
          <cell r="C3830" t="str">
            <v>Pent-3-enoyl-CoA</v>
          </cell>
        </row>
        <row r="3831">
          <cell r="A3831" t="str">
            <v>n2one_c</v>
          </cell>
          <cell r="B3831" t="str">
            <v>n2one</v>
          </cell>
          <cell r="C3831" t="str">
            <v>2 Nonanone</v>
          </cell>
        </row>
        <row r="3832">
          <cell r="A3832" t="str">
            <v>n2one_p</v>
          </cell>
          <cell r="B3832" t="str">
            <v>n2one</v>
          </cell>
          <cell r="C3832" t="str">
            <v>2 Nonanone</v>
          </cell>
        </row>
        <row r="3833">
          <cell r="A3833" t="str">
            <v>d2one_e</v>
          </cell>
          <cell r="B3833" t="str">
            <v>d2one</v>
          </cell>
          <cell r="C3833" t="str">
            <v>2 Decanone</v>
          </cell>
        </row>
        <row r="3834">
          <cell r="A3834" t="str">
            <v>d3one_c</v>
          </cell>
          <cell r="B3834" t="str">
            <v>d3one</v>
          </cell>
          <cell r="C3834" t="str">
            <v>3 Decanone</v>
          </cell>
        </row>
        <row r="3835">
          <cell r="A3835" t="str">
            <v>d3one_p</v>
          </cell>
          <cell r="B3835" t="str">
            <v>d3one</v>
          </cell>
          <cell r="C3835" t="str">
            <v>3 Decanone</v>
          </cell>
        </row>
        <row r="3836">
          <cell r="A3836" t="str">
            <v>d4one_c</v>
          </cell>
          <cell r="B3836" t="str">
            <v>d4one</v>
          </cell>
          <cell r="C3836" t="str">
            <v>4 Decanone</v>
          </cell>
        </row>
        <row r="3837">
          <cell r="A3837" t="str">
            <v>d4one_p</v>
          </cell>
          <cell r="B3837" t="str">
            <v>d4one</v>
          </cell>
          <cell r="C3837" t="str">
            <v>4 Decanone</v>
          </cell>
        </row>
        <row r="3838">
          <cell r="A3838" t="str">
            <v>ocac_c</v>
          </cell>
          <cell r="B3838" t="str">
            <v>ocac</v>
          </cell>
          <cell r="C3838" t="str">
            <v>Octyl acetate</v>
          </cell>
        </row>
        <row r="3839">
          <cell r="A3839" t="str">
            <v>ethoc_c</v>
          </cell>
          <cell r="B3839" t="str">
            <v>ethoc</v>
          </cell>
          <cell r="C3839" t="str">
            <v>Ethyl octanoate</v>
          </cell>
        </row>
        <row r="3840">
          <cell r="A3840" t="str">
            <v>nnac_c</v>
          </cell>
          <cell r="B3840" t="str">
            <v>nnac</v>
          </cell>
          <cell r="C3840" t="str">
            <v>Nonyl acetate</v>
          </cell>
        </row>
        <row r="3841">
          <cell r="A3841" t="str">
            <v>4oxptn_e</v>
          </cell>
          <cell r="B3841" t="str">
            <v>4oxptn</v>
          </cell>
          <cell r="C3841" t="str">
            <v>4 Oxopentanoate</v>
          </cell>
        </row>
        <row r="3842">
          <cell r="A3842" t="str">
            <v>3oxptcoa_c</v>
          </cell>
          <cell r="B3842" t="str">
            <v>3oxptcoa</v>
          </cell>
          <cell r="C3842" t="str">
            <v>3 Oxopentanoyl CoA</v>
          </cell>
        </row>
        <row r="3843">
          <cell r="A3843" t="str">
            <v>acpptrn_c</v>
          </cell>
          <cell r="B3843" t="str">
            <v>acpptrn</v>
          </cell>
          <cell r="C3843" t="str">
            <v>N Acetylphosphinothricin</v>
          </cell>
        </row>
        <row r="3844">
          <cell r="A3844" t="str">
            <v>acpptrn_p</v>
          </cell>
          <cell r="B3844" t="str">
            <v>acpptrn</v>
          </cell>
          <cell r="C3844" t="str">
            <v>N Acetylphosphinothricin</v>
          </cell>
        </row>
        <row r="3845">
          <cell r="A3845" t="str">
            <v>rephac_c</v>
          </cell>
          <cell r="B3845" t="str">
            <v>rephac</v>
          </cell>
          <cell r="C3845" t="str">
            <v>Ring 1 2 epoxyphenylacetate</v>
          </cell>
        </row>
        <row r="3846">
          <cell r="A3846" t="str">
            <v>gicolipamin_c</v>
          </cell>
          <cell r="B3846" t="str">
            <v>gicolipamin</v>
          </cell>
          <cell r="C3846" t="str">
            <v>Glucosyl-inner-core-oligosaccharide-lipid-A min</v>
          </cell>
        </row>
        <row r="3847">
          <cell r="A3847" t="str">
            <v>6cthydptn_c</v>
          </cell>
          <cell r="B3847" t="str">
            <v>6cthydptn</v>
          </cell>
          <cell r="C3847" t="str">
            <v>6-carboxy-5,6,7,8-tetrahydropterin</v>
          </cell>
        </row>
        <row r="3848">
          <cell r="A3848" t="str">
            <v>udcpo4min_e</v>
          </cell>
          <cell r="B3848" t="str">
            <v>udcpo4min</v>
          </cell>
          <cell r="C3848" t="str">
            <v>Undecaprenyl diphosphate galactose-rhamnose-mannose min</v>
          </cell>
        </row>
        <row r="3849">
          <cell r="A3849" t="str">
            <v>eca4colipamin_p</v>
          </cell>
          <cell r="B3849" t="str">
            <v>eca4colipamin</v>
          </cell>
          <cell r="C3849" t="str">
            <v>Enterobacterial-common-antigen-x4-minimal core-oligosaccharide-lipid-A</v>
          </cell>
        </row>
        <row r="3850">
          <cell r="A3850" t="str">
            <v>OA11_ST_p</v>
          </cell>
          <cell r="B3850" t="str">
            <v>OA11_ST</v>
          </cell>
          <cell r="C3850" t="str">
            <v>Periplasmic O antigen group O:11 polysaccharide with a short chain length (15 repeat units)</v>
          </cell>
        </row>
        <row r="3851">
          <cell r="A3851" t="str">
            <v>udcdpglcnac_b1_3_glc_a1_4_fuc_a1_3_acper_p</v>
          </cell>
          <cell r="B3851" t="str">
            <v>udcdpglcnac_b1_3_glc_a1_4_fuc_a1_3_acper</v>
          </cell>
          <cell r="C3851" t="str">
            <v>Periplasmic O antigen group O:30  repeat unit on undecaprenyl diphosphate carrier</v>
          </cell>
        </row>
        <row r="3852">
          <cell r="A3852" t="str">
            <v>LPS38_ST_e</v>
          </cell>
          <cell r="B3852" t="str">
            <v>LPS38_ST</v>
          </cell>
          <cell r="C3852" t="str">
            <v>Extracellular lipopolysaccharide group O:38 with a short O antigen polysaccharide</v>
          </cell>
        </row>
        <row r="3853">
          <cell r="A3853" t="str">
            <v>OA9_46_27_ST_p</v>
          </cell>
          <cell r="B3853" t="str">
            <v>OA9_46_27_ST</v>
          </cell>
          <cell r="C3853" t="str">
            <v>Periplasmic O antigen group O:9 46 27 polysaccharide with a short chain length (15 repeat units)</v>
          </cell>
        </row>
        <row r="3854">
          <cell r="A3854" t="str">
            <v>udcdpglcnac_a1_3_quinac_a1_3_glc_b1_4_man_p</v>
          </cell>
          <cell r="B3854" t="str">
            <v>udcdpglcnac_a1_3_quinac_a1_3_glc_b1_4_man</v>
          </cell>
          <cell r="C3854" t="str">
            <v>Periplasmic O antigen group O:41 polysaccharide with a short chain length (15 repeat units)</v>
          </cell>
        </row>
        <row r="3855">
          <cell r="A3855" t="str">
            <v>udcdpglcnac_a1_3_quinac_a1_3_glc_b1_4_man_c</v>
          </cell>
          <cell r="B3855" t="str">
            <v>udcdpglcnac_a1_3_quinac_a1_3_glc_b1_4_man</v>
          </cell>
          <cell r="C3855" t="str">
            <v>Periplasmic O antigen group O:41 polysaccharide with a short chain length (15 repeat units)</v>
          </cell>
        </row>
        <row r="3856">
          <cell r="A3856" t="str">
            <v>LPS17_ST_p</v>
          </cell>
          <cell r="B3856" t="str">
            <v>LPS17_ST</v>
          </cell>
          <cell r="C3856" t="str">
            <v>Extracellular lipopolysaccharide group O:17 with a short O antigen polysaccharide</v>
          </cell>
        </row>
        <row r="3857">
          <cell r="A3857" t="str">
            <v>LPS48__L_e</v>
          </cell>
          <cell r="B3857" t="str">
            <v>LPS48__L</v>
          </cell>
          <cell r="C3857" t="str">
            <v>Periplasmic lipopolysaccharide group O:48 with a long O antigen polysaccharide</v>
          </cell>
        </row>
        <row r="3858">
          <cell r="A3858" t="str">
            <v>LPS39_ST_p</v>
          </cell>
          <cell r="B3858" t="str">
            <v>LPS39_ST</v>
          </cell>
          <cell r="C3858" t="str">
            <v>Periplasmic lipopolysaccharide group O:39 with a short O antigen polysaccharide</v>
          </cell>
        </row>
        <row r="3859">
          <cell r="A3859" t="str">
            <v>OA21__L_p</v>
          </cell>
          <cell r="B3859" t="str">
            <v>OA21__L</v>
          </cell>
          <cell r="C3859" t="str">
            <v>Periplasmic O antigen group O:21 polysaccharide with a long chain length (25 repeat units)</v>
          </cell>
        </row>
        <row r="3860">
          <cell r="A3860" t="str">
            <v>udcdpgal_a1_3_rmn_a1_4_man_a1_3_par_p</v>
          </cell>
          <cell r="B3860" t="str">
            <v>udcdpgal_a1_3_rmn_a1_4_man_a1_3_par</v>
          </cell>
          <cell r="C3860" t="str">
            <v>Periplasmic O antigen group O:2 repeat unit on undecaprenyl diphosphate carrier</v>
          </cell>
        </row>
        <row r="3861">
          <cell r="A3861" t="str">
            <v>OA2_VL_p</v>
          </cell>
          <cell r="B3861" t="str">
            <v>OA2_VL</v>
          </cell>
          <cell r="C3861" t="str">
            <v>Periplasmic O antigen group O:2 polysaccharide with a very long chain length (100 repeat units)</v>
          </cell>
        </row>
        <row r="3862">
          <cell r="A3862" t="str">
            <v>LPS44_VL_p</v>
          </cell>
          <cell r="B3862" t="str">
            <v>LPS44_VL</v>
          </cell>
          <cell r="C3862" t="str">
            <v>Extracellular lipopolysaccharide group O:44 with a very long O antigen polysaccharide</v>
          </cell>
        </row>
        <row r="3863">
          <cell r="A3863" t="str">
            <v>udcdpglcnac_a1_3_gal_a1_4_glc_a1_3col_a1_6col_p</v>
          </cell>
          <cell r="B3863" t="str">
            <v>udcdpglcnac_a1_3_gal_a1_4_glc_a1_3col_a1_6col</v>
          </cell>
          <cell r="C3863" t="str">
            <v>Periplasmic O antigen group O:35 repeat unit on undecaprenyl diphosphate carrier</v>
          </cell>
        </row>
        <row r="3864">
          <cell r="A3864" t="str">
            <v>LPS55_ST_p</v>
          </cell>
          <cell r="B3864" t="str">
            <v>LPS55_ST</v>
          </cell>
          <cell r="C3864" t="str">
            <v>Periplasmic lipopolysaccharide group O:55 with a short O antigen polysaccharide</v>
          </cell>
        </row>
        <row r="3865">
          <cell r="A3865" t="str">
            <v>OA18__L_p</v>
          </cell>
          <cell r="B3865" t="str">
            <v>OA18__L</v>
          </cell>
          <cell r="C3865" t="str">
            <v>Periplasmic O antigen group O:18 polysaccharide with a long chain length (25 repeat units)</v>
          </cell>
        </row>
        <row r="3866">
          <cell r="A3866" t="str">
            <v>LPS18__L_p</v>
          </cell>
          <cell r="B3866" t="str">
            <v>LPS18__L</v>
          </cell>
          <cell r="C3866" t="str">
            <v>Extracellular lipopolysaccharide group O:18 with a long O antigen polysaccharide</v>
          </cell>
        </row>
        <row r="3867">
          <cell r="A3867" t="str">
            <v>udcdpgal_a1_3_man_a1_2_man_b1_2_acrmn_a1_3_abe_p</v>
          </cell>
          <cell r="B3867" t="str">
            <v>udcdpgal_a1_3_man_a1_2_man_b1_2_acrmn_a1_3_abe</v>
          </cell>
          <cell r="C3867" t="str">
            <v>Periplasmic O antigen group O:8 repeat unit on undecaprenyl diphosphate carrier</v>
          </cell>
        </row>
        <row r="3868">
          <cell r="A3868" t="str">
            <v>LPS8_ST_p</v>
          </cell>
          <cell r="B3868" t="str">
            <v>LPS8_ST</v>
          </cell>
          <cell r="C3868" t="str">
            <v>Extracellular lipopolysaccharide group O:8 with a short O antigen polysaccharide</v>
          </cell>
        </row>
        <row r="3869">
          <cell r="A3869" t="str">
            <v>LPS62_ST_p</v>
          </cell>
          <cell r="B3869" t="str">
            <v>LPS62_ST</v>
          </cell>
          <cell r="C3869" t="str">
            <v>Periplasmic lipopolysaccharide group O:62 with a short O antigen polysaccharide</v>
          </cell>
        </row>
        <row r="3870">
          <cell r="A3870" t="str">
            <v>LPS9_46__L_e</v>
          </cell>
          <cell r="B3870" t="str">
            <v>LPS9_46__L</v>
          </cell>
          <cell r="C3870" t="str">
            <v>Lipopolysaccharide O:9 46: Lipid A - [Undecaprenyl-diphosphate-galactose-(alpha 1-&gt;3)-rhamnose-(alpha 1-&gt;4)-mannose-(alpha1-&gt;3)-tyvelose] 25</v>
          </cell>
        </row>
        <row r="3871">
          <cell r="A3871" t="str">
            <v>udcdpgalnac_a1_3_glc_a1_4_rmn_a1_2_rmn_b1_2_glcnac_p</v>
          </cell>
          <cell r="B3871" t="str">
            <v>udcdpgalnac_a1_3_glc_a1_4_rmn_a1_2_rmn_b1_2_glcnac</v>
          </cell>
          <cell r="C3871" t="str">
            <v>Periplasmic O antigen group O:57 repeat unit on undecaprenyl diphosphate carrier</v>
          </cell>
        </row>
        <row r="3872">
          <cell r="A3872" t="str">
            <v>OA3_10_ST_p</v>
          </cell>
          <cell r="B3872" t="str">
            <v>OA3_10_ST</v>
          </cell>
          <cell r="C3872" t="str">
            <v>Periplasmic O antigen group O:3 10 polysaccharide with a short chain length (15 repeat units)</v>
          </cell>
        </row>
        <row r="3873">
          <cell r="A3873" t="str">
            <v>cdptyv_c</v>
          </cell>
          <cell r="B3873" t="str">
            <v>cdptyv</v>
          </cell>
          <cell r="C3873" t="str">
            <v>CDP-alpha-D-tyvelose</v>
          </cell>
        </row>
        <row r="3874">
          <cell r="A3874" t="str">
            <v>OA57_ST_p</v>
          </cell>
          <cell r="B3874" t="str">
            <v>OA57_ST</v>
          </cell>
          <cell r="C3874" t="str">
            <v>Periplasmic O antigen group O:57 polysaccharide with a short chain length (15 repeat units)</v>
          </cell>
        </row>
        <row r="3875">
          <cell r="A3875" t="str">
            <v>LPS18_VL_e</v>
          </cell>
          <cell r="B3875" t="str">
            <v>LPS18_VL</v>
          </cell>
          <cell r="C3875" t="str">
            <v>Extracellular lipopolysaccharide group O:18 with a very long O antigen polysaccharide</v>
          </cell>
        </row>
        <row r="3876">
          <cell r="A3876" t="str">
            <v>LPS53__L_e</v>
          </cell>
          <cell r="B3876" t="str">
            <v>LPS53__L</v>
          </cell>
          <cell r="C3876" t="str">
            <v>Extracellular lipopolysaccharide group O:53 with a very long O antigen polysaccharide</v>
          </cell>
        </row>
        <row r="3877">
          <cell r="A3877" t="str">
            <v>LPS50_VL_p</v>
          </cell>
          <cell r="B3877" t="str">
            <v>LPS50_VL</v>
          </cell>
          <cell r="C3877" t="str">
            <v>Periplasmic lipopolysaccharide group O:50 with a very long O antigen polysaccharide</v>
          </cell>
        </row>
        <row r="3878">
          <cell r="A3878" t="str">
            <v>udcdpglcnac_a1_3_rmn_a1_2_rmn_a1_3_rmn_a1_2_galnacan_p</v>
          </cell>
          <cell r="B3878" t="str">
            <v>udcdpglcnac_a1_3_rmn_a1_2_rmn_a1_3_rmn_a1_2_galnacan</v>
          </cell>
          <cell r="C3878" t="str">
            <v>Periplasmic O antigen group O:62 repeat unit on undecaprenyl diphosphate carrier</v>
          </cell>
        </row>
        <row r="3879">
          <cell r="A3879" t="str">
            <v>LPS13__L_p</v>
          </cell>
          <cell r="B3879" t="str">
            <v>LPS13__L</v>
          </cell>
          <cell r="C3879" t="str">
            <v>Extracellular lipopolysaccharide group O:13 with a long O antigen polysaccharide</v>
          </cell>
        </row>
        <row r="3880">
          <cell r="A3880" t="str">
            <v>LPS43_ST_p</v>
          </cell>
          <cell r="B3880" t="str">
            <v>LPS43_ST</v>
          </cell>
          <cell r="C3880" t="str">
            <v>Periplasmic lipopolysaccharide group O:43 with a short O antigen polysaccharide</v>
          </cell>
        </row>
        <row r="3881">
          <cell r="A3881" t="str">
            <v>LPS9_46_27_ST_p</v>
          </cell>
          <cell r="B3881" t="str">
            <v>LPS9_46_27_ST</v>
          </cell>
          <cell r="C3881" t="str">
            <v>Periplasmic lipopolysaccharide group O:9 46 27 with a short O antigen polysaccharide</v>
          </cell>
        </row>
        <row r="3882">
          <cell r="A3882" t="str">
            <v>udcdpgalnac_a1_3_glc_a1_4_rmn_a1_2_rmn_b1_2_glcnac_c</v>
          </cell>
          <cell r="B3882" t="str">
            <v>udcdpgalnac_a1_3_glc_a1_4_rmn_a1_2_rmn_b1_2_glcnac</v>
          </cell>
          <cell r="C3882" t="str">
            <v>Periplasmic O antigen group O:57 repeat unit on undecaprenyl diphosphate carrier</v>
          </cell>
        </row>
        <row r="3883">
          <cell r="A3883" t="str">
            <v>LPS58_ST_p</v>
          </cell>
          <cell r="B3883" t="str">
            <v>LPS58_ST</v>
          </cell>
          <cell r="C3883" t="str">
            <v>Extracellular lipopolysaccharide group O:58 with a short O antigen polysaccharide</v>
          </cell>
        </row>
        <row r="3884">
          <cell r="A3884" t="str">
            <v>LPS67_e</v>
          </cell>
          <cell r="B3884" t="str">
            <v>LPS67</v>
          </cell>
          <cell r="C3884" t="str">
            <v xml:space="preserve">Lipopolysaccharide O:67: Lipid A - [galactose-(beta1-&gt;3)-galactofuranose-(alpha1-&gt;3)] 20 </v>
          </cell>
        </row>
        <row r="3885">
          <cell r="A3885" t="str">
            <v>OA47__L_p</v>
          </cell>
          <cell r="B3885" t="str">
            <v>OA47__L</v>
          </cell>
          <cell r="C3885" t="str">
            <v>Periplasmic O antigen group O:47 polysaccharide with a long chain length (25 repeat units)</v>
          </cell>
        </row>
        <row r="3886">
          <cell r="A3886" t="str">
            <v>LPS6_14__L_e</v>
          </cell>
          <cell r="B3886" t="str">
            <v>LPS6_14__L</v>
          </cell>
          <cell r="C3886" t="str">
            <v>Extracellular lipopolysaccharide group O:6 14 with a long O antigen polysaccharide</v>
          </cell>
        </row>
        <row r="3887">
          <cell r="A3887" t="str">
            <v>OA45__L_p</v>
          </cell>
          <cell r="B3887" t="str">
            <v>OA45__L</v>
          </cell>
          <cell r="C3887" t="str">
            <v>Periplasmic O antigen group O:45 polysaccharide with a long chain length (25 repeat units)</v>
          </cell>
        </row>
        <row r="3888">
          <cell r="A3888" t="str">
            <v>udcdpglcnac_a1_3_rmn_a1_2_rmn_a1_3_rmn_a1_2_galnacan_c</v>
          </cell>
          <cell r="B3888" t="str">
            <v>udcdpglcnac_a1_3_rmn_a1_2_rmn_a1_3_rmn_a1_2_galnacan</v>
          </cell>
          <cell r="C3888" t="str">
            <v>Periplasmic O antigen group O:62 repeat unit on undecaprenyl diphosphate carrier</v>
          </cell>
        </row>
        <row r="3889">
          <cell r="A3889" t="str">
            <v>udcpdpglcnacc_b1_3_glc_b1_3_man_a1_3_fuc3nfo_c</v>
          </cell>
          <cell r="B3889" t="str">
            <v>udcpdpglcnacc_b1_3_glc_b1_3_man_a1_3_fuc3nfo</v>
          </cell>
          <cell r="C3889" t="str">
            <v>Cytoplasmic O antigen group O:60 repeat unit on undecaprenyl diphosphate carrier</v>
          </cell>
        </row>
        <row r="3890">
          <cell r="A3890" t="str">
            <v>OA59__L_p</v>
          </cell>
          <cell r="B3890" t="str">
            <v>OA59__L</v>
          </cell>
          <cell r="C3890" t="str">
            <v>Periplasmic O antigen group O:59 polysaccharide with a long chain length (25 repeat units)</v>
          </cell>
        </row>
        <row r="3891">
          <cell r="A3891" t="str">
            <v>LPS63__L_p</v>
          </cell>
          <cell r="B3891" t="str">
            <v>LPS63__L</v>
          </cell>
          <cell r="C3891" t="str">
            <v>Periplasmic lipopolysaccharide group O:63 with a long O antigen polysaccharide</v>
          </cell>
        </row>
        <row r="3892">
          <cell r="A3892" t="str">
            <v>udcpdpglcnacc_b1_3_glc_b1_3_man_a1_3_fuc3nfo_p</v>
          </cell>
          <cell r="B3892" t="str">
            <v>udcpdpglcnacc_b1_3_glc_b1_3_man_a1_3_fuc3nfo</v>
          </cell>
          <cell r="C3892" t="str">
            <v>Cytoplasmic O antigen group O:60 repeat unit on undecaprenyl diphosphate carrier</v>
          </cell>
        </row>
        <row r="3893">
          <cell r="A3893" t="str">
            <v>udcdpglcnac_a1_3_gal_a1_4_glc_a1_3col_a1_6col_c</v>
          </cell>
          <cell r="B3893" t="str">
            <v>udcdpglcnac_a1_3_gal_a1_4_glc_a1_3col_a1_6col</v>
          </cell>
          <cell r="C3893" t="str">
            <v>Periplasmic O antigen group O:35 repeat unit on undecaprenyl diphosphate carrier</v>
          </cell>
        </row>
        <row r="3894">
          <cell r="A3894" t="str">
            <v>LPS41_ST_p</v>
          </cell>
          <cell r="B3894" t="str">
            <v>LPS41_ST</v>
          </cell>
          <cell r="C3894" t="str">
            <v>Periplasmic lipopolysaccharide group O:41 with a long O antigen polysaccharide</v>
          </cell>
        </row>
        <row r="3895">
          <cell r="A3895" t="str">
            <v>OA2_ST_p</v>
          </cell>
          <cell r="B3895" t="str">
            <v>OA2_ST</v>
          </cell>
          <cell r="C3895" t="str">
            <v>Periplasmic O antigen group O:2 polysaccharide with a short chain length (15 repeat units)</v>
          </cell>
        </row>
        <row r="3896">
          <cell r="A3896" t="str">
            <v>LPS1_3_19__L_p</v>
          </cell>
          <cell r="B3896" t="str">
            <v>LPS1_3_19__L</v>
          </cell>
          <cell r="C3896" t="str">
            <v>Extracellular lipopolysaccharide group O:1 3 19 with a long O antigen polysaccharide</v>
          </cell>
        </row>
        <row r="3897">
          <cell r="A3897" t="str">
            <v>udcdpgal_a1_3_man_a1_2_man_b1_2_rmn_c</v>
          </cell>
          <cell r="B3897" t="str">
            <v>udcdpgal_a1_3_man_a1_2_man_b1_2_rmn</v>
          </cell>
          <cell r="C3897" t="str">
            <v>Cytoplasmic O antigen group O:8 partial repeat unit (3) on undecaprenyl diphosphate carrier</v>
          </cell>
        </row>
        <row r="3898">
          <cell r="A3898" t="str">
            <v>LPS51__L_p</v>
          </cell>
          <cell r="B3898" t="str">
            <v>LPS51__L</v>
          </cell>
          <cell r="C3898" t="str">
            <v>Extracellular lipopolysaccharide group O:51 with a long O antigen polysaccharide</v>
          </cell>
        </row>
        <row r="3899">
          <cell r="A3899" t="str">
            <v>LPS42__L_p</v>
          </cell>
          <cell r="B3899" t="str">
            <v>LPS42__L</v>
          </cell>
          <cell r="C3899" t="str">
            <v>Extracellular lipopolysaccharide group O:42 with a long O antigen polysaccharide</v>
          </cell>
        </row>
        <row r="3900">
          <cell r="A3900" t="str">
            <v>OA63__L_p</v>
          </cell>
          <cell r="B3900" t="str">
            <v>OA63__L</v>
          </cell>
          <cell r="C3900" t="str">
            <v>Periplasmic O antigen group O:63 polysaccharide with a long chain length (25 repeat units)</v>
          </cell>
        </row>
        <row r="3901">
          <cell r="A3901" t="str">
            <v>LPS1_3_19_VL_e</v>
          </cell>
          <cell r="B3901" t="str">
            <v>LPS1_3_19_VL</v>
          </cell>
          <cell r="C3901" t="str">
            <v>Periplasmic lipopolysaccharide group O:1 3 19 with a very long O antigen polysaccharide</v>
          </cell>
        </row>
        <row r="3902">
          <cell r="A3902" t="str">
            <v>udcdpgal_a1_3_rmn_a1_4_man_a1_3_abe_p</v>
          </cell>
          <cell r="B3902" t="str">
            <v>udcdpgal_a1_3_rmn_a1_4_man_a1_3_abe</v>
          </cell>
          <cell r="C3902" t="str">
            <v>Periplasmic O antigen group O:XX repeat unit on undecaprenyl diphosphate carrier</v>
          </cell>
        </row>
        <row r="3903">
          <cell r="A3903" t="str">
            <v>udcdpgal_a1_3_rmn_a1_4_man_a1_3_par_c</v>
          </cell>
          <cell r="B3903" t="str">
            <v>udcdpgal_a1_3_rmn_a1_4_man_a1_3_par</v>
          </cell>
          <cell r="C3903" t="str">
            <v>Periplasmic O antigen group O:2 repeat unit on undecaprenyl diphosphate carrier</v>
          </cell>
        </row>
        <row r="3904">
          <cell r="A3904" t="str">
            <v>LPS41_VL_e</v>
          </cell>
          <cell r="B3904" t="str">
            <v>LPS41_VL</v>
          </cell>
          <cell r="C3904" t="str">
            <v>Extracellular lipopolysaccharide group O:41 with very long O antigen</v>
          </cell>
        </row>
        <row r="3905">
          <cell r="A3905" t="str">
            <v>LPS40_ST_p</v>
          </cell>
          <cell r="B3905" t="str">
            <v>LPS40_ST</v>
          </cell>
          <cell r="C3905" t="str">
            <v>Extracellular lipopolysaccharide group O:40 with a short O antigen polysaccharide</v>
          </cell>
        </row>
        <row r="3906">
          <cell r="A3906" t="str">
            <v>LPS28ac_ST_e</v>
          </cell>
          <cell r="B3906" t="str">
            <v>LPS28ac_ST</v>
          </cell>
          <cell r="C3906" t="str">
            <v>Extracellular lipopolysaccharide group O:28ac with a short O antigen polysaccharide</v>
          </cell>
        </row>
        <row r="3907">
          <cell r="A3907" t="str">
            <v>LPS52_VL_e</v>
          </cell>
          <cell r="B3907" t="str">
            <v>LPS52_VL</v>
          </cell>
          <cell r="C3907" t="str">
            <v>Extracellular lipopolysaccharide group O:52 with a very long O antigen polysaccharide</v>
          </cell>
        </row>
        <row r="3908">
          <cell r="A3908" t="str">
            <v>udcdpglcnac_b1_3_glc_a1_4_fuc_a1_3_acper_c</v>
          </cell>
          <cell r="B3908" t="str">
            <v>udcdpglcnac_b1_3_glc_a1_4_fuc_a1_3_acper</v>
          </cell>
          <cell r="C3908" t="str">
            <v>Periplasmic O antigen group O:30  repeat unit on undecaprenyl diphosphate carrier</v>
          </cell>
        </row>
        <row r="3909">
          <cell r="A3909" t="str">
            <v>udcdpgal_a1_3_man_a1_2_man_b1_2_acrmn_a1_3_abe_c</v>
          </cell>
          <cell r="B3909" t="str">
            <v>udcdpgal_a1_3_man_a1_2_man_b1_2_acrmn_a1_3_abe</v>
          </cell>
          <cell r="C3909" t="str">
            <v>Periplasmic O antigen group O:8 repeat unit on undecaprenyl diphosphate carrier</v>
          </cell>
        </row>
        <row r="3910">
          <cell r="A3910" t="str">
            <v>OA11__L_p</v>
          </cell>
          <cell r="B3910" t="str">
            <v>OA11__L</v>
          </cell>
          <cell r="C3910" t="str">
            <v>Periplasmic O antigen group O:11 polysaccharide with a long chain length (25 repeat units)</v>
          </cell>
        </row>
        <row r="3911">
          <cell r="A3911" t="str">
            <v>LPS17__L_p</v>
          </cell>
          <cell r="B3911" t="str">
            <v>LPS17__L</v>
          </cell>
          <cell r="C3911" t="str">
            <v>Periplasmic lipopolysaccharide group O:17 with a long O antigen polysaccharide</v>
          </cell>
        </row>
        <row r="3912">
          <cell r="A3912" t="str">
            <v>OA17__L_p</v>
          </cell>
          <cell r="B3912" t="str">
            <v>OA17__L</v>
          </cell>
          <cell r="C3912" t="str">
            <v>Periplasmic O antigen group O:17 polysaccharide with a long chain length (25 repeat units)</v>
          </cell>
        </row>
        <row r="3913">
          <cell r="A3913" t="str">
            <v>udpacrmna_c</v>
          </cell>
          <cell r="B3913" t="str">
            <v>udpacrmna</v>
          </cell>
          <cell r="C3913" t="str">
            <v>UDP-N-acetyl-beta-L-rhamnosamine</v>
          </cell>
        </row>
        <row r="3914">
          <cell r="A3914" t="str">
            <v>udcdpglcnac_a1_3_rmn_b1_4_galnac_a1_4_galf_p</v>
          </cell>
          <cell r="B3914" t="str">
            <v>udcdpglcnac_a1_3_rmn_b1_4_galnac_a1_4_galf</v>
          </cell>
          <cell r="C3914" t="str">
            <v>Periplasmic O antigen group O:53 polysaccharide with a short chain length (15 repeat units)</v>
          </cell>
        </row>
        <row r="3915">
          <cell r="A3915" t="str">
            <v>LPS45__L_p</v>
          </cell>
          <cell r="B3915" t="str">
            <v>LPS45__L</v>
          </cell>
          <cell r="C3915" t="str">
            <v>Periplasmic lipopolysaccharide group O:45 with a long O antigen polysaccharide</v>
          </cell>
        </row>
        <row r="3916">
          <cell r="A3916" t="str">
            <v>OA45_ST_p</v>
          </cell>
          <cell r="B3916" t="str">
            <v>OA45_ST</v>
          </cell>
          <cell r="C3916" t="str">
            <v>Periplasmic O antigen group O:45 polysaccharide with a short chain length (15 repeat units)</v>
          </cell>
        </row>
        <row r="3917">
          <cell r="A3917" t="str">
            <v>dtdpacvioa_c</v>
          </cell>
          <cell r="B3917" t="str">
            <v>dtdpacvioa</v>
          </cell>
          <cell r="C3917" t="str">
            <v>DTDP-N-acetylviosamine</v>
          </cell>
        </row>
        <row r="3918">
          <cell r="A3918" t="str">
            <v>udcdpglcnac_b1_6_mannac_b1_3_mannac_b1_4_10_c</v>
          </cell>
          <cell r="B3918" t="str">
            <v>udcdpglcnac_b1_6_mannac_b1_3_mannac_b1_4_10</v>
          </cell>
          <cell r="C3918" t="str">
            <v>Cytoplasmic O antigen group O:54 polymer on undecaprenyl diphosphate carrier</v>
          </cell>
        </row>
        <row r="3919">
          <cell r="A3919" t="str">
            <v>udcdpglcnac_a1_3_rmn_b1_4_galnac_a1_4_galf_c</v>
          </cell>
          <cell r="B3919" t="str">
            <v>udcdpglcnac_a1_3_rmn_b1_4_galnac_a1_4_galf</v>
          </cell>
          <cell r="C3919" t="str">
            <v>Periplasmic O antigen group O:53 polysaccharide with a short chain length (15 repeat units)</v>
          </cell>
        </row>
        <row r="3920">
          <cell r="A3920" t="str">
            <v>udcdpglcnac_a1_3_quinac_a1_3_glcnac_b1_6_quinac_c</v>
          </cell>
          <cell r="B3920" t="str">
            <v>udcdpglcnac_a1_3_quinac_a1_3_glcnac_b1_6_quinac</v>
          </cell>
          <cell r="C3920" t="str">
            <v>Cytoplasmic O antigen group O:58 repeat unit on undecaprenyl diphosphate carrier</v>
          </cell>
        </row>
        <row r="3921">
          <cell r="A3921" t="str">
            <v>LPS38_VL_p</v>
          </cell>
          <cell r="B3921" t="str">
            <v>LPS38_VL</v>
          </cell>
          <cell r="C3921" t="str">
            <v>Periplasmic lipopolysaccharide group O:38 with a very long O antigen polysaccharide</v>
          </cell>
        </row>
        <row r="3922">
          <cell r="A3922" t="str">
            <v>udcdpgalnac_a1_3_fuc_a1_3_man_a1_3_quinac_p</v>
          </cell>
          <cell r="B3922" t="str">
            <v>udcdpgalnac_a1_3_fuc_a1_3_man_a1_3_quinac</v>
          </cell>
          <cell r="C3922" t="str">
            <v>Periplasmic O antigen group O:39 repeat unit on undecaprenyl diphosphate carrier</v>
          </cell>
        </row>
        <row r="3923">
          <cell r="A3923" t="str">
            <v>OA4_ST_p</v>
          </cell>
          <cell r="B3923" t="str">
            <v>OA4_ST</v>
          </cell>
          <cell r="C3923" t="str">
            <v>Periplasmic O antigen group O:XX polysaccharide with a short chain length (15 repeat units)</v>
          </cell>
        </row>
        <row r="3924">
          <cell r="A3924" t="str">
            <v>LPS50__L_e</v>
          </cell>
          <cell r="B3924" t="str">
            <v>LPS50__L</v>
          </cell>
          <cell r="C3924" t="str">
            <v>Extracellular lipopolysaccharide group O:50 with a long O antigen polysaccharide</v>
          </cell>
        </row>
        <row r="3925">
          <cell r="A3925" t="str">
            <v>udcdpgal_a1_3_rmn_a1_4_man_a1_3_abe_c</v>
          </cell>
          <cell r="B3925" t="str">
            <v>udcdpgal_a1_3_rmn_a1_4_man_a1_3_abe</v>
          </cell>
          <cell r="C3925" t="str">
            <v>Periplasmic O antigen group O:XX repeat unit on undecaprenyl diphosphate carrier</v>
          </cell>
        </row>
        <row r="3926">
          <cell r="A3926" t="str">
            <v>LPS9_46_VL_e</v>
          </cell>
          <cell r="B3926" t="str">
            <v>LPS9_46_VL</v>
          </cell>
          <cell r="C3926" t="str">
            <v>Lipopolysaccharide O:9 46: Lipid A - [Undecaprenyl-diphosphate-galactose-(alpha 1-&gt;3)-rhamnose-(alpha 1-&gt;4)-mannose-(alpha1-&gt;3)-tyvelose] 100</v>
          </cell>
        </row>
        <row r="3927">
          <cell r="A3927" t="str">
            <v>LPS44_ST_e</v>
          </cell>
          <cell r="B3927" t="str">
            <v>LPS44_ST</v>
          </cell>
          <cell r="C3927" t="str">
            <v>Extracellular lipopolysaccharide group O:44 with a short O antigen polysaccharide</v>
          </cell>
        </row>
        <row r="3928">
          <cell r="A3928" t="str">
            <v>OA7_VL_p</v>
          </cell>
          <cell r="B3928" t="str">
            <v>OA7_VL</v>
          </cell>
          <cell r="C3928" t="str">
            <v>Periplasmic O antigen group O:7 polysaccharide with a very long chain length (100 repeat units)</v>
          </cell>
        </row>
        <row r="3929">
          <cell r="A3929" t="str">
            <v>LPS13_ST_p</v>
          </cell>
          <cell r="B3929" t="str">
            <v>LPS13_ST</v>
          </cell>
          <cell r="C3929" t="str">
            <v>Periplasmic lipopolysaccharide group O:13 with a short O antigen polysaccharide</v>
          </cell>
        </row>
        <row r="3930">
          <cell r="A3930" t="str">
            <v>LPS35__L_p</v>
          </cell>
          <cell r="B3930" t="str">
            <v>LPS35__L</v>
          </cell>
          <cell r="C3930" t="str">
            <v>Periplasmic lipopolysaccharide group O:35 with a long O antigen polysaccharide</v>
          </cell>
        </row>
        <row r="3931">
          <cell r="A3931" t="str">
            <v>OA39_ST_p</v>
          </cell>
          <cell r="B3931" t="str">
            <v>OA39_ST</v>
          </cell>
          <cell r="C3931" t="str">
            <v>Periplasmic O antigen group O:39 polysaccharide with a short chain length (15 repeat units)</v>
          </cell>
        </row>
        <row r="3932">
          <cell r="A3932" t="str">
            <v>OA63_ST_p</v>
          </cell>
          <cell r="B3932" t="str">
            <v>OA63_ST</v>
          </cell>
          <cell r="C3932" t="str">
            <v>Periplasmic O antigen group O:63 polysaccharide with a short chain length (15 repeat units)</v>
          </cell>
        </row>
        <row r="3933">
          <cell r="A3933" t="str">
            <v>LPS63_ST_p</v>
          </cell>
          <cell r="B3933" t="str">
            <v>LPS63_ST</v>
          </cell>
          <cell r="C3933" t="str">
            <v>Extracellular lipopolysaccharide group O:63 with a short O antigen polysaccharide</v>
          </cell>
        </row>
        <row r="3934">
          <cell r="A3934" t="str">
            <v>udcpdglcnac_b1_3_man_a1_2_man_a1_2_man_p</v>
          </cell>
          <cell r="B3934" t="str">
            <v>udcpdglcnac_b1_3_man_a1_2_man_a1_2_man</v>
          </cell>
          <cell r="C3934" t="str">
            <v>Periplasmic O antigen group O:6 14 repeat unit on undecaprenyl diphosphate carrier</v>
          </cell>
        </row>
        <row r="3935">
          <cell r="A3935" t="str">
            <v>LPS6_14_VL_p</v>
          </cell>
          <cell r="B3935" t="str">
            <v>LPS6_14_VL</v>
          </cell>
          <cell r="C3935" t="str">
            <v>Periplasmic lipopolysaccharide group O:6 14 with a very long O antigen polysaccharide</v>
          </cell>
        </row>
        <row r="3936">
          <cell r="A3936" t="str">
            <v>LPS30__L_p</v>
          </cell>
          <cell r="B3936" t="str">
            <v>LPS30__L</v>
          </cell>
          <cell r="C3936" t="str">
            <v>Extracellular lipopolysaccharide group O:30 with a long O antigen polysaccharide</v>
          </cell>
        </row>
        <row r="3937">
          <cell r="A3937" t="str">
            <v>LPS9_VL_e</v>
          </cell>
          <cell r="B3937" t="str">
            <v>LPS9_VL</v>
          </cell>
          <cell r="C3937" t="str">
            <v>Periplasmic lipopolysaccharide group O:9 with a very long O antigen polysaccharide</v>
          </cell>
        </row>
        <row r="3938">
          <cell r="A3938" t="str">
            <v>LPS65__L_e</v>
          </cell>
          <cell r="B3938" t="str">
            <v>LPS65__L</v>
          </cell>
          <cell r="C3938" t="str">
            <v>Periplasmic lipopolysaccharide group O:65 with a long O antigen polysaccharide</v>
          </cell>
        </row>
        <row r="3939">
          <cell r="A3939" t="str">
            <v>udcdpglcnac_a1_3_gal_b1_3_glcnac_a1_4_glc_a1_6_glc_p</v>
          </cell>
          <cell r="B3939" t="str">
            <v>udcdpglcnac_a1_3_gal_b1_3_glcnac_a1_4_glc_a1_6_glc</v>
          </cell>
          <cell r="C3939" t="str">
            <v>Periplasmic O antigen group O:44 repeat unit on undecaprenyl diphosphate carrier</v>
          </cell>
        </row>
        <row r="3940">
          <cell r="A3940" t="str">
            <v>udcdpglcnac_a1_3_quinac_a1_3_glcnac_b1_6_quinac_p</v>
          </cell>
          <cell r="B3940" t="str">
            <v>udcdpglcnac_a1_3_quinac_a1_3_glcnac_b1_6_quinac</v>
          </cell>
          <cell r="C3940" t="str">
            <v>Cytoplasmic O antigen group O:58 repeat unit on undecaprenyl diphosphate carrier</v>
          </cell>
        </row>
        <row r="3941">
          <cell r="A3941" t="str">
            <v>LPS58__L_p</v>
          </cell>
          <cell r="B3941" t="str">
            <v>LPS58__L</v>
          </cell>
          <cell r="C3941" t="str">
            <v>Periplasmic lipopolysaccharide group O:58 with a long O antigen polysaccharide</v>
          </cell>
        </row>
        <row r="3942">
          <cell r="A3942" t="str">
            <v>OA43_VL_p</v>
          </cell>
          <cell r="B3942" t="str">
            <v>OA43_VL</v>
          </cell>
          <cell r="C3942" t="str">
            <v>Periplasmic O antigen group O:43 polysaccharide with a very long chain length (100 repeat units)</v>
          </cell>
        </row>
        <row r="3943">
          <cell r="A3943" t="str">
            <v>LPS48_ST_p</v>
          </cell>
          <cell r="B3943" t="str">
            <v>LPS48_ST</v>
          </cell>
          <cell r="C3943" t="str">
            <v>Periplasmic lipopolysaccharide group O:48 with a short O antigen polysaccharide</v>
          </cell>
        </row>
        <row r="3944">
          <cell r="A3944" t="str">
            <v>OA17_VL_p</v>
          </cell>
          <cell r="B3944" t="str">
            <v>OA17_VL</v>
          </cell>
          <cell r="C3944" t="str">
            <v>Periplasmic O antigen group O:17 polysaccharide with a very long chain length (100 repeat units)</v>
          </cell>
        </row>
        <row r="3945">
          <cell r="A3945" t="str">
            <v>LPS16_VL_p</v>
          </cell>
          <cell r="B3945" t="str">
            <v>LPS16_VL</v>
          </cell>
          <cell r="C3945" t="str">
            <v>Extracellular lipopolysaccharide group O:16 with a very long O antigen polysaccharide</v>
          </cell>
        </row>
        <row r="3946">
          <cell r="A3946" t="str">
            <v>LPS2__L_e</v>
          </cell>
          <cell r="B3946" t="str">
            <v>LPS2__L</v>
          </cell>
          <cell r="C3946" t="str">
            <v>Extracellular lipopolysaccharide group O:2 with a long O antigen polysaccharide</v>
          </cell>
        </row>
        <row r="3947">
          <cell r="A3947" t="str">
            <v>LPS42_ST_p</v>
          </cell>
          <cell r="B3947" t="str">
            <v>LPS42_ST</v>
          </cell>
          <cell r="C3947" t="str">
            <v>Periplasmic lipopolysaccharide group O:42 with a short O antigen polysaccharide</v>
          </cell>
        </row>
        <row r="3948">
          <cell r="A3948" t="str">
            <v>udcpdglcnac_b1_3_man_a1_2_man_a1_2_man_c</v>
          </cell>
          <cell r="B3948" t="str">
            <v>udcpdglcnac_b1_3_man_a1_2_man_a1_2_man</v>
          </cell>
          <cell r="C3948" t="str">
            <v>Periplasmic O antigen group O:6 14 repeat unit on undecaprenyl diphosphate carrier</v>
          </cell>
        </row>
        <row r="3949">
          <cell r="A3949" t="str">
            <v>OA9__L_p</v>
          </cell>
          <cell r="B3949" t="str">
            <v>OA9__L</v>
          </cell>
          <cell r="C3949" t="str">
            <v>Periplasmic O antigen group O:9 polysaccharide with a long chain length (25 repeat units)</v>
          </cell>
        </row>
        <row r="3950">
          <cell r="A3950" t="str">
            <v>OA45_VL_p</v>
          </cell>
          <cell r="B3950" t="str">
            <v>OA45_VL</v>
          </cell>
          <cell r="C3950" t="str">
            <v>Periplasmic O antigen group O:45 polysaccharide with a very long chain length (100 repeat units)</v>
          </cell>
        </row>
        <row r="3951">
          <cell r="A3951" t="str">
            <v>LPS11_VL_e</v>
          </cell>
          <cell r="B3951" t="str">
            <v>LPS11_VL</v>
          </cell>
          <cell r="C3951" t="str">
            <v>Extracellular lipopolysaccharide group O:11 with a very long O antigen polysaccharide</v>
          </cell>
        </row>
        <row r="3952">
          <cell r="A3952" t="str">
            <v>LPS45_ST_e</v>
          </cell>
          <cell r="B3952" t="str">
            <v>LPS45_ST</v>
          </cell>
          <cell r="C3952" t="str">
            <v>Periplasmic lipopolysaccharide group O:45 with a short O antigen polysaccharide</v>
          </cell>
        </row>
        <row r="3953">
          <cell r="A3953" t="str">
            <v>OA55_VL_p</v>
          </cell>
          <cell r="B3953" t="str">
            <v>OA55_VL</v>
          </cell>
          <cell r="C3953" t="str">
            <v>Periplasmic O antigen group O:55 polysaccharide with a very long chain length (100 repeat units)</v>
          </cell>
        </row>
        <row r="3954">
          <cell r="A3954" t="str">
            <v>LPS30_VL_e</v>
          </cell>
          <cell r="B3954" t="str">
            <v>LPS30_VL</v>
          </cell>
          <cell r="C3954" t="str">
            <v>Periplasmic lipopolysaccharide group O:30 with a very long O antigen polysaccharide</v>
          </cell>
        </row>
        <row r="3955">
          <cell r="A3955" t="str">
            <v>LPS11__L_p</v>
          </cell>
          <cell r="B3955" t="str">
            <v>LPS11__L</v>
          </cell>
          <cell r="C3955" t="str">
            <v>Periplasmic lipopolysaccharide group O:11 with a long O antigen polysaccharide</v>
          </cell>
        </row>
        <row r="3956">
          <cell r="A3956" t="str">
            <v>udcdpglcnac_a1_3_gal_b1_3_glcnac_a1_4_glc_a1_6_glc_c</v>
          </cell>
          <cell r="B3956" t="str">
            <v>udcdpglcnac_a1_3_gal_b1_3_glcnac_a1_4_glc_a1_6_glc</v>
          </cell>
          <cell r="C3956" t="str">
            <v>Periplasmic O antigen group O:44 repeat unit on undecaprenyl diphosphate carrier</v>
          </cell>
        </row>
        <row r="3957">
          <cell r="A3957" t="str">
            <v>LPS56_VL_p</v>
          </cell>
          <cell r="B3957" t="str">
            <v>LPS56_VL</v>
          </cell>
          <cell r="C3957" t="str">
            <v>Periplasmic lipopolysaccharide group O:56 with a very long O antigen polysaccharide</v>
          </cell>
        </row>
        <row r="3958">
          <cell r="A3958" t="str">
            <v>OA47_VL_p</v>
          </cell>
          <cell r="B3958" t="str">
            <v>OA47_VL</v>
          </cell>
          <cell r="C3958" t="str">
            <v>Periplasmic O antigen group O:47 polysaccharide with a very long chain length (100 repeat units)</v>
          </cell>
        </row>
        <row r="3959">
          <cell r="A3959" t="str">
            <v>LPS28ab_ST_e</v>
          </cell>
          <cell r="B3959" t="str">
            <v>LPS28ab_ST</v>
          </cell>
          <cell r="C3959" t="str">
            <v>Periplasmic lipopolysaccharide group O:28ab with a short O antigen polysaccharide</v>
          </cell>
        </row>
        <row r="3960">
          <cell r="A3960" t="str">
            <v>LPS53_VL_e</v>
          </cell>
          <cell r="B3960" t="str">
            <v>LPS53_VL</v>
          </cell>
          <cell r="C3960" t="str">
            <v>Extracellular lipopolysaccharide group O:53 with a short O antigen polysaccharide</v>
          </cell>
        </row>
        <row r="3961">
          <cell r="A3961" t="str">
            <v>LPS4_ST_e</v>
          </cell>
          <cell r="B3961" t="str">
            <v>LPS4_ST</v>
          </cell>
          <cell r="C3961" t="str">
            <v>Extracellular lipopolysaccharide group O:XX with a short O antigen polysaccharide</v>
          </cell>
        </row>
        <row r="3962">
          <cell r="A3962" t="str">
            <v>LPS9_46_ST_p</v>
          </cell>
          <cell r="B3962" t="str">
            <v>LPS9_46_ST</v>
          </cell>
          <cell r="C3962" t="str">
            <v>Lipopolysaccharide O:9 46: Lipid A - [Undecaprenyl-diphosphate-galactose-(alpha 1-&gt;3)-rhamnose-(alpha 1-&gt;4)-mannose-(alpha1-&gt;3)-tyvelose] 15</v>
          </cell>
        </row>
        <row r="3963">
          <cell r="A3963" t="str">
            <v>udcdpgalnac_a1_3_fuc_a1_3_man_a1_3_quinac_c</v>
          </cell>
          <cell r="B3963" t="str">
            <v>udcdpgalnac_a1_3_fuc_a1_3_man_a1_3_quinac</v>
          </cell>
          <cell r="C3963" t="str">
            <v>Periplasmic O antigen group O:39 repeat unit on undecaprenyl diphosphate carrier</v>
          </cell>
        </row>
        <row r="3964">
          <cell r="A3964" t="str">
            <v>LPS11_ST_p</v>
          </cell>
          <cell r="B3964" t="str">
            <v>LPS11_ST</v>
          </cell>
          <cell r="C3964" t="str">
            <v>Periplasmic lipopolysaccharide group O:11 with a short O antigen polysaccharide</v>
          </cell>
        </row>
        <row r="3965">
          <cell r="A3965" t="str">
            <v>OA65_VL_p</v>
          </cell>
          <cell r="B3965" t="str">
            <v>OA65_VL</v>
          </cell>
          <cell r="C3965" t="str">
            <v>Periplasmic O antigen group O:65 polysaccharide with a very long chain length (100 repeat units)</v>
          </cell>
        </row>
        <row r="3966">
          <cell r="A3966" t="str">
            <v>OA44__L_p</v>
          </cell>
          <cell r="B3966" t="str">
            <v>OA44__L</v>
          </cell>
          <cell r="C3966" t="str">
            <v>Periplasmic O antigen group O:44 polysaccharide with a long chain length (25 repeat units)</v>
          </cell>
        </row>
        <row r="3967">
          <cell r="A3967" t="str">
            <v>OA11_VL_p</v>
          </cell>
          <cell r="B3967" t="str">
            <v>OA11_VL</v>
          </cell>
          <cell r="C3967" t="str">
            <v>Periplasmic O antigen group O:11 polysaccharide with a very long chain length (100 repeat units)</v>
          </cell>
        </row>
        <row r="3968">
          <cell r="A3968" t="str">
            <v>LPS21_ST_p</v>
          </cell>
          <cell r="B3968" t="str">
            <v>LPS21_ST</v>
          </cell>
          <cell r="C3968" t="str">
            <v>Extracellular lipopolysaccharide group O:21 with a short O antigen polysaccharide</v>
          </cell>
        </row>
        <row r="3969">
          <cell r="A3969" t="str">
            <v>LPS40__L_p</v>
          </cell>
          <cell r="B3969" t="str">
            <v>LPS40__L</v>
          </cell>
          <cell r="C3969" t="str">
            <v>Extracellular lipopolysaccharide group O:40 with a long O antigen polysaccharide</v>
          </cell>
        </row>
        <row r="3970">
          <cell r="A3970" t="str">
            <v>LPS58_VL_e</v>
          </cell>
          <cell r="B3970" t="str">
            <v>LPS58_VL</v>
          </cell>
          <cell r="C3970" t="str">
            <v>Extracellular lipopolysaccharide group O:58 with a very long O antigen polysaccharide</v>
          </cell>
        </row>
        <row r="3971">
          <cell r="A3971" t="str">
            <v>LPS3_10__L_e</v>
          </cell>
          <cell r="B3971" t="str">
            <v>LPS3_10__L</v>
          </cell>
          <cell r="C3971" t="str">
            <v>Periplasmic lipopolysaccharide group O:3 10 with a long O antigen polysaccharide</v>
          </cell>
        </row>
        <row r="3972">
          <cell r="A3972" t="str">
            <v>LPS7_VL_e</v>
          </cell>
          <cell r="B3972" t="str">
            <v>LPS7_VL</v>
          </cell>
          <cell r="C3972" t="str">
            <v>Periplasmic lipopolysaccharide group O:7 with a very long O antigen polysaccharide</v>
          </cell>
        </row>
        <row r="3973">
          <cell r="A3973" t="str">
            <v>LPS28ab_VL_p</v>
          </cell>
          <cell r="B3973" t="str">
            <v>LPS28ab_VL</v>
          </cell>
          <cell r="C3973" t="str">
            <v>Extracellular lipopolysaccharide group O:28ab with a very long O antigen polysaccharide</v>
          </cell>
        </row>
        <row r="3974">
          <cell r="A3974" t="str">
            <v>LPS7__L_p</v>
          </cell>
          <cell r="B3974" t="str">
            <v>LPS7__L</v>
          </cell>
          <cell r="C3974" t="str">
            <v>Extracellular lipopolysaccharide group O:7 with a long O antigen polysaccharide</v>
          </cell>
        </row>
        <row r="3975">
          <cell r="A3975" t="str">
            <v>LPS6_14_ST_e</v>
          </cell>
          <cell r="B3975" t="str">
            <v>LPS6_14_ST</v>
          </cell>
          <cell r="C3975" t="str">
            <v>Periplasmic lipopolysaccharide group O:6 14 with a short O antigen polysaccharide</v>
          </cell>
        </row>
        <row r="3976">
          <cell r="A3976" t="str">
            <v>LPS1_3_19_ST_e</v>
          </cell>
          <cell r="B3976" t="str">
            <v>LPS1_3_19_ST</v>
          </cell>
          <cell r="C3976" t="str">
            <v>Periplasmic lipopolysaccharide group O:1 3 19 with a short O antigen polysaccharide</v>
          </cell>
        </row>
        <row r="3977">
          <cell r="A3977" t="str">
            <v>LPS66_ST_p</v>
          </cell>
          <cell r="B3977" t="str">
            <v>LPS66_ST</v>
          </cell>
          <cell r="C3977" t="str">
            <v>Extracellular lipopolysaccharide group O:66 with a short O antigen polysaccharide</v>
          </cell>
        </row>
        <row r="3978">
          <cell r="A3978" t="str">
            <v>12dgr141_c</v>
          </cell>
          <cell r="B3978" t="str">
            <v>12dgr141</v>
          </cell>
          <cell r="C3978" t="str">
            <v>1,2-Diacyl-sn-glycerol (ditetradec-7-enoyl, n-C14:1)</v>
          </cell>
        </row>
        <row r="3979">
          <cell r="A3979" t="str">
            <v>12dgr160_c</v>
          </cell>
          <cell r="B3979" t="str">
            <v>12dgr160</v>
          </cell>
          <cell r="C3979" t="str">
            <v>1,2-Diacyl-sn-glycerol (dihexadecanoyl, n-C16:0)</v>
          </cell>
        </row>
        <row r="3980">
          <cell r="A3980" t="str">
            <v>12dgr181_c</v>
          </cell>
          <cell r="B3980" t="str">
            <v>12dgr181</v>
          </cell>
          <cell r="C3980" t="str">
            <v>1,2-Diacyl-sn-glycerol (dioctadec-11-enoyl, n-C18:1)</v>
          </cell>
        </row>
        <row r="3981">
          <cell r="A3981" t="str">
            <v>12ppd__R_c</v>
          </cell>
          <cell r="B3981" t="str">
            <v>12ppd__R</v>
          </cell>
          <cell r="C3981" t="str">
            <v>(R)-Propane-1,2-diol</v>
          </cell>
        </row>
        <row r="3982">
          <cell r="A3982" t="str">
            <v>1odecg3p_c</v>
          </cell>
          <cell r="B3982" t="str">
            <v>1odecg3p</v>
          </cell>
          <cell r="C3982" t="str">
            <v>1-octadecanoyl-sn-glycerol 3-phosphate</v>
          </cell>
        </row>
        <row r="3983">
          <cell r="A3983" t="str">
            <v>1tdecg3p_c</v>
          </cell>
          <cell r="B3983" t="str">
            <v>1tdecg3p</v>
          </cell>
          <cell r="C3983" t="str">
            <v>1-tetradecanoyl-sn-glycerol 3-phosphate</v>
          </cell>
        </row>
        <row r="3984">
          <cell r="A3984" t="str">
            <v>23dhmb_c</v>
          </cell>
          <cell r="B3984" t="str">
            <v>23dhmb</v>
          </cell>
          <cell r="C3984" t="str">
            <v>(R)-2,3-Dihydroxy-3-methylbutanoate</v>
          </cell>
        </row>
        <row r="3985">
          <cell r="A3985" t="str">
            <v>25drapp_c</v>
          </cell>
          <cell r="B3985" t="str">
            <v>25drapp</v>
          </cell>
          <cell r="C3985" t="str">
            <v>2,5-Diamino-6-(ribosylamino)-4-(3H)-pyrimidinone 5'-phosphate</v>
          </cell>
        </row>
        <row r="3986">
          <cell r="A3986" t="str">
            <v>2agpe140_c</v>
          </cell>
          <cell r="B3986" t="str">
            <v>2agpe140</v>
          </cell>
          <cell r="C3986" t="str">
            <v>2-Acyl-sn-glycero-3-phosphoethanolamine (n-C14:0)</v>
          </cell>
        </row>
        <row r="3987">
          <cell r="A3987" t="str">
            <v>2amsa_c</v>
          </cell>
          <cell r="B3987" t="str">
            <v>2amsa</v>
          </cell>
          <cell r="C3987" t="str">
            <v>2-Aminomalonate semialdehyde</v>
          </cell>
        </row>
        <row r="3988">
          <cell r="A3988" t="str">
            <v>2ddecg3p_c</v>
          </cell>
          <cell r="B3988" t="str">
            <v>2ddecg3p</v>
          </cell>
          <cell r="C3988" t="str">
            <v>2-dodecanoyl-sn-glycerol 3-phosphate</v>
          </cell>
        </row>
        <row r="3989">
          <cell r="A3989" t="str">
            <v>2dh3dgal_c</v>
          </cell>
          <cell r="B3989" t="str">
            <v>2dh3dgal</v>
          </cell>
          <cell r="C3989" t="str">
            <v>2-Dehydro-3-deoxy-D-galactonate</v>
          </cell>
        </row>
        <row r="3990">
          <cell r="A3990" t="str">
            <v>2dmmq8_c</v>
          </cell>
          <cell r="B3990" t="str">
            <v>2dmmq8</v>
          </cell>
          <cell r="C3990" t="str">
            <v>2-Demethylmenaquinone 8</v>
          </cell>
        </row>
        <row r="3991">
          <cell r="A3991" t="str">
            <v>2dr5p_c</v>
          </cell>
          <cell r="B3991" t="str">
            <v>2dr5p</v>
          </cell>
          <cell r="C3991" t="str">
            <v>2-Deoxy-D-ribose 5-phosphate</v>
          </cell>
        </row>
        <row r="3992">
          <cell r="A3992" t="str">
            <v>2fe2s_c</v>
          </cell>
          <cell r="B3992" t="str">
            <v>2fe2s</v>
          </cell>
          <cell r="C3992" t="str">
            <v>[2Fe-2S] iron-sulfur cluster</v>
          </cell>
        </row>
        <row r="3993">
          <cell r="A3993" t="str">
            <v>2hdec9eg3p_c</v>
          </cell>
          <cell r="B3993" t="str">
            <v>2hdec9eg3p</v>
          </cell>
          <cell r="C3993" t="str">
            <v>2-hexadec-9-enoyl-sn-glycerol 3-phosphate</v>
          </cell>
        </row>
        <row r="3994">
          <cell r="A3994" t="str">
            <v>2mcit_c</v>
          </cell>
          <cell r="B3994" t="str">
            <v>2mcit</v>
          </cell>
          <cell r="C3994" t="str">
            <v>2-Methylcitrate</v>
          </cell>
        </row>
        <row r="3995">
          <cell r="A3995" t="str">
            <v>2omhmbl_c</v>
          </cell>
          <cell r="B3995" t="str">
            <v>2omhmbl</v>
          </cell>
          <cell r="C3995" t="str">
            <v>2-Octaprenyl-3-methyl-5-hydroxy-6-methoxy-1,4-benzoquinol</v>
          </cell>
        </row>
        <row r="3996">
          <cell r="A3996" t="str">
            <v>2p4c2me_c</v>
          </cell>
          <cell r="B3996" t="str">
            <v>2p4c2me</v>
          </cell>
          <cell r="C3996" t="str">
            <v>2-phospho-4-(cytidine 5'-diphospho)-2-C-methyl-D-erythritol</v>
          </cell>
        </row>
        <row r="3997">
          <cell r="A3997" t="str">
            <v>2sephchc_c</v>
          </cell>
          <cell r="B3997" t="str">
            <v>2sephchc</v>
          </cell>
          <cell r="C3997" t="str">
            <v>2-succinyl-5-enolpyruvyl-6-hydroxy-3-cyclohexene-1-carboxylate</v>
          </cell>
        </row>
        <row r="3998">
          <cell r="A3998" t="str">
            <v>2tpr3dpcoa_c</v>
          </cell>
          <cell r="B3998" t="str">
            <v>2tpr3dpcoa</v>
          </cell>
          <cell r="C3998" t="str">
            <v>2'-(5''-triphosphoribosyl)-3'-dephospho-CoA</v>
          </cell>
        </row>
        <row r="3999">
          <cell r="A3999" t="str">
            <v>34hpp_c</v>
          </cell>
          <cell r="B3999" t="str">
            <v>34hpp</v>
          </cell>
          <cell r="C3999" t="str">
            <v>3-(4-Hydroxyphenyl)pyruvate</v>
          </cell>
        </row>
        <row r="4000">
          <cell r="A4000" t="str">
            <v>3amac_c</v>
          </cell>
          <cell r="B4000" t="str">
            <v>3amac</v>
          </cell>
          <cell r="C4000" t="str">
            <v>3-Aminoacrylate</v>
          </cell>
        </row>
        <row r="4001">
          <cell r="A4001" t="str">
            <v>3dhgulnp_c</v>
          </cell>
          <cell r="B4001" t="str">
            <v>3dhgulnp</v>
          </cell>
          <cell r="C4001" t="str">
            <v>3-keto-L-gulonate-6-phosphate</v>
          </cell>
        </row>
        <row r="4002">
          <cell r="A4002" t="str">
            <v>3fe4s_c</v>
          </cell>
          <cell r="B4002" t="str">
            <v>3fe4s</v>
          </cell>
          <cell r="C4002" t="str">
            <v>[3Fe-4S] damaged iron-sulfur cluster</v>
          </cell>
        </row>
        <row r="4003">
          <cell r="A4003" t="str">
            <v>3hhexACP_c</v>
          </cell>
          <cell r="B4003" t="str">
            <v>3hhexACP</v>
          </cell>
          <cell r="C4003" t="str">
            <v>(R)-3-Hydroxyhexanoyl-[acyl-carrier protein]</v>
          </cell>
        </row>
        <row r="4004">
          <cell r="A4004" t="str">
            <v>3hmrsACP_c</v>
          </cell>
          <cell r="B4004" t="str">
            <v>3hmrsACP</v>
          </cell>
          <cell r="C4004" t="str">
            <v>(R)-3-Hydroxytetradecanoyl-[acyl-carrier protein]</v>
          </cell>
        </row>
        <row r="4005">
          <cell r="A4005" t="str">
            <v>3hodcoa_c</v>
          </cell>
          <cell r="B4005" t="str">
            <v>3hodcoa</v>
          </cell>
          <cell r="C4005" t="str">
            <v>(S)-3-Hydroxyoctadecanoyl-CoA</v>
          </cell>
        </row>
        <row r="4006">
          <cell r="A4006" t="str">
            <v>3oddcoa_c</v>
          </cell>
          <cell r="B4006" t="str">
            <v>3oddcoa</v>
          </cell>
          <cell r="C4006" t="str">
            <v>3-Oxododecanoyl-CoA</v>
          </cell>
        </row>
        <row r="4007">
          <cell r="A4007" t="str">
            <v>3odecACP_c</v>
          </cell>
          <cell r="B4007" t="str">
            <v>3odecACP</v>
          </cell>
          <cell r="C4007" t="str">
            <v>3-Oxodecanoyl-[acyl-carrier protein]</v>
          </cell>
        </row>
        <row r="4008">
          <cell r="A4008" t="str">
            <v>3omrsACP_c</v>
          </cell>
          <cell r="B4008" t="str">
            <v>3omrsACP</v>
          </cell>
          <cell r="C4008" t="str">
            <v>3-Oxotetradecanoyl-[acyl-carrier protein]</v>
          </cell>
        </row>
        <row r="4009">
          <cell r="A4009" t="str">
            <v>3oocoa_c</v>
          </cell>
          <cell r="B4009" t="str">
            <v>3oocoa</v>
          </cell>
          <cell r="C4009" t="str">
            <v>3-Oxooctanoyl-CoA</v>
          </cell>
        </row>
        <row r="4010">
          <cell r="A4010" t="str">
            <v>3ooctACP_c</v>
          </cell>
          <cell r="B4010" t="str">
            <v>3ooctACP</v>
          </cell>
          <cell r="C4010" t="str">
            <v>3-Oxooctanoyl-[acyl-carrier protein]</v>
          </cell>
        </row>
        <row r="4011">
          <cell r="A4011" t="str">
            <v>3php_c</v>
          </cell>
          <cell r="B4011" t="str">
            <v>3php</v>
          </cell>
          <cell r="C4011" t="str">
            <v>3-Phosphohydroxypyruvate</v>
          </cell>
        </row>
        <row r="4012">
          <cell r="A4012" t="str">
            <v>3psme_c</v>
          </cell>
          <cell r="B4012" t="str">
            <v>3psme</v>
          </cell>
          <cell r="C4012" t="str">
            <v>5-O-(1-Carboxyvinyl)-3-phosphoshikimate</v>
          </cell>
        </row>
        <row r="4013">
          <cell r="A4013" t="str">
            <v>3sala_c</v>
          </cell>
          <cell r="B4013" t="str">
            <v>3sala</v>
          </cell>
          <cell r="C4013" t="str">
            <v>3-Sulfino-L-alanine</v>
          </cell>
        </row>
        <row r="4014">
          <cell r="A4014" t="str">
            <v>4abut_c</v>
          </cell>
          <cell r="B4014" t="str">
            <v>4abut</v>
          </cell>
          <cell r="C4014" t="str">
            <v>4-Aminobutanoate</v>
          </cell>
        </row>
        <row r="4015">
          <cell r="A4015" t="str">
            <v>4abz_c</v>
          </cell>
          <cell r="B4015" t="str">
            <v>4abz</v>
          </cell>
          <cell r="C4015" t="str">
            <v>4-Aminobenzoate</v>
          </cell>
        </row>
        <row r="4016">
          <cell r="A4016" t="str">
            <v>4c2me_c</v>
          </cell>
          <cell r="B4016" t="str">
            <v>4c2me</v>
          </cell>
          <cell r="C4016" t="str">
            <v>4-(cytidine 5'-diphospho)-2-C-methyl-D-erythritol</v>
          </cell>
        </row>
        <row r="4017">
          <cell r="A4017" t="str">
            <v>4hthr_c</v>
          </cell>
          <cell r="B4017" t="str">
            <v>4hthr</v>
          </cell>
          <cell r="C4017" t="str">
            <v>4-Hydroxy-L-threonine</v>
          </cell>
        </row>
        <row r="4018">
          <cell r="A4018" t="str">
            <v>4mhetz_c</v>
          </cell>
          <cell r="B4018" t="str">
            <v>4mhetz</v>
          </cell>
          <cell r="C4018" t="str">
            <v>4-Methyl-5-(2-hydroxyethyl)-thiazole</v>
          </cell>
        </row>
        <row r="4019">
          <cell r="A4019" t="str">
            <v>4r5au_c</v>
          </cell>
          <cell r="B4019" t="str">
            <v>4r5au</v>
          </cell>
          <cell r="C4019" t="str">
            <v>4-(1-D-Ribitylamino)-5-aminouracil</v>
          </cell>
        </row>
        <row r="4020">
          <cell r="A4020" t="str">
            <v>5dglcn_c</v>
          </cell>
          <cell r="B4020" t="str">
            <v>5dglcn</v>
          </cell>
          <cell r="C4020" t="str">
            <v>5-Dehydro-D-gluconate</v>
          </cell>
        </row>
        <row r="4021">
          <cell r="A4021" t="str">
            <v>5fthf_c</v>
          </cell>
          <cell r="B4021" t="str">
            <v>5fthf</v>
          </cell>
          <cell r="C4021" t="str">
            <v>5-Formyltetrahydrofolate</v>
          </cell>
        </row>
        <row r="4022">
          <cell r="A4022" t="str">
            <v>5mthf_c</v>
          </cell>
          <cell r="B4022" t="str">
            <v>5mthf</v>
          </cell>
          <cell r="C4022" t="str">
            <v>5-Methyltetrahydrofolate</v>
          </cell>
        </row>
        <row r="4023">
          <cell r="A4023" t="str">
            <v>8aonn_c</v>
          </cell>
          <cell r="B4023" t="str">
            <v>8aonn</v>
          </cell>
          <cell r="C4023" t="str">
            <v>8-Amino-7-oxononanoate</v>
          </cell>
        </row>
        <row r="4024">
          <cell r="A4024" t="str">
            <v>ACP_c</v>
          </cell>
          <cell r="B4024" t="str">
            <v>ACP</v>
          </cell>
          <cell r="C4024" t="str">
            <v>Acyl carrier protein</v>
          </cell>
        </row>
        <row r="4025">
          <cell r="A4025" t="str">
            <v>LalaDgluMdap_c</v>
          </cell>
          <cell r="B4025" t="str">
            <v>LalaDgluMdap</v>
          </cell>
          <cell r="C4025" t="str">
            <v>L-alanine-D-glutamate-meso-2,6-diaminoheptanedioate</v>
          </cell>
        </row>
        <row r="4026">
          <cell r="A4026" t="str">
            <v>Sfglutth_c</v>
          </cell>
          <cell r="B4026" t="str">
            <v>Sfglutth</v>
          </cell>
          <cell r="C4026" t="str">
            <v>S-Formylglutathione</v>
          </cell>
        </row>
        <row r="4027">
          <cell r="A4027" t="str">
            <v>aacald_c</v>
          </cell>
          <cell r="B4027" t="str">
            <v>aacald</v>
          </cell>
          <cell r="C4027" t="str">
            <v>Aminoacetaldehyde</v>
          </cell>
        </row>
        <row r="4028">
          <cell r="A4028" t="str">
            <v>aact_c</v>
          </cell>
          <cell r="B4028" t="str">
            <v>aact</v>
          </cell>
          <cell r="C4028" t="str">
            <v>Aminoacetone</v>
          </cell>
        </row>
        <row r="4029">
          <cell r="A4029" t="str">
            <v>acACP_c</v>
          </cell>
          <cell r="B4029" t="str">
            <v>acACP</v>
          </cell>
          <cell r="C4029" t="str">
            <v>Acetyl-ACP</v>
          </cell>
        </row>
        <row r="4030">
          <cell r="A4030" t="str">
            <v>acac_c</v>
          </cell>
          <cell r="B4030" t="str">
            <v>acac</v>
          </cell>
          <cell r="C4030" t="str">
            <v>Acetoacetate</v>
          </cell>
        </row>
        <row r="4031">
          <cell r="A4031" t="str">
            <v>acanth_c</v>
          </cell>
          <cell r="B4031" t="str">
            <v>acanth</v>
          </cell>
          <cell r="C4031" t="str">
            <v>N-Acetylanthranilate</v>
          </cell>
        </row>
        <row r="4032">
          <cell r="A4032" t="str">
            <v>acg5sa_c</v>
          </cell>
          <cell r="B4032" t="str">
            <v>acg5sa</v>
          </cell>
          <cell r="C4032" t="str">
            <v>N-Acetyl-L-glutamate 5-semialdehyde</v>
          </cell>
        </row>
        <row r="4033">
          <cell r="A4033" t="str">
            <v>acmana_c</v>
          </cell>
          <cell r="B4033" t="str">
            <v>acmana</v>
          </cell>
          <cell r="C4033" t="str">
            <v>N-Acetyl-D-mannosamine</v>
          </cell>
        </row>
        <row r="4034">
          <cell r="A4034" t="str">
            <v>acmum6p_c</v>
          </cell>
          <cell r="B4034" t="str">
            <v>acmum6p</v>
          </cell>
          <cell r="C4034" t="str">
            <v>N-acetylmuramate 6-phosphate</v>
          </cell>
        </row>
        <row r="4035">
          <cell r="A4035" t="str">
            <v>actACP_c</v>
          </cell>
          <cell r="B4035" t="str">
            <v>actACP</v>
          </cell>
          <cell r="C4035" t="str">
            <v>Acetoacetyl-ACP</v>
          </cell>
        </row>
        <row r="4036">
          <cell r="A4036" t="str">
            <v>ade_c</v>
          </cell>
          <cell r="B4036" t="str">
            <v>ade</v>
          </cell>
          <cell r="C4036" t="str">
            <v>Adenine</v>
          </cell>
        </row>
        <row r="4037">
          <cell r="A4037" t="str">
            <v>adphep_DD_c</v>
          </cell>
          <cell r="B4037" t="str">
            <v>adphep_DD</v>
          </cell>
          <cell r="C4037" t="str">
            <v>ADP-D-glycero-D-manno-heptose</v>
          </cell>
        </row>
        <row r="4038">
          <cell r="A4038" t="str">
            <v>adphep_LD_c</v>
          </cell>
          <cell r="B4038" t="str">
            <v>adphep_LD</v>
          </cell>
          <cell r="C4038" t="str">
            <v>ADP-L-glycero-D-manno-heptose</v>
          </cell>
        </row>
        <row r="4039">
          <cell r="A4039" t="str">
            <v>aicar_c</v>
          </cell>
          <cell r="B4039" t="str">
            <v>aicar</v>
          </cell>
          <cell r="C4039" t="str">
            <v>5-Amino-1-(5-Phospho-D-ribosyl)imidazole-4-carboxamide</v>
          </cell>
        </row>
        <row r="4040">
          <cell r="A4040" t="str">
            <v>alltn_c</v>
          </cell>
          <cell r="B4040" t="str">
            <v>alltn</v>
          </cell>
          <cell r="C4040" t="str">
            <v>Allantoin</v>
          </cell>
        </row>
        <row r="4041">
          <cell r="A4041" t="str">
            <v>allul6p_c</v>
          </cell>
          <cell r="B4041" t="str">
            <v>allul6p</v>
          </cell>
          <cell r="C4041" t="str">
            <v>Allulose 6-phosphate</v>
          </cell>
        </row>
        <row r="4042">
          <cell r="A4042" t="str">
            <v>altrn_c</v>
          </cell>
          <cell r="B4042" t="str">
            <v>altrn</v>
          </cell>
          <cell r="C4042" t="str">
            <v>D-Altronate</v>
          </cell>
        </row>
        <row r="4043">
          <cell r="A4043" t="str">
            <v>anhgm_c</v>
          </cell>
          <cell r="B4043" t="str">
            <v>anhgm</v>
          </cell>
          <cell r="C4043" t="str">
            <v>N-Acetyl-D-glucosamine(anhydrous)N-Acetylmuramic acid</v>
          </cell>
        </row>
        <row r="4044">
          <cell r="A4044" t="str">
            <v>anhgm3p_c</v>
          </cell>
          <cell r="B4044" t="str">
            <v>anhgm3p</v>
          </cell>
          <cell r="C4044" t="str">
            <v>N-Acetyl-D-glucosamine(anhydrous)N-Acetylmuramyl-tripeptide</v>
          </cell>
        </row>
        <row r="4045">
          <cell r="A4045" t="str">
            <v>anhm_c</v>
          </cell>
          <cell r="B4045" t="str">
            <v>anhm</v>
          </cell>
          <cell r="C4045" t="str">
            <v>1,6-anhydrous-N-Acetylmuramate</v>
          </cell>
        </row>
        <row r="4046">
          <cell r="A4046" t="str">
            <v>anhm3p_c</v>
          </cell>
          <cell r="B4046" t="str">
            <v>anhm3p</v>
          </cell>
          <cell r="C4046" t="str">
            <v>1,6-anhydrous-N-Acetylmuramyl-tripeptide</v>
          </cell>
        </row>
        <row r="4047">
          <cell r="A4047" t="str">
            <v>anth_c</v>
          </cell>
          <cell r="B4047" t="str">
            <v>anth</v>
          </cell>
          <cell r="C4047" t="str">
            <v>Anthranilate</v>
          </cell>
        </row>
        <row r="4048">
          <cell r="A4048" t="str">
            <v>aps_c</v>
          </cell>
          <cell r="B4048" t="str">
            <v>aps</v>
          </cell>
          <cell r="C4048" t="str">
            <v>Adenosine 5'-phosphosulfate</v>
          </cell>
        </row>
        <row r="4049">
          <cell r="A4049" t="str">
            <v>ara5p_c</v>
          </cell>
          <cell r="B4049" t="str">
            <v>ara5p</v>
          </cell>
          <cell r="C4049" t="str">
            <v>D-Arabinose 5-phosphate</v>
          </cell>
        </row>
        <row r="4050">
          <cell r="A4050" t="str">
            <v>arbtn_fe3_c</v>
          </cell>
          <cell r="B4050" t="str">
            <v>arbtn_fe3</v>
          </cell>
          <cell r="C4050" t="str">
            <v>Aerobactin</v>
          </cell>
        </row>
        <row r="4051">
          <cell r="A4051" t="str">
            <v>arg__L_c</v>
          </cell>
          <cell r="B4051" t="str">
            <v>arg__L</v>
          </cell>
          <cell r="C4051" t="str">
            <v>L-Arginine</v>
          </cell>
        </row>
        <row r="4052">
          <cell r="A4052" t="str">
            <v>bmoco_c</v>
          </cell>
          <cell r="B4052" t="str">
            <v>bmoco</v>
          </cell>
          <cell r="C4052" t="str">
            <v>Bis-molybdenum cofactor</v>
          </cell>
        </row>
        <row r="4053">
          <cell r="A4053" t="str">
            <v>but2eACP_c</v>
          </cell>
          <cell r="B4053" t="str">
            <v>but2eACP</v>
          </cell>
          <cell r="C4053" t="str">
            <v>But-2-enoyl-[acyl-carrier protein]</v>
          </cell>
        </row>
        <row r="4054">
          <cell r="A4054" t="str">
            <v>butACP_c</v>
          </cell>
          <cell r="B4054" t="str">
            <v>butACP</v>
          </cell>
          <cell r="C4054" t="str">
            <v>Butyryl-ACP (n-C4:0ACP)</v>
          </cell>
        </row>
        <row r="4055">
          <cell r="A4055" t="str">
            <v>bwco_c</v>
          </cell>
          <cell r="B4055" t="str">
            <v>bwco</v>
          </cell>
          <cell r="C4055" t="str">
            <v>Tungsten bispterin cofactor</v>
          </cell>
        </row>
        <row r="4056">
          <cell r="A4056" t="str">
            <v>cbl1_c</v>
          </cell>
          <cell r="B4056" t="str">
            <v>cbl1</v>
          </cell>
          <cell r="C4056" t="str">
            <v>Cob(I)alamin</v>
          </cell>
        </row>
        <row r="4057">
          <cell r="A4057" t="str">
            <v>cdec3eACP_c</v>
          </cell>
          <cell r="B4057" t="str">
            <v>cdec3eACP</v>
          </cell>
          <cell r="C4057" t="str">
            <v>Cis-dec-3-enoyl-[acyl-carrier protein] (n-C10:1)</v>
          </cell>
        </row>
        <row r="4058">
          <cell r="A4058" t="str">
            <v>cdpdhdecg_c</v>
          </cell>
          <cell r="B4058" t="str">
            <v>cdpdhdecg</v>
          </cell>
          <cell r="C4058" t="str">
            <v>CDP-1,2-dihexadecanoylglycerol</v>
          </cell>
        </row>
        <row r="4059">
          <cell r="A4059" t="str">
            <v>cechddd_c</v>
          </cell>
          <cell r="B4059" t="str">
            <v>cechddd</v>
          </cell>
          <cell r="C4059" t="str">
            <v>Cis-3-(3-carboxyethyl)-3,5-cyclohexadiene-1,2-diol</v>
          </cell>
        </row>
        <row r="4060">
          <cell r="A4060" t="str">
            <v>cgly_c</v>
          </cell>
          <cell r="B4060" t="str">
            <v>cgly</v>
          </cell>
          <cell r="C4060" t="str">
            <v>Cys Gly C5H10N2O3S</v>
          </cell>
        </row>
        <row r="4061">
          <cell r="A4061" t="str">
            <v>chol_c</v>
          </cell>
          <cell r="B4061" t="str">
            <v>chol</v>
          </cell>
          <cell r="C4061" t="str">
            <v>Choline C5H14NO</v>
          </cell>
        </row>
        <row r="4062">
          <cell r="A4062" t="str">
            <v>cinnm_c</v>
          </cell>
          <cell r="B4062" t="str">
            <v>cinnm</v>
          </cell>
          <cell r="C4062" t="str">
            <v>Trans-Cinnamate</v>
          </cell>
        </row>
        <row r="4063">
          <cell r="A4063" t="str">
            <v>cit_c</v>
          </cell>
          <cell r="B4063" t="str">
            <v>cit</v>
          </cell>
          <cell r="C4063" t="str">
            <v>Citrate</v>
          </cell>
        </row>
        <row r="4064">
          <cell r="A4064" t="str">
            <v>citr__L_c</v>
          </cell>
          <cell r="B4064" t="str">
            <v>citr__L</v>
          </cell>
          <cell r="C4064" t="str">
            <v>L-Citrulline</v>
          </cell>
        </row>
        <row r="4065">
          <cell r="A4065" t="str">
            <v>co2_c</v>
          </cell>
          <cell r="B4065" t="str">
            <v>co2</v>
          </cell>
          <cell r="C4065" t="str">
            <v>CO2 CO2</v>
          </cell>
        </row>
        <row r="4066">
          <cell r="A4066" t="str">
            <v>cpgn_c</v>
          </cell>
          <cell r="B4066" t="str">
            <v>cpgn</v>
          </cell>
          <cell r="C4066" t="str">
            <v>Coprogen</v>
          </cell>
        </row>
        <row r="4067">
          <cell r="A4067" t="str">
            <v>cpgn_un_c</v>
          </cell>
          <cell r="B4067" t="str">
            <v>cpgn_un</v>
          </cell>
          <cell r="C4067" t="str">
            <v>Coprogen unloaded (no Fe(III))</v>
          </cell>
        </row>
        <row r="4068">
          <cell r="A4068" t="str">
            <v>cpppg3_c</v>
          </cell>
          <cell r="B4068" t="str">
            <v>cpppg3</v>
          </cell>
          <cell r="C4068" t="str">
            <v>Coproporphyrinogen III</v>
          </cell>
        </row>
        <row r="4069">
          <cell r="A4069" t="str">
            <v>crnDcoa_c</v>
          </cell>
          <cell r="B4069" t="str">
            <v>crnDcoa</v>
          </cell>
          <cell r="C4069" t="str">
            <v>D-carnitinyl-CoA</v>
          </cell>
        </row>
        <row r="4070">
          <cell r="A4070" t="str">
            <v>cyan_c</v>
          </cell>
          <cell r="B4070" t="str">
            <v>cyan</v>
          </cell>
          <cell r="C4070" t="str">
            <v>Hydrogen cyanide</v>
          </cell>
        </row>
        <row r="4071">
          <cell r="A4071" t="str">
            <v>dctp_c</v>
          </cell>
          <cell r="B4071" t="str">
            <v>dctp</v>
          </cell>
          <cell r="C4071" t="str">
            <v>DCTP C9H12N3O13P3</v>
          </cell>
        </row>
        <row r="4072">
          <cell r="A4072" t="str">
            <v>dd2coa_c</v>
          </cell>
          <cell r="B4072" t="str">
            <v>dd2coa</v>
          </cell>
          <cell r="C4072" t="str">
            <v>Trans-Dodec-2-enoyl-CoA</v>
          </cell>
        </row>
        <row r="4073">
          <cell r="A4073" t="str">
            <v>ddcaACP_c</v>
          </cell>
          <cell r="B4073" t="str">
            <v>ddcaACP</v>
          </cell>
          <cell r="C4073" t="str">
            <v>Dodecanoyl-ACP (n-C12:0ACP)</v>
          </cell>
        </row>
        <row r="4074">
          <cell r="A4074" t="str">
            <v>dgsn_c</v>
          </cell>
          <cell r="B4074" t="str">
            <v>dgsn</v>
          </cell>
          <cell r="C4074" t="str">
            <v>Deoxyguanosine</v>
          </cell>
        </row>
        <row r="4075">
          <cell r="A4075" t="str">
            <v>dhpt_c</v>
          </cell>
          <cell r="B4075" t="str">
            <v>dhpt</v>
          </cell>
          <cell r="C4075" t="str">
            <v>Dihydropteroate</v>
          </cell>
        </row>
        <row r="4076">
          <cell r="A4076" t="str">
            <v>dms_c</v>
          </cell>
          <cell r="B4076" t="str">
            <v>dms</v>
          </cell>
          <cell r="C4076" t="str">
            <v>Dimethyl sulfide</v>
          </cell>
        </row>
        <row r="4077">
          <cell r="A4077" t="str">
            <v>dmso_c</v>
          </cell>
          <cell r="B4077" t="str">
            <v>dmso</v>
          </cell>
          <cell r="C4077" t="str">
            <v>Dimethyl sulfoxide</v>
          </cell>
        </row>
        <row r="4078">
          <cell r="A4078" t="str">
            <v>dnad_c</v>
          </cell>
          <cell r="B4078" t="str">
            <v>dnad</v>
          </cell>
          <cell r="C4078" t="str">
            <v>Deamino-NAD+</v>
          </cell>
        </row>
        <row r="4079">
          <cell r="A4079" t="str">
            <v>dpcoa_c</v>
          </cell>
          <cell r="B4079" t="str">
            <v>dpcoa</v>
          </cell>
          <cell r="C4079" t="str">
            <v>Dephospho-CoA</v>
          </cell>
        </row>
        <row r="4080">
          <cell r="A4080" t="str">
            <v>dtdp_c</v>
          </cell>
          <cell r="B4080" t="str">
            <v>dtdp</v>
          </cell>
          <cell r="C4080" t="str">
            <v>DTDP C10H13N2O11P2</v>
          </cell>
        </row>
        <row r="4081">
          <cell r="A4081" t="str">
            <v>dtdp4aaddg_c</v>
          </cell>
          <cell r="B4081" t="str">
            <v>dtdp4aaddg</v>
          </cell>
          <cell r="C4081" t="str">
            <v>DTDP-4-acetamido-4,6-dideoxy-D-galactose</v>
          </cell>
        </row>
        <row r="4082">
          <cell r="A4082" t="str">
            <v>dtdp4d6dg_c</v>
          </cell>
          <cell r="B4082" t="str">
            <v>dtdp4d6dg</v>
          </cell>
          <cell r="C4082" t="str">
            <v>DTDP-4-dehydro-6-deoxy-D-glucose</v>
          </cell>
        </row>
        <row r="4083">
          <cell r="A4083" t="str">
            <v>dxyl_c</v>
          </cell>
          <cell r="B4083" t="str">
            <v>dxyl</v>
          </cell>
          <cell r="C4083" t="str">
            <v>1-deoxy-D-xylulose</v>
          </cell>
        </row>
        <row r="4084">
          <cell r="A4084" t="str">
            <v>dxyl5p_c</v>
          </cell>
          <cell r="B4084" t="str">
            <v>dxyl5p</v>
          </cell>
          <cell r="C4084" t="str">
            <v>1-deoxy-D-xylulose 5-phosphate</v>
          </cell>
        </row>
        <row r="4085">
          <cell r="A4085" t="str">
            <v>etha_c</v>
          </cell>
          <cell r="B4085" t="str">
            <v>etha</v>
          </cell>
          <cell r="C4085" t="str">
            <v>Ethanolamine</v>
          </cell>
        </row>
        <row r="4086">
          <cell r="A4086" t="str">
            <v>ethso3_c</v>
          </cell>
          <cell r="B4086" t="str">
            <v>ethso3</v>
          </cell>
          <cell r="C4086" t="str">
            <v>Ethanesulfonate</v>
          </cell>
        </row>
        <row r="4087">
          <cell r="A4087" t="str">
            <v>fcl__L_c</v>
          </cell>
          <cell r="B4087" t="str">
            <v>fcl__L</v>
          </cell>
          <cell r="C4087" t="str">
            <v>L-fuculose</v>
          </cell>
        </row>
        <row r="4088">
          <cell r="A4088" t="str">
            <v>fecrm_un_c</v>
          </cell>
          <cell r="B4088" t="str">
            <v>fecrm_un</v>
          </cell>
          <cell r="C4088" t="str">
            <v>Ferrichrome minus Fe(III)</v>
          </cell>
        </row>
        <row r="4089">
          <cell r="A4089" t="str">
            <v>feenter_c</v>
          </cell>
          <cell r="B4089" t="str">
            <v>feenter</v>
          </cell>
          <cell r="C4089" t="str">
            <v>Fe-enterobactin</v>
          </cell>
        </row>
        <row r="4090">
          <cell r="A4090" t="str">
            <v>g6p_c</v>
          </cell>
          <cell r="B4090" t="str">
            <v>g6p</v>
          </cell>
          <cell r="C4090" t="str">
            <v>D-Glucose 6-phosphate</v>
          </cell>
        </row>
        <row r="4091">
          <cell r="A4091" t="str">
            <v>galt1p_c</v>
          </cell>
          <cell r="B4091" t="str">
            <v>galt1p</v>
          </cell>
          <cell r="C4091" t="str">
            <v>Galactitol 1-phosphate</v>
          </cell>
        </row>
        <row r="4092">
          <cell r="A4092" t="str">
            <v>gg4abut_c</v>
          </cell>
          <cell r="B4092" t="str">
            <v>gg4abut</v>
          </cell>
          <cell r="C4092" t="str">
            <v>Gamma-glutamyl-gamma aminobutyric acid</v>
          </cell>
        </row>
        <row r="4093">
          <cell r="A4093" t="str">
            <v>glu5sa_c</v>
          </cell>
          <cell r="B4093" t="str">
            <v>glu5sa</v>
          </cell>
          <cell r="C4093" t="str">
            <v>L-Glutamate 5-semialdehyde</v>
          </cell>
        </row>
        <row r="4094">
          <cell r="A4094" t="str">
            <v>glucys_c</v>
          </cell>
          <cell r="B4094" t="str">
            <v>glucys</v>
          </cell>
          <cell r="C4094" t="str">
            <v>Gamma-L-Glutamyl-L-cysteine</v>
          </cell>
        </row>
        <row r="4095">
          <cell r="A4095" t="str">
            <v>gly_c</v>
          </cell>
          <cell r="B4095" t="str">
            <v>gly</v>
          </cell>
          <cell r="C4095" t="str">
            <v>Glycine</v>
          </cell>
        </row>
        <row r="4096">
          <cell r="A4096" t="str">
            <v>glyc3p_c</v>
          </cell>
          <cell r="B4096" t="str">
            <v>glyc3p</v>
          </cell>
          <cell r="C4096" t="str">
            <v>Glycerol 3-phosphate</v>
          </cell>
        </row>
        <row r="4097">
          <cell r="A4097" t="str">
            <v>gmhep17bp_c</v>
          </cell>
          <cell r="B4097" t="str">
            <v>gmhep17bp</v>
          </cell>
          <cell r="C4097" t="str">
            <v>D-Glycero-D-manno-heptose 1,7-bisphosphate</v>
          </cell>
        </row>
        <row r="4098">
          <cell r="A4098" t="str">
            <v>gmp_c</v>
          </cell>
          <cell r="B4098" t="str">
            <v>gmp</v>
          </cell>
          <cell r="C4098" t="str">
            <v>GMP C10H12N5O8P</v>
          </cell>
        </row>
        <row r="4099">
          <cell r="A4099" t="str">
            <v>gthrd_c</v>
          </cell>
          <cell r="B4099" t="str">
            <v>gthrd</v>
          </cell>
          <cell r="C4099" t="str">
            <v>Reduced glutathione</v>
          </cell>
        </row>
        <row r="4100">
          <cell r="A4100" t="str">
            <v>hemeO_c</v>
          </cell>
          <cell r="B4100" t="str">
            <v>hemeO</v>
          </cell>
          <cell r="C4100" t="str">
            <v>Heme O C49H56FeN4O5</v>
          </cell>
        </row>
        <row r="4101">
          <cell r="A4101" t="str">
            <v>hisp_c</v>
          </cell>
          <cell r="B4101" t="str">
            <v>hisp</v>
          </cell>
          <cell r="C4101" t="str">
            <v>L-Histidinol phosphate</v>
          </cell>
        </row>
        <row r="4102">
          <cell r="A4102" t="str">
            <v>hpmeACP_c</v>
          </cell>
          <cell r="B4102" t="str">
            <v>hpmeACP</v>
          </cell>
          <cell r="C4102" t="str">
            <v>3-Hydroxypimeloyl-[acyl-carrier protein] methyl ester</v>
          </cell>
        </row>
        <row r="4103">
          <cell r="A4103" t="str">
            <v>iasp_c</v>
          </cell>
          <cell r="B4103" t="str">
            <v>iasp</v>
          </cell>
          <cell r="C4103" t="str">
            <v>Iminoaspartate</v>
          </cell>
        </row>
        <row r="4104">
          <cell r="A4104" t="str">
            <v>inost_c</v>
          </cell>
          <cell r="B4104" t="str">
            <v>inost</v>
          </cell>
          <cell r="C4104" t="str">
            <v>Myo-Inositol</v>
          </cell>
        </row>
        <row r="4105">
          <cell r="A4105" t="str">
            <v>ipdp_c</v>
          </cell>
          <cell r="B4105" t="str">
            <v>ipdp</v>
          </cell>
          <cell r="C4105" t="str">
            <v>Isopentenyl diphosphate</v>
          </cell>
        </row>
        <row r="4106">
          <cell r="A4106" t="str">
            <v>iscssh_c</v>
          </cell>
          <cell r="B4106" t="str">
            <v>iscssh</v>
          </cell>
          <cell r="C4106" t="str">
            <v>IscS with bound sulfur</v>
          </cell>
        </row>
        <row r="4107">
          <cell r="A4107" t="str">
            <v>kdo_c</v>
          </cell>
          <cell r="B4107" t="str">
            <v>kdo</v>
          </cell>
          <cell r="C4107" t="str">
            <v>3-Deoxy-D-manno-2-octulosonate</v>
          </cell>
        </row>
        <row r="4108">
          <cell r="A4108" t="str">
            <v>leu__L_c</v>
          </cell>
          <cell r="B4108" t="str">
            <v>leu__L</v>
          </cell>
          <cell r="C4108" t="str">
            <v>L-Leucine</v>
          </cell>
        </row>
        <row r="4109">
          <cell r="A4109" t="str">
            <v>lipidA_c</v>
          </cell>
          <cell r="B4109" t="str">
            <v>lipidA</v>
          </cell>
          <cell r="C4109" t="str">
            <v>2,3,2'3'-Tetrakis(beta-hydroxymyristoyl)-D-glucosaminyl-1,6-beta-D-glucosamine 1,4'-bisphosphate</v>
          </cell>
        </row>
        <row r="4110">
          <cell r="A4110" t="str">
            <v>lipoate_c</v>
          </cell>
          <cell r="B4110" t="str">
            <v>lipoate</v>
          </cell>
          <cell r="C4110" t="str">
            <v>Lipoate</v>
          </cell>
        </row>
        <row r="4111">
          <cell r="A4111" t="str">
            <v>lys__L_c</v>
          </cell>
          <cell r="B4111" t="str">
            <v>lys__L</v>
          </cell>
          <cell r="C4111" t="str">
            <v>L-Lysine</v>
          </cell>
        </row>
        <row r="4112">
          <cell r="A4112" t="str">
            <v>malACP_c</v>
          </cell>
          <cell r="B4112" t="str">
            <v>malACP</v>
          </cell>
          <cell r="C4112" t="str">
            <v>Malonyl-[acyl-carrier protein]</v>
          </cell>
        </row>
        <row r="4113">
          <cell r="A4113" t="str">
            <v>malcoa_c</v>
          </cell>
          <cell r="B4113" t="str">
            <v>malcoa</v>
          </cell>
          <cell r="C4113" t="str">
            <v>Malonyl CoA C24H33N7O19P3S</v>
          </cell>
        </row>
        <row r="4114">
          <cell r="A4114" t="str">
            <v>man_c</v>
          </cell>
          <cell r="B4114" t="str">
            <v>man</v>
          </cell>
          <cell r="C4114" t="str">
            <v>D-Mannose</v>
          </cell>
        </row>
        <row r="4115">
          <cell r="A4115" t="str">
            <v>melib_c</v>
          </cell>
          <cell r="B4115" t="str">
            <v>melib</v>
          </cell>
          <cell r="C4115" t="str">
            <v>Melibiose C12H22O11</v>
          </cell>
        </row>
        <row r="4116">
          <cell r="A4116" t="str">
            <v>mettrna_c</v>
          </cell>
          <cell r="B4116" t="str">
            <v>mettrna</v>
          </cell>
          <cell r="C4116" t="str">
            <v>L-Methionyl-tRNA (Met)</v>
          </cell>
        </row>
        <row r="4117">
          <cell r="A4117" t="str">
            <v>moadcoo_c</v>
          </cell>
          <cell r="B4117" t="str">
            <v>moadcoo</v>
          </cell>
          <cell r="C4117" t="str">
            <v>MoaD Protein with carboxylate</v>
          </cell>
        </row>
        <row r="4118">
          <cell r="A4118" t="str">
            <v>mobd_c</v>
          </cell>
          <cell r="B4118" t="str">
            <v>mobd</v>
          </cell>
          <cell r="C4118" t="str">
            <v>Molybdate</v>
          </cell>
        </row>
        <row r="4119">
          <cell r="A4119" t="str">
            <v>moco_c</v>
          </cell>
          <cell r="B4119" t="str">
            <v>moco</v>
          </cell>
          <cell r="C4119" t="str">
            <v>Molybdenum cofactor</v>
          </cell>
        </row>
        <row r="4120">
          <cell r="A4120" t="str">
            <v>mththf_c</v>
          </cell>
          <cell r="B4120" t="str">
            <v>mththf</v>
          </cell>
          <cell r="C4120" t="str">
            <v>(2R,4S)-2-methyl-2,3,3,4-tetrahydroxytetrahydrofuran</v>
          </cell>
        </row>
        <row r="4121">
          <cell r="A4121" t="str">
            <v>na15dap_c</v>
          </cell>
          <cell r="B4121" t="str">
            <v>na15dap</v>
          </cell>
          <cell r="C4121" t="str">
            <v>N-3-aminopropyl-1,5-diaminopentane</v>
          </cell>
        </row>
        <row r="4122">
          <cell r="A4122" t="str">
            <v>nac_c</v>
          </cell>
          <cell r="B4122" t="str">
            <v>nac</v>
          </cell>
          <cell r="C4122" t="str">
            <v>Nicotinate</v>
          </cell>
        </row>
        <row r="4123">
          <cell r="A4123" t="str">
            <v>nadp_c</v>
          </cell>
          <cell r="B4123" t="str">
            <v>nadp</v>
          </cell>
          <cell r="C4123" t="str">
            <v>Nicotinamide adenine dinucleotide phosphate</v>
          </cell>
        </row>
        <row r="4124">
          <cell r="A4124" t="str">
            <v>ncam_c</v>
          </cell>
          <cell r="B4124" t="str">
            <v>ncam</v>
          </cell>
          <cell r="C4124" t="str">
            <v>Nicotinamide</v>
          </cell>
        </row>
        <row r="4125">
          <cell r="A4125" t="str">
            <v>nh4_c</v>
          </cell>
          <cell r="B4125" t="str">
            <v>nh4</v>
          </cell>
          <cell r="C4125" t="str">
            <v>Ammonium</v>
          </cell>
        </row>
        <row r="4126">
          <cell r="A4126" t="str">
            <v>no_c</v>
          </cell>
          <cell r="B4126" t="str">
            <v>no</v>
          </cell>
          <cell r="C4126" t="str">
            <v>Nitric oxide</v>
          </cell>
        </row>
        <row r="4127">
          <cell r="A4127" t="str">
            <v>no3_c</v>
          </cell>
          <cell r="B4127" t="str">
            <v>no3</v>
          </cell>
          <cell r="C4127" t="str">
            <v>Nitrate</v>
          </cell>
        </row>
        <row r="4128">
          <cell r="A4128" t="str">
            <v>o2_c</v>
          </cell>
          <cell r="B4128" t="str">
            <v>o2</v>
          </cell>
          <cell r="C4128" t="str">
            <v>O2 O2</v>
          </cell>
        </row>
        <row r="4129">
          <cell r="A4129" t="str">
            <v>ocdca_c</v>
          </cell>
          <cell r="B4129" t="str">
            <v>ocdca</v>
          </cell>
          <cell r="C4129" t="str">
            <v>Octadecanoate (n-C18:0)</v>
          </cell>
        </row>
        <row r="4130">
          <cell r="A4130" t="str">
            <v>ocdcaACP_c</v>
          </cell>
          <cell r="B4130" t="str">
            <v>ocdcaACP</v>
          </cell>
          <cell r="C4130" t="str">
            <v>Octadecanoyl-ACP (n-C18:0ACP)</v>
          </cell>
        </row>
        <row r="4131">
          <cell r="A4131" t="str">
            <v>octapb_c</v>
          </cell>
          <cell r="B4131" t="str">
            <v>octapb</v>
          </cell>
          <cell r="C4131" t="str">
            <v>Octanoate (protein bound)</v>
          </cell>
        </row>
        <row r="4132">
          <cell r="A4132" t="str">
            <v>octdp_c</v>
          </cell>
          <cell r="B4132" t="str">
            <v>octdp</v>
          </cell>
          <cell r="C4132" t="str">
            <v>All-trans-Octaprenyl diphosphate</v>
          </cell>
        </row>
        <row r="4133">
          <cell r="A4133" t="str">
            <v>od2coa_c</v>
          </cell>
          <cell r="B4133" t="str">
            <v>od2coa</v>
          </cell>
          <cell r="C4133" t="str">
            <v>Trans-Octadec-2-enoyl-CoA</v>
          </cell>
        </row>
        <row r="4134">
          <cell r="A4134" t="str">
            <v>orn_c</v>
          </cell>
          <cell r="B4134" t="str">
            <v>orn</v>
          </cell>
          <cell r="C4134" t="str">
            <v>Ornithine</v>
          </cell>
        </row>
        <row r="4135">
          <cell r="A4135" t="str">
            <v>oxadpcoa_c</v>
          </cell>
          <cell r="B4135" t="str">
            <v>oxadpcoa</v>
          </cell>
          <cell r="C4135" t="str">
            <v>3-Oxoadipyl-CoA</v>
          </cell>
        </row>
        <row r="4136">
          <cell r="A4136" t="str">
            <v>oxalcoa_c</v>
          </cell>
          <cell r="B4136" t="str">
            <v>oxalcoa</v>
          </cell>
          <cell r="C4136" t="str">
            <v>Oxalyl-CoA</v>
          </cell>
        </row>
        <row r="4137">
          <cell r="A4137" t="str">
            <v>oxur_c</v>
          </cell>
          <cell r="B4137" t="str">
            <v>oxur</v>
          </cell>
          <cell r="C4137" t="str">
            <v>Oxalureate</v>
          </cell>
        </row>
        <row r="4138">
          <cell r="A4138" t="str">
            <v>pa141_c</v>
          </cell>
          <cell r="B4138" t="str">
            <v>pa141</v>
          </cell>
          <cell r="C4138" t="str">
            <v>1,2-ditetradec-7-enoyl-sn-glycerol 3-phosphate</v>
          </cell>
        </row>
        <row r="4139">
          <cell r="A4139" t="str">
            <v>pa180_c</v>
          </cell>
          <cell r="B4139" t="str">
            <v>pa180</v>
          </cell>
          <cell r="C4139" t="str">
            <v>1,2-dioctadecanoyl-sn-glycerol 3-phosphate</v>
          </cell>
        </row>
        <row r="4140">
          <cell r="A4140" t="str">
            <v>pacald_c</v>
          </cell>
          <cell r="B4140" t="str">
            <v>pacald</v>
          </cell>
          <cell r="C4140" t="str">
            <v>Phenylacetaldehyde</v>
          </cell>
        </row>
        <row r="4141">
          <cell r="A4141" t="str">
            <v>pap_c</v>
          </cell>
          <cell r="B4141" t="str">
            <v>pap</v>
          </cell>
          <cell r="C4141" t="str">
            <v>Adenosine 3',5'-bisphosphate</v>
          </cell>
        </row>
        <row r="4142">
          <cell r="A4142" t="str">
            <v>pe181_c</v>
          </cell>
          <cell r="B4142" t="str">
            <v>pe181</v>
          </cell>
          <cell r="C4142" t="str">
            <v>Phosphatidylethanolamine (dioctadec-11-enoyl, n-C18:1)</v>
          </cell>
        </row>
        <row r="4143">
          <cell r="A4143" t="str">
            <v>pg160_c</v>
          </cell>
          <cell r="B4143" t="str">
            <v>pg160</v>
          </cell>
          <cell r="C4143" t="str">
            <v>Phosphatidylglycerol (dihexadecanoyl, n-C16:0)</v>
          </cell>
        </row>
        <row r="4144">
          <cell r="A4144" t="str">
            <v>pg180_c</v>
          </cell>
          <cell r="B4144" t="str">
            <v>pg180</v>
          </cell>
          <cell r="C4144" t="str">
            <v>Phosphatidylglycerol (dioctadecanoyl, n-C18:0)</v>
          </cell>
        </row>
        <row r="4145">
          <cell r="A4145" t="str">
            <v>pgp160_c</v>
          </cell>
          <cell r="B4145" t="str">
            <v>pgp160</v>
          </cell>
          <cell r="C4145" t="str">
            <v>Phosphatidylglycerophosphate (dihexadecanoyl, n-C16:0)</v>
          </cell>
        </row>
        <row r="4146">
          <cell r="A4146" t="str">
            <v>phaccoa_c</v>
          </cell>
          <cell r="B4146" t="str">
            <v>phaccoa</v>
          </cell>
          <cell r="C4146" t="str">
            <v>Phenylacetyl-CoA</v>
          </cell>
        </row>
        <row r="4147">
          <cell r="A4147" t="str">
            <v>pheme_c</v>
          </cell>
          <cell r="B4147" t="str">
            <v>pheme</v>
          </cell>
          <cell r="C4147" t="str">
            <v>Protoheme C34H30FeN4O4</v>
          </cell>
        </row>
        <row r="4148">
          <cell r="A4148" t="str">
            <v>phhlipa_c</v>
          </cell>
          <cell r="B4148" t="str">
            <v>phhlipa</v>
          </cell>
          <cell r="C4148" t="str">
            <v>Phospho-heptosyl-heptosyl-kdo2-lipidA</v>
          </cell>
        </row>
        <row r="4149">
          <cell r="A4149" t="str">
            <v>phphhlipa_c</v>
          </cell>
          <cell r="B4149" t="str">
            <v>phphhlipa</v>
          </cell>
          <cell r="C4149" t="str">
            <v>Phospho-heptosyl-phospho-heptosyl-heptosyl-kdo2-lipidA</v>
          </cell>
        </row>
        <row r="4150">
          <cell r="A4150" t="str">
            <v>phpyr_c</v>
          </cell>
          <cell r="B4150" t="str">
            <v>phpyr</v>
          </cell>
          <cell r="C4150" t="str">
            <v>Phenylpyruvate</v>
          </cell>
        </row>
        <row r="4151">
          <cell r="A4151" t="str">
            <v>pimACP_c</v>
          </cell>
          <cell r="B4151" t="str">
            <v>pimACP</v>
          </cell>
          <cell r="C4151" t="str">
            <v>Pimeloyl-[acyl-carrier protein]</v>
          </cell>
        </row>
        <row r="4152">
          <cell r="A4152" t="str">
            <v>pmeACP_c</v>
          </cell>
          <cell r="B4152" t="str">
            <v>pmeACP</v>
          </cell>
          <cell r="C4152" t="str">
            <v>Pimeloyl-[acyl-carrier protein] methyl ester</v>
          </cell>
        </row>
        <row r="4153">
          <cell r="A4153" t="str">
            <v>ppa_c</v>
          </cell>
          <cell r="B4153" t="str">
            <v>ppa</v>
          </cell>
          <cell r="C4153" t="str">
            <v>Propionate (n-C3:0)</v>
          </cell>
        </row>
        <row r="4154">
          <cell r="A4154" t="str">
            <v>ppal_c</v>
          </cell>
          <cell r="B4154" t="str">
            <v>ppal</v>
          </cell>
          <cell r="C4154" t="str">
            <v>Propanal</v>
          </cell>
        </row>
        <row r="4155">
          <cell r="A4155" t="str">
            <v>ppcoa_c</v>
          </cell>
          <cell r="B4155" t="str">
            <v>ppcoa</v>
          </cell>
          <cell r="C4155" t="str">
            <v>Propanoyl-CoA</v>
          </cell>
        </row>
        <row r="4156">
          <cell r="A4156" t="str">
            <v>pram_c</v>
          </cell>
          <cell r="B4156" t="str">
            <v>pram</v>
          </cell>
          <cell r="C4156" t="str">
            <v>5-Phospho-beta-D-ribosylamine</v>
          </cell>
        </row>
        <row r="4157">
          <cell r="A4157" t="str">
            <v>pran_c</v>
          </cell>
          <cell r="B4157" t="str">
            <v>pran</v>
          </cell>
          <cell r="C4157" t="str">
            <v>N-(5-Phospho-D-ribosyl)anthranilate</v>
          </cell>
        </row>
        <row r="4158">
          <cell r="A4158" t="str">
            <v>prbamp_c</v>
          </cell>
          <cell r="B4158" t="str">
            <v>prbamp</v>
          </cell>
          <cell r="C4158" t="str">
            <v>1-(5-Phosphoribosyl)-AMP</v>
          </cell>
        </row>
        <row r="4159">
          <cell r="A4159" t="str">
            <v>prbatp_c</v>
          </cell>
          <cell r="B4159" t="str">
            <v>prbatp</v>
          </cell>
          <cell r="C4159" t="str">
            <v>1-(5-Phosphoribosyl)-ATP</v>
          </cell>
        </row>
        <row r="4160">
          <cell r="A4160" t="str">
            <v>ps120_c</v>
          </cell>
          <cell r="B4160" t="str">
            <v>ps120</v>
          </cell>
          <cell r="C4160" t="str">
            <v>Phosphatidylserine (didodecanoyl, n-C12:0)</v>
          </cell>
        </row>
        <row r="4161">
          <cell r="A4161" t="str">
            <v>pyam5p_c</v>
          </cell>
          <cell r="B4161" t="str">
            <v>pyam5p</v>
          </cell>
          <cell r="C4161" t="str">
            <v>Pyridoxamine 5'-phosphate</v>
          </cell>
        </row>
        <row r="4162">
          <cell r="A4162" t="str">
            <v>pydam_c</v>
          </cell>
          <cell r="B4162" t="str">
            <v>pydam</v>
          </cell>
          <cell r="C4162" t="str">
            <v>Pyridoxamine</v>
          </cell>
        </row>
        <row r="4163">
          <cell r="A4163" t="str">
            <v>pydxn_c</v>
          </cell>
          <cell r="B4163" t="str">
            <v>pydxn</v>
          </cell>
          <cell r="C4163" t="str">
            <v>Pyridoxine</v>
          </cell>
        </row>
        <row r="4164">
          <cell r="A4164" t="str">
            <v>ragund_c</v>
          </cell>
          <cell r="B4164" t="str">
            <v>ragund</v>
          </cell>
          <cell r="C4164" t="str">
            <v>Rhamanosyl-N-acetylglucosamyl-undecaprenyl diphosphate</v>
          </cell>
        </row>
        <row r="4165">
          <cell r="A4165" t="str">
            <v>rhcys_c</v>
          </cell>
          <cell r="B4165" t="str">
            <v>rhcys</v>
          </cell>
          <cell r="C4165" t="str">
            <v>S-Ribosyl-L-homocysteine</v>
          </cell>
        </row>
        <row r="4166">
          <cell r="A4166" t="str">
            <v>ru5p__D_c</v>
          </cell>
          <cell r="B4166" t="str">
            <v>ru5p__D</v>
          </cell>
          <cell r="C4166" t="str">
            <v>D-Ribulose 5-phosphate</v>
          </cell>
        </row>
        <row r="4167">
          <cell r="A4167" t="str">
            <v>ru5p__L_c</v>
          </cell>
          <cell r="B4167" t="str">
            <v>ru5p__L</v>
          </cell>
          <cell r="C4167" t="str">
            <v>L-Ribulose 5-phosphate</v>
          </cell>
        </row>
        <row r="4168">
          <cell r="A4168" t="str">
            <v>scl_c</v>
          </cell>
          <cell r="B4168" t="str">
            <v>scl</v>
          </cell>
          <cell r="C4168" t="str">
            <v>Sirohydrochlorin</v>
          </cell>
        </row>
        <row r="4169">
          <cell r="A4169" t="str">
            <v>sectrna_c</v>
          </cell>
          <cell r="B4169" t="str">
            <v>sectrna</v>
          </cell>
          <cell r="C4169" t="str">
            <v>L-Selenocysteinyl-tRNA(Sec)</v>
          </cell>
        </row>
        <row r="4170">
          <cell r="A4170" t="str">
            <v>sertrna_c</v>
          </cell>
          <cell r="B4170" t="str">
            <v>sertrna</v>
          </cell>
          <cell r="C4170" t="str">
            <v>L-Seryl-tRNA(Ser)</v>
          </cell>
        </row>
        <row r="4171">
          <cell r="A4171" t="str">
            <v>skm_c</v>
          </cell>
          <cell r="B4171" t="str">
            <v>skm</v>
          </cell>
          <cell r="C4171" t="str">
            <v>Shikimate</v>
          </cell>
        </row>
        <row r="4172">
          <cell r="A4172" t="str">
            <v>sl26da_c</v>
          </cell>
          <cell r="B4172" t="str">
            <v>sl26da</v>
          </cell>
          <cell r="C4172" t="str">
            <v>N-Succinyl-LL-2,6-diaminoheptanedioate</v>
          </cell>
        </row>
        <row r="4173">
          <cell r="A4173" t="str">
            <v>slnt_c</v>
          </cell>
          <cell r="B4173" t="str">
            <v>slnt</v>
          </cell>
          <cell r="C4173" t="str">
            <v>Selenite</v>
          </cell>
        </row>
        <row r="4174">
          <cell r="A4174" t="str">
            <v>so3_c</v>
          </cell>
          <cell r="B4174" t="str">
            <v>so3</v>
          </cell>
          <cell r="C4174" t="str">
            <v>Sulfite</v>
          </cell>
        </row>
        <row r="4175">
          <cell r="A4175" t="str">
            <v>sucglu_c</v>
          </cell>
          <cell r="B4175" t="str">
            <v>sucglu</v>
          </cell>
          <cell r="C4175" t="str">
            <v>N2-Succinyl-L-glutamate</v>
          </cell>
        </row>
        <row r="4176">
          <cell r="A4176" t="str">
            <v>sucgsa_c</v>
          </cell>
          <cell r="B4176" t="str">
            <v>sucgsa</v>
          </cell>
          <cell r="C4176" t="str">
            <v>N2-Succinyl-L-glutamate 5-semialdehyde</v>
          </cell>
        </row>
        <row r="4177">
          <cell r="A4177" t="str">
            <v>sufbcd_2fe2s2_c</v>
          </cell>
          <cell r="B4177" t="str">
            <v>sufbcd_2fe2s2</v>
          </cell>
          <cell r="C4177" t="str">
            <v>SufBCD with two bound [2Fe-2S] clusters</v>
          </cell>
        </row>
        <row r="4178">
          <cell r="A4178" t="str">
            <v>t3c7mrseACP_c</v>
          </cell>
          <cell r="B4178" t="str">
            <v>t3c7mrseACP</v>
          </cell>
          <cell r="C4178" t="str">
            <v>Trans-3-cis-7-myristoleoyl-[acyl-carrier protein]</v>
          </cell>
        </row>
        <row r="4179">
          <cell r="A4179" t="str">
            <v>tagur_c</v>
          </cell>
          <cell r="B4179" t="str">
            <v>tagur</v>
          </cell>
          <cell r="C4179" t="str">
            <v>D-Tagaturonate</v>
          </cell>
        </row>
        <row r="4180">
          <cell r="A4180" t="str">
            <v>tdecoa_c</v>
          </cell>
          <cell r="B4180" t="str">
            <v>tdecoa</v>
          </cell>
          <cell r="C4180" t="str">
            <v>Tetradecenoyl-CoA (n-C14:1CoA)</v>
          </cell>
        </row>
        <row r="4181">
          <cell r="A4181" t="str">
            <v>thdp_c</v>
          </cell>
          <cell r="B4181" t="str">
            <v>thdp</v>
          </cell>
          <cell r="C4181" t="str">
            <v>2,3,4,5-Tetrahydrodipicolinate</v>
          </cell>
        </row>
        <row r="4182">
          <cell r="A4182" t="str">
            <v>thf_c</v>
          </cell>
          <cell r="B4182" t="str">
            <v>thf</v>
          </cell>
          <cell r="C4182" t="str">
            <v>5,6,7,8-Tetrahydrofolate</v>
          </cell>
        </row>
        <row r="4183">
          <cell r="A4183" t="str">
            <v>thm_c</v>
          </cell>
          <cell r="B4183" t="str">
            <v>thm</v>
          </cell>
          <cell r="C4183" t="str">
            <v>Thiamin</v>
          </cell>
        </row>
        <row r="4184">
          <cell r="A4184" t="str">
            <v>thmmp_c</v>
          </cell>
          <cell r="B4184" t="str">
            <v>thmmp</v>
          </cell>
          <cell r="C4184" t="str">
            <v>Thiamin monophosphate</v>
          </cell>
        </row>
        <row r="4185">
          <cell r="A4185" t="str">
            <v>thmnp_c</v>
          </cell>
          <cell r="B4185" t="str">
            <v>thmnp</v>
          </cell>
          <cell r="C4185" t="str">
            <v>Tetrahydromonapterin</v>
          </cell>
        </row>
        <row r="4186">
          <cell r="A4186" t="str">
            <v>thmpp_c</v>
          </cell>
          <cell r="B4186" t="str">
            <v>thmpp</v>
          </cell>
          <cell r="C4186" t="str">
            <v>Thiamine diphosphate</v>
          </cell>
        </row>
        <row r="4187">
          <cell r="A4187" t="str">
            <v>thym_c</v>
          </cell>
          <cell r="B4187" t="str">
            <v>thym</v>
          </cell>
          <cell r="C4187" t="str">
            <v>Thymine C5H6N2O2</v>
          </cell>
        </row>
        <row r="4188">
          <cell r="A4188" t="str">
            <v>tmrs2eACP_c</v>
          </cell>
          <cell r="B4188" t="str">
            <v>tmrs2eACP</v>
          </cell>
          <cell r="C4188" t="str">
            <v>Trans-Tetradec-2-enoyl-[acyl-carrier protein]</v>
          </cell>
        </row>
        <row r="4189">
          <cell r="A4189" t="str">
            <v>tpalm2eACP_c</v>
          </cell>
          <cell r="B4189" t="str">
            <v>tpalm2eACP</v>
          </cell>
          <cell r="C4189" t="str">
            <v>Trans-Hexadec-2-enoyl-[acyl-carrier protein]</v>
          </cell>
        </row>
        <row r="4190">
          <cell r="A4190" t="str">
            <v>trnaala_c</v>
          </cell>
          <cell r="B4190" t="str">
            <v>trnaala</v>
          </cell>
          <cell r="C4190" t="str">
            <v>TRNA(Ala)</v>
          </cell>
        </row>
        <row r="4191">
          <cell r="A4191" t="str">
            <v>trnaasn_c</v>
          </cell>
          <cell r="B4191" t="str">
            <v>trnaasn</v>
          </cell>
          <cell r="C4191" t="str">
            <v>TRNA Asn  C10H17O10PR2</v>
          </cell>
        </row>
        <row r="4192">
          <cell r="A4192" t="str">
            <v>trnaasp_c</v>
          </cell>
          <cell r="B4192" t="str">
            <v>trnaasp</v>
          </cell>
          <cell r="C4192" t="str">
            <v>TRNA(Asp)</v>
          </cell>
        </row>
        <row r="4193">
          <cell r="A4193" t="str">
            <v>trnaile_c</v>
          </cell>
          <cell r="B4193" t="str">
            <v>trnaile</v>
          </cell>
          <cell r="C4193" t="str">
            <v>TRNA(Ile)</v>
          </cell>
        </row>
        <row r="4194">
          <cell r="A4194" t="str">
            <v>trnamet_c</v>
          </cell>
          <cell r="B4194" t="str">
            <v>trnamet</v>
          </cell>
          <cell r="C4194" t="str">
            <v>TRNA(Met)</v>
          </cell>
        </row>
        <row r="4195">
          <cell r="A4195" t="str">
            <v>trnaphe_c</v>
          </cell>
          <cell r="B4195" t="str">
            <v>trnaphe</v>
          </cell>
          <cell r="C4195" t="str">
            <v>TRNA(Phe)</v>
          </cell>
        </row>
        <row r="4196">
          <cell r="A4196" t="str">
            <v>trptrna_c</v>
          </cell>
          <cell r="B4196" t="str">
            <v>trptrna</v>
          </cell>
          <cell r="C4196" t="str">
            <v>L-Tryptophanyl-tRNA(Trp)</v>
          </cell>
        </row>
        <row r="4197">
          <cell r="A4197" t="str">
            <v>tsul_c</v>
          </cell>
          <cell r="B4197" t="str">
            <v>tsul</v>
          </cell>
          <cell r="C4197" t="str">
            <v>Thiosulfate</v>
          </cell>
        </row>
        <row r="4198">
          <cell r="A4198" t="str">
            <v>tungs_c</v>
          </cell>
          <cell r="B4198" t="str">
            <v>tungs</v>
          </cell>
          <cell r="C4198" t="str">
            <v>Tungstate</v>
          </cell>
        </row>
        <row r="4199">
          <cell r="A4199" t="str">
            <v>uLa4fn_c</v>
          </cell>
          <cell r="B4199" t="str">
            <v>uLa4fn</v>
          </cell>
          <cell r="C4199" t="str">
            <v>Undecaprenyl phosphate-4-amino-4-formyl-L-arabinose</v>
          </cell>
        </row>
        <row r="4200">
          <cell r="A4200" t="str">
            <v>uaagmda_c</v>
          </cell>
          <cell r="B4200" t="str">
            <v>uaagmda</v>
          </cell>
          <cell r="C4200" t="str">
            <v>Undecaprenyl-diphospho-N-acetylmuramoyl-(N-acetylglucosamine)-L-ala-D-glu-meso-2,6-diaminopimeloyl-D-ala-D-ala</v>
          </cell>
        </row>
        <row r="4201">
          <cell r="A4201" t="str">
            <v>uacgam_c</v>
          </cell>
          <cell r="B4201" t="str">
            <v>uacgam</v>
          </cell>
          <cell r="C4201" t="str">
            <v>UDP-N-acetyl-D-glucosamine</v>
          </cell>
        </row>
        <row r="4202">
          <cell r="A4202" t="str">
            <v>uacmam_c</v>
          </cell>
          <cell r="B4202" t="str">
            <v>uacmam</v>
          </cell>
          <cell r="C4202" t="str">
            <v>UDP-N-acetyl-D-mannosamine</v>
          </cell>
        </row>
        <row r="4203">
          <cell r="A4203" t="str">
            <v>udcpp_c</v>
          </cell>
          <cell r="B4203" t="str">
            <v>udcpp</v>
          </cell>
          <cell r="C4203" t="str">
            <v>Undecaprenyl phosphate</v>
          </cell>
        </row>
        <row r="4204">
          <cell r="A4204" t="str">
            <v>udpgalfur_c</v>
          </cell>
          <cell r="B4204" t="str">
            <v>udpgalfur</v>
          </cell>
          <cell r="C4204" t="str">
            <v>UDP-D-galacto-1,4-furanose</v>
          </cell>
        </row>
        <row r="4205">
          <cell r="A4205" t="str">
            <v>udpglcur_c</v>
          </cell>
          <cell r="B4205" t="str">
            <v>udpglcur</v>
          </cell>
          <cell r="C4205" t="str">
            <v>UDP-D-glucuronate</v>
          </cell>
        </row>
        <row r="4206">
          <cell r="A4206" t="str">
            <v>xdp_c</v>
          </cell>
          <cell r="B4206" t="str">
            <v>xdp</v>
          </cell>
          <cell r="C4206" t="str">
            <v>XDP</v>
          </cell>
        </row>
        <row r="4207">
          <cell r="A4207" t="str">
            <v>xyl__D_c</v>
          </cell>
          <cell r="B4207" t="str">
            <v>xyl__D</v>
          </cell>
          <cell r="C4207" t="str">
            <v>D-Xylose</v>
          </cell>
        </row>
        <row r="4208">
          <cell r="A4208" t="str">
            <v>xylu__D_c</v>
          </cell>
          <cell r="B4208" t="str">
            <v>xylu__D</v>
          </cell>
          <cell r="C4208" t="str">
            <v>D-Xylulose</v>
          </cell>
        </row>
        <row r="4209">
          <cell r="A4209" t="str">
            <v>23camp_e</v>
          </cell>
          <cell r="B4209" t="str">
            <v>23camp</v>
          </cell>
          <cell r="C4209" t="str">
            <v>2',3'-Cyclic AMP</v>
          </cell>
        </row>
        <row r="4210">
          <cell r="A4210" t="str">
            <v>23ccmp_e</v>
          </cell>
          <cell r="B4210" t="str">
            <v>23ccmp</v>
          </cell>
          <cell r="C4210" t="str">
            <v>2',3'-Cyclic CMP</v>
          </cell>
        </row>
        <row r="4211">
          <cell r="A4211" t="str">
            <v>23cgmp_e</v>
          </cell>
          <cell r="B4211" t="str">
            <v>23cgmp</v>
          </cell>
          <cell r="C4211" t="str">
            <v>2',3'-Cyclic GMP</v>
          </cell>
        </row>
        <row r="4212">
          <cell r="A4212" t="str">
            <v>23dappa_e</v>
          </cell>
          <cell r="B4212" t="str">
            <v>23dappa</v>
          </cell>
          <cell r="C4212" t="str">
            <v>2,3-diaminopropionate</v>
          </cell>
        </row>
        <row r="4213">
          <cell r="A4213" t="str">
            <v>2ddglcn_e</v>
          </cell>
          <cell r="B4213" t="str">
            <v>2ddglcn</v>
          </cell>
          <cell r="C4213" t="str">
            <v>2-Dehydro-3-deoxy-D-gluconate</v>
          </cell>
        </row>
        <row r="4214">
          <cell r="A4214" t="str">
            <v>3gmp_e</v>
          </cell>
          <cell r="B4214" t="str">
            <v>3gmp</v>
          </cell>
          <cell r="C4214" t="str">
            <v>Guanosine 3  phosphate C10H12N5O8P</v>
          </cell>
        </row>
        <row r="4215">
          <cell r="A4215" t="str">
            <v>3hcinnm_e</v>
          </cell>
          <cell r="B4215" t="str">
            <v>3hcinnm</v>
          </cell>
          <cell r="C4215" t="str">
            <v>3-hydroxycinnamic acid</v>
          </cell>
        </row>
        <row r="4216">
          <cell r="A4216" t="str">
            <v>LalaLglu_e</v>
          </cell>
          <cell r="B4216" t="str">
            <v>LalaLglu</v>
          </cell>
          <cell r="C4216" t="str">
            <v>L-alanine-L-glutamate</v>
          </cell>
        </row>
        <row r="4217">
          <cell r="A4217" t="str">
            <v>ac_e</v>
          </cell>
          <cell r="B4217" t="str">
            <v>ac</v>
          </cell>
          <cell r="C4217" t="str">
            <v>Acetate</v>
          </cell>
        </row>
        <row r="4218">
          <cell r="A4218" t="str">
            <v>adn_e</v>
          </cell>
          <cell r="B4218" t="str">
            <v>adn</v>
          </cell>
          <cell r="C4218" t="str">
            <v>Adenosine</v>
          </cell>
        </row>
        <row r="4219">
          <cell r="A4219" t="str">
            <v>adocbl_e</v>
          </cell>
          <cell r="B4219" t="str">
            <v>adocbl</v>
          </cell>
          <cell r="C4219" t="str">
            <v>Adenosylcobalamin</v>
          </cell>
        </row>
        <row r="4220">
          <cell r="A4220" t="str">
            <v>ala__D_e</v>
          </cell>
          <cell r="B4220" t="str">
            <v>ala__D</v>
          </cell>
          <cell r="C4220" t="str">
            <v>D-Alanine</v>
          </cell>
        </row>
        <row r="4221">
          <cell r="A4221" t="str">
            <v>alaala_e</v>
          </cell>
          <cell r="B4221" t="str">
            <v>alaala</v>
          </cell>
          <cell r="C4221" t="str">
            <v>D-Alanyl-D-alanine</v>
          </cell>
        </row>
        <row r="4222">
          <cell r="A4222" t="str">
            <v>arbt_e</v>
          </cell>
          <cell r="B4222" t="str">
            <v>arbt</v>
          </cell>
          <cell r="C4222" t="str">
            <v>Arbutin C12H16O7</v>
          </cell>
        </row>
        <row r="4223">
          <cell r="A4223" t="str">
            <v>ascb__L_e</v>
          </cell>
          <cell r="B4223" t="str">
            <v>ascb__L</v>
          </cell>
          <cell r="C4223" t="str">
            <v>L-Ascorbate</v>
          </cell>
        </row>
        <row r="4224">
          <cell r="A4224" t="str">
            <v>asn__L_e</v>
          </cell>
          <cell r="B4224" t="str">
            <v>asn__L</v>
          </cell>
          <cell r="C4224" t="str">
            <v>L-Asparagine</v>
          </cell>
        </row>
        <row r="4225">
          <cell r="A4225" t="str">
            <v>ca2_e</v>
          </cell>
          <cell r="B4225" t="str">
            <v>ca2</v>
          </cell>
          <cell r="C4225" t="str">
            <v>Calcium</v>
          </cell>
        </row>
        <row r="4226">
          <cell r="A4226" t="str">
            <v>chtbs_e</v>
          </cell>
          <cell r="B4226" t="str">
            <v>chtbs</v>
          </cell>
          <cell r="C4226" t="str">
            <v>N,N'-diacetylchitobiose</v>
          </cell>
        </row>
        <row r="4227">
          <cell r="A4227" t="str">
            <v>cobalt2_e</v>
          </cell>
          <cell r="B4227" t="str">
            <v>cobalt2</v>
          </cell>
          <cell r="C4227" t="str">
            <v>Co2+</v>
          </cell>
        </row>
        <row r="4228">
          <cell r="A4228" t="str">
            <v>colipa_e</v>
          </cell>
          <cell r="B4228" t="str">
            <v>colipa</v>
          </cell>
          <cell r="C4228" t="str">
            <v>Core oligosaccharide lipid A</v>
          </cell>
        </row>
        <row r="4229">
          <cell r="A4229" t="str">
            <v>colipap_e</v>
          </cell>
          <cell r="B4229" t="str">
            <v>colipap</v>
          </cell>
          <cell r="C4229" t="str">
            <v>Core oligosaccharide lipid A diphosphate</v>
          </cell>
        </row>
        <row r="4230">
          <cell r="A4230" t="str">
            <v>cu_e</v>
          </cell>
          <cell r="B4230" t="str">
            <v>cu</v>
          </cell>
          <cell r="C4230" t="str">
            <v>Cu+</v>
          </cell>
        </row>
        <row r="4231">
          <cell r="A4231" t="str">
            <v>cynt_e</v>
          </cell>
          <cell r="B4231" t="str">
            <v>cynt</v>
          </cell>
          <cell r="C4231" t="str">
            <v>Cyanate</v>
          </cell>
        </row>
        <row r="4232">
          <cell r="A4232" t="str">
            <v>dad_2_e</v>
          </cell>
          <cell r="B4232" t="str">
            <v>dad_2</v>
          </cell>
          <cell r="C4232" t="str">
            <v>Deoxyadenosine</v>
          </cell>
        </row>
        <row r="4233">
          <cell r="A4233" t="str">
            <v>damp_e</v>
          </cell>
          <cell r="B4233" t="str">
            <v>damp</v>
          </cell>
          <cell r="C4233" t="str">
            <v>DAMP C10H12N5O6P</v>
          </cell>
        </row>
        <row r="4234">
          <cell r="A4234" t="str">
            <v>dca_e</v>
          </cell>
          <cell r="B4234" t="str">
            <v>dca</v>
          </cell>
          <cell r="C4234" t="str">
            <v>Decanoate (n-C10:0)</v>
          </cell>
        </row>
        <row r="4235">
          <cell r="A4235" t="str">
            <v>dcmp_e</v>
          </cell>
          <cell r="B4235" t="str">
            <v>dcmp</v>
          </cell>
          <cell r="C4235" t="str">
            <v>DCMP C9H12N3O7P</v>
          </cell>
        </row>
        <row r="4236">
          <cell r="A4236" t="str">
            <v>dopa_e</v>
          </cell>
          <cell r="B4236" t="str">
            <v>dopa</v>
          </cell>
          <cell r="C4236" t="str">
            <v>Dopamine</v>
          </cell>
        </row>
        <row r="4237">
          <cell r="A4237" t="str">
            <v>f6p_e</v>
          </cell>
          <cell r="B4237" t="str">
            <v>f6p</v>
          </cell>
          <cell r="C4237" t="str">
            <v>D-Fructose 6-phosphate</v>
          </cell>
        </row>
        <row r="4238">
          <cell r="A4238" t="str">
            <v>fe3dhbzs_e</v>
          </cell>
          <cell r="B4238" t="str">
            <v>fe3dhbzs</v>
          </cell>
          <cell r="C4238" t="str">
            <v>Ferric 2,3-dihydroxybenzoylserine</v>
          </cell>
        </row>
        <row r="4239">
          <cell r="A4239" t="str">
            <v>fe3hox_un_e</v>
          </cell>
          <cell r="B4239" t="str">
            <v>fe3hox_un</v>
          </cell>
          <cell r="C4239" t="str">
            <v>Fe(III)hydoxamate, unloaded</v>
          </cell>
        </row>
        <row r="4240">
          <cell r="A4240" t="str">
            <v>for_e</v>
          </cell>
          <cell r="B4240" t="str">
            <v>for</v>
          </cell>
          <cell r="C4240" t="str">
            <v>Formate</v>
          </cell>
        </row>
        <row r="4241">
          <cell r="A4241" t="str">
            <v>fum_e</v>
          </cell>
          <cell r="B4241" t="str">
            <v>fum</v>
          </cell>
          <cell r="C4241" t="str">
            <v>Fumarate</v>
          </cell>
        </row>
        <row r="4242">
          <cell r="A4242" t="str">
            <v>fusa_e</v>
          </cell>
          <cell r="B4242" t="str">
            <v>fusa</v>
          </cell>
          <cell r="C4242" t="str">
            <v>Fusidic acid</v>
          </cell>
        </row>
        <row r="4243">
          <cell r="A4243" t="str">
            <v>g3pg_e</v>
          </cell>
          <cell r="B4243" t="str">
            <v>g3pg</v>
          </cell>
          <cell r="C4243" t="str">
            <v>Glycerophosphoglycerol</v>
          </cell>
        </row>
        <row r="4244">
          <cell r="A4244" t="str">
            <v>gal_e</v>
          </cell>
          <cell r="B4244" t="str">
            <v>gal</v>
          </cell>
          <cell r="C4244" t="str">
            <v>D-Galactose</v>
          </cell>
        </row>
        <row r="4245">
          <cell r="A4245" t="str">
            <v>gal1p_e</v>
          </cell>
          <cell r="B4245" t="str">
            <v>gal1p</v>
          </cell>
          <cell r="C4245" t="str">
            <v>Alpha-D-Galactose 1-phosphate</v>
          </cell>
        </row>
        <row r="4246">
          <cell r="A4246" t="str">
            <v>galct__D_e</v>
          </cell>
          <cell r="B4246" t="str">
            <v>galct__D</v>
          </cell>
          <cell r="C4246" t="str">
            <v>D-Galactarate</v>
          </cell>
        </row>
        <row r="4247">
          <cell r="A4247" t="str">
            <v>galctn__D_e</v>
          </cell>
          <cell r="B4247" t="str">
            <v>galctn__D</v>
          </cell>
          <cell r="C4247" t="str">
            <v>D-Galactonate</v>
          </cell>
        </row>
        <row r="4248">
          <cell r="A4248" t="str">
            <v>galctn__L_e</v>
          </cell>
          <cell r="B4248" t="str">
            <v>galctn__L</v>
          </cell>
          <cell r="C4248" t="str">
            <v>L-Galactonate</v>
          </cell>
        </row>
        <row r="4249">
          <cell r="A4249" t="str">
            <v>gam6p_e</v>
          </cell>
          <cell r="B4249" t="str">
            <v>gam6p</v>
          </cell>
          <cell r="C4249" t="str">
            <v>D-Glucosamine 6-phosphate</v>
          </cell>
        </row>
        <row r="4250">
          <cell r="A4250" t="str">
            <v>glyb_e</v>
          </cell>
          <cell r="B4250" t="str">
            <v>glyb</v>
          </cell>
          <cell r="C4250" t="str">
            <v>Glycine betaine</v>
          </cell>
        </row>
        <row r="4251">
          <cell r="A4251" t="str">
            <v>gtp_e</v>
          </cell>
          <cell r="B4251" t="str">
            <v>gtp</v>
          </cell>
          <cell r="C4251" t="str">
            <v>GTP C10H12N5O14P3</v>
          </cell>
        </row>
        <row r="4252">
          <cell r="A4252" t="str">
            <v>h2o2_e</v>
          </cell>
          <cell r="B4252" t="str">
            <v>h2o2</v>
          </cell>
          <cell r="C4252" t="str">
            <v>Hydrogen peroxide</v>
          </cell>
        </row>
        <row r="4253">
          <cell r="A4253" t="str">
            <v>h2s_e</v>
          </cell>
          <cell r="B4253" t="str">
            <v>h2s</v>
          </cell>
          <cell r="C4253" t="str">
            <v>Hydrogen sulfide</v>
          </cell>
        </row>
        <row r="4254">
          <cell r="A4254" t="str">
            <v>hxa_e</v>
          </cell>
          <cell r="B4254" t="str">
            <v>hxa</v>
          </cell>
          <cell r="C4254" t="str">
            <v>Hexanoate (n-C6:0)</v>
          </cell>
        </row>
        <row r="4255">
          <cell r="A4255" t="str">
            <v>ins_e</v>
          </cell>
          <cell r="B4255" t="str">
            <v>ins</v>
          </cell>
          <cell r="C4255" t="str">
            <v>Inosine</v>
          </cell>
        </row>
        <row r="4256">
          <cell r="A4256" t="str">
            <v>kdo2lipid4_e</v>
          </cell>
          <cell r="B4256" t="str">
            <v>kdo2lipid4</v>
          </cell>
          <cell r="C4256" t="str">
            <v>KDO(2)-lipid IV(A)</v>
          </cell>
        </row>
        <row r="4257">
          <cell r="A4257" t="str">
            <v>lac__D_e</v>
          </cell>
          <cell r="B4257" t="str">
            <v>lac__D</v>
          </cell>
          <cell r="C4257" t="str">
            <v>D-Lactate</v>
          </cell>
        </row>
        <row r="4258">
          <cell r="A4258" t="str">
            <v>lac__L_e</v>
          </cell>
          <cell r="B4258" t="str">
            <v>lac__L</v>
          </cell>
          <cell r="C4258" t="str">
            <v>L-Lactate</v>
          </cell>
        </row>
        <row r="4259">
          <cell r="A4259" t="str">
            <v>lyx__L_e</v>
          </cell>
          <cell r="B4259" t="str">
            <v>lyx__L</v>
          </cell>
          <cell r="C4259" t="str">
            <v>L-Lyxose</v>
          </cell>
        </row>
        <row r="4260">
          <cell r="A4260" t="str">
            <v>mal__D_e</v>
          </cell>
          <cell r="B4260" t="str">
            <v>mal__D</v>
          </cell>
          <cell r="C4260" t="str">
            <v>D-Malate</v>
          </cell>
        </row>
        <row r="4261">
          <cell r="A4261" t="str">
            <v>mal__L_e</v>
          </cell>
          <cell r="B4261" t="str">
            <v>mal__L</v>
          </cell>
          <cell r="C4261" t="str">
            <v>L-Malate</v>
          </cell>
        </row>
        <row r="4262">
          <cell r="A4262" t="str">
            <v>malttr_e</v>
          </cell>
          <cell r="B4262" t="str">
            <v>malttr</v>
          </cell>
          <cell r="C4262" t="str">
            <v>Maltotriose C18H32O16</v>
          </cell>
        </row>
        <row r="4263">
          <cell r="A4263" t="str">
            <v>man6p_e</v>
          </cell>
          <cell r="B4263" t="str">
            <v>man6p</v>
          </cell>
          <cell r="C4263" t="str">
            <v>D-Mannose 6-phosphate</v>
          </cell>
        </row>
        <row r="4264">
          <cell r="A4264" t="str">
            <v>manglyc_e</v>
          </cell>
          <cell r="B4264" t="str">
            <v>manglyc</v>
          </cell>
          <cell r="C4264" t="str">
            <v>2(alpha-D-Mannosyl)-D-glycerate</v>
          </cell>
        </row>
        <row r="4265">
          <cell r="A4265" t="str">
            <v>meoh_e</v>
          </cell>
          <cell r="B4265" t="str">
            <v>meoh</v>
          </cell>
          <cell r="C4265" t="str">
            <v>Methanol</v>
          </cell>
        </row>
        <row r="4266">
          <cell r="A4266" t="str">
            <v>metsox_R__L_e</v>
          </cell>
          <cell r="B4266" t="str">
            <v>metsox_R__L</v>
          </cell>
          <cell r="C4266" t="str">
            <v>L-methionine-R-sulfoxide</v>
          </cell>
        </row>
        <row r="4267">
          <cell r="A4267" t="str">
            <v>mmet_e</v>
          </cell>
          <cell r="B4267" t="str">
            <v>mmet</v>
          </cell>
          <cell r="C4267" t="str">
            <v>S-Methyl-L-methionine</v>
          </cell>
        </row>
        <row r="4268">
          <cell r="A4268" t="str">
            <v>mn2_e</v>
          </cell>
          <cell r="B4268" t="str">
            <v>mn2</v>
          </cell>
          <cell r="C4268" t="str">
            <v>Manganese</v>
          </cell>
        </row>
        <row r="4269">
          <cell r="A4269" t="str">
            <v>na1_e</v>
          </cell>
          <cell r="B4269" t="str">
            <v>na1</v>
          </cell>
          <cell r="C4269" t="str">
            <v>Sodium</v>
          </cell>
        </row>
        <row r="4270">
          <cell r="A4270" t="str">
            <v>nmn_e</v>
          </cell>
          <cell r="B4270" t="str">
            <v>nmn</v>
          </cell>
          <cell r="C4270" t="str">
            <v>NMN C11H14N2O8P</v>
          </cell>
        </row>
        <row r="4271">
          <cell r="A4271" t="str">
            <v>octa_e</v>
          </cell>
          <cell r="B4271" t="str">
            <v>octa</v>
          </cell>
          <cell r="C4271" t="str">
            <v>Octanoate (n-C8:0)</v>
          </cell>
        </row>
        <row r="4272">
          <cell r="A4272" t="str">
            <v>orot_e</v>
          </cell>
          <cell r="B4272" t="str">
            <v>orot</v>
          </cell>
          <cell r="C4272" t="str">
            <v>Orotate C5H3N2O4</v>
          </cell>
        </row>
        <row r="4273">
          <cell r="A4273" t="str">
            <v>pi_e</v>
          </cell>
          <cell r="B4273" t="str">
            <v>pi</v>
          </cell>
          <cell r="C4273" t="str">
            <v>Phosphate</v>
          </cell>
        </row>
        <row r="4274">
          <cell r="A4274" t="str">
            <v>pnto__R_e</v>
          </cell>
          <cell r="B4274" t="str">
            <v>pnto__R</v>
          </cell>
          <cell r="C4274" t="str">
            <v>(R)-Pantothenate</v>
          </cell>
        </row>
        <row r="4275">
          <cell r="A4275" t="str">
            <v>ppt_e</v>
          </cell>
          <cell r="B4275" t="str">
            <v>ppt</v>
          </cell>
          <cell r="C4275" t="str">
            <v>Phosphonate</v>
          </cell>
        </row>
        <row r="4276">
          <cell r="A4276" t="str">
            <v>so2_e</v>
          </cell>
          <cell r="B4276" t="str">
            <v>so2</v>
          </cell>
          <cell r="C4276" t="str">
            <v>Sulfur dioxide</v>
          </cell>
        </row>
        <row r="4277">
          <cell r="A4277" t="str">
            <v>sulfac_e</v>
          </cell>
          <cell r="B4277" t="str">
            <v>sulfac</v>
          </cell>
          <cell r="C4277" t="str">
            <v>Sulfoacetate</v>
          </cell>
        </row>
        <row r="4278">
          <cell r="A4278" t="str">
            <v>tartr__L_e</v>
          </cell>
          <cell r="B4278" t="str">
            <v>tartr__L</v>
          </cell>
          <cell r="C4278" t="str">
            <v>L-tartrate</v>
          </cell>
        </row>
        <row r="4279">
          <cell r="A4279" t="str">
            <v>tcynt_e</v>
          </cell>
          <cell r="B4279" t="str">
            <v>tcynt</v>
          </cell>
          <cell r="C4279" t="str">
            <v>Thiocyanate</v>
          </cell>
        </row>
        <row r="4280">
          <cell r="A4280" t="str">
            <v>trp__L_e</v>
          </cell>
          <cell r="B4280" t="str">
            <v>trp__L</v>
          </cell>
          <cell r="C4280" t="str">
            <v>L-Tryptophan</v>
          </cell>
        </row>
        <row r="4281">
          <cell r="A4281" t="str">
            <v>ttdca_e</v>
          </cell>
          <cell r="B4281" t="str">
            <v>ttdca</v>
          </cell>
          <cell r="C4281" t="str">
            <v>Tetradecanoate (n-C14:0)</v>
          </cell>
        </row>
        <row r="4282">
          <cell r="A4282" t="str">
            <v>ttrcyc_e</v>
          </cell>
          <cell r="B4282" t="str">
            <v>ttrcyc</v>
          </cell>
          <cell r="C4282" t="str">
            <v>Tetracycline</v>
          </cell>
        </row>
        <row r="4283">
          <cell r="A4283" t="str">
            <v>tym_e</v>
          </cell>
          <cell r="B4283" t="str">
            <v>tym</v>
          </cell>
          <cell r="C4283" t="str">
            <v>Tyramine</v>
          </cell>
        </row>
        <row r="4284">
          <cell r="A4284" t="str">
            <v>tyr__L_e</v>
          </cell>
          <cell r="B4284" t="str">
            <v>tyr__L</v>
          </cell>
          <cell r="C4284" t="str">
            <v>L-Tyrosine</v>
          </cell>
        </row>
        <row r="4285">
          <cell r="A4285" t="str">
            <v>udpgal_e</v>
          </cell>
          <cell r="B4285" t="str">
            <v>udpgal</v>
          </cell>
          <cell r="C4285" t="str">
            <v>UDPgalactose</v>
          </cell>
        </row>
        <row r="4286">
          <cell r="A4286" t="str">
            <v>val__L_e</v>
          </cell>
          <cell r="B4286" t="str">
            <v>val__L</v>
          </cell>
          <cell r="C4286" t="str">
            <v>L-Valine</v>
          </cell>
        </row>
        <row r="4287">
          <cell r="A4287" t="str">
            <v>xtsn_e</v>
          </cell>
          <cell r="B4287" t="str">
            <v>xtsn</v>
          </cell>
          <cell r="C4287" t="str">
            <v>Xanthosine</v>
          </cell>
        </row>
        <row r="4288">
          <cell r="A4288" t="str">
            <v>12dgr141_p</v>
          </cell>
          <cell r="B4288" t="str">
            <v>12dgr141</v>
          </cell>
          <cell r="C4288" t="str">
            <v>1,2-Diacyl-sn-glycerol (ditetradec-7-enoyl, n-C14:1)</v>
          </cell>
        </row>
        <row r="4289">
          <cell r="A4289" t="str">
            <v>12dgr160_p</v>
          </cell>
          <cell r="B4289" t="str">
            <v>12dgr160</v>
          </cell>
          <cell r="C4289" t="str">
            <v>1,2-Diacyl-sn-glycerol (dihexadecanoyl, n-C16:0)</v>
          </cell>
        </row>
        <row r="4290">
          <cell r="A4290" t="str">
            <v>12dgr181_p</v>
          </cell>
          <cell r="B4290" t="str">
            <v>12dgr181</v>
          </cell>
          <cell r="C4290" t="str">
            <v>1,2-Diacyl-sn-glycerol (dioctadec-11-enoyl, n-C18:1)</v>
          </cell>
        </row>
        <row r="4291">
          <cell r="A4291" t="str">
            <v>12ppd__R_p</v>
          </cell>
          <cell r="B4291" t="str">
            <v>12ppd__R</v>
          </cell>
          <cell r="C4291" t="str">
            <v>(R)-Propane-1,2-diol</v>
          </cell>
        </row>
        <row r="4292">
          <cell r="A4292" t="str">
            <v>1agpe120_p</v>
          </cell>
          <cell r="B4292" t="str">
            <v>1agpe120</v>
          </cell>
          <cell r="C4292" t="str">
            <v>1-Acyl-sn-glycero-3-phosphoethanolamine (n-C12:0)</v>
          </cell>
        </row>
        <row r="4293">
          <cell r="A4293" t="str">
            <v>1agpe161_p</v>
          </cell>
          <cell r="B4293" t="str">
            <v>1agpe161</v>
          </cell>
          <cell r="C4293" t="str">
            <v>1-Acyl-sn-glycero-3-phosphoethanolamine (n-C16:1)</v>
          </cell>
        </row>
        <row r="4294">
          <cell r="A4294" t="str">
            <v>1agpg140_p</v>
          </cell>
          <cell r="B4294" t="str">
            <v>1agpg140</v>
          </cell>
          <cell r="C4294" t="str">
            <v>1-Acyl-sn-glycero-3-phosphoglycerol (n-C14:0)</v>
          </cell>
        </row>
        <row r="4295">
          <cell r="A4295" t="str">
            <v>1agpg180_p</v>
          </cell>
          <cell r="B4295" t="str">
            <v>1agpg180</v>
          </cell>
          <cell r="C4295" t="str">
            <v>1-Acyl-sn-glycero-3-phosphoglycerol (n-C18:0)</v>
          </cell>
        </row>
        <row r="4296">
          <cell r="A4296" t="str">
            <v>1odecg3p_p</v>
          </cell>
          <cell r="B4296" t="str">
            <v>1odecg3p</v>
          </cell>
          <cell r="C4296" t="str">
            <v>1-octadecanoyl-sn-glycerol 3-phosphate</v>
          </cell>
        </row>
        <row r="4297">
          <cell r="A4297" t="str">
            <v>1tdecg3p_p</v>
          </cell>
          <cell r="B4297" t="str">
            <v>1tdecg3p</v>
          </cell>
          <cell r="C4297" t="str">
            <v>1-tetradecanoyl-sn-glycerol 3-phosphate</v>
          </cell>
        </row>
        <row r="4298">
          <cell r="A4298" t="str">
            <v>23cump_p</v>
          </cell>
          <cell r="B4298" t="str">
            <v>23cump</v>
          </cell>
          <cell r="C4298" t="str">
            <v>2',3'-Cyclic UMP</v>
          </cell>
        </row>
        <row r="4299">
          <cell r="A4299" t="str">
            <v>2agpe140_p</v>
          </cell>
          <cell r="B4299" t="str">
            <v>2agpe140</v>
          </cell>
          <cell r="C4299" t="str">
            <v>2-Acyl-sn-glycero-3-phosphoethanolamine (n-C14:0)</v>
          </cell>
        </row>
        <row r="4300">
          <cell r="A4300" t="str">
            <v>2ddecg3p_p</v>
          </cell>
          <cell r="B4300" t="str">
            <v>2ddecg3p</v>
          </cell>
          <cell r="C4300" t="str">
            <v>2-dodecanoyl-sn-glycerol 3-phosphate</v>
          </cell>
        </row>
        <row r="4301">
          <cell r="A4301" t="str">
            <v>2hdec9eg3p_p</v>
          </cell>
          <cell r="B4301" t="str">
            <v>2hdec9eg3p</v>
          </cell>
          <cell r="C4301" t="str">
            <v>2-hexadec-9-enoyl-sn-glycerol 3-phosphate</v>
          </cell>
        </row>
        <row r="4302">
          <cell r="A4302" t="str">
            <v>34dhpac_p</v>
          </cell>
          <cell r="B4302" t="str">
            <v>34dhpac</v>
          </cell>
          <cell r="C4302" t="str">
            <v>3,4-Dihydroxyphenylacetaldehyde</v>
          </cell>
        </row>
        <row r="4303">
          <cell r="A4303" t="str">
            <v>3cmp_p</v>
          </cell>
          <cell r="B4303" t="str">
            <v>3cmp</v>
          </cell>
          <cell r="C4303" t="str">
            <v>3  CMP C9H12N3O8P</v>
          </cell>
        </row>
        <row r="4304">
          <cell r="A4304" t="str">
            <v>3ump_p</v>
          </cell>
          <cell r="B4304" t="str">
            <v>3ump</v>
          </cell>
          <cell r="C4304" t="str">
            <v>3  UMP C9H11N2O9P</v>
          </cell>
        </row>
        <row r="4305">
          <cell r="A4305" t="str">
            <v>4abut_p</v>
          </cell>
          <cell r="B4305" t="str">
            <v>4abut</v>
          </cell>
          <cell r="C4305" t="str">
            <v>4-Aminobutanoate</v>
          </cell>
        </row>
        <row r="4306">
          <cell r="A4306" t="str">
            <v>5dglcn_p</v>
          </cell>
          <cell r="B4306" t="str">
            <v>5dglcn</v>
          </cell>
          <cell r="C4306" t="str">
            <v>5-Dehydro-D-gluconate</v>
          </cell>
        </row>
        <row r="4307">
          <cell r="A4307" t="str">
            <v>LalaDgluMdap_p</v>
          </cell>
          <cell r="B4307" t="str">
            <v>LalaDgluMdap</v>
          </cell>
          <cell r="C4307" t="str">
            <v>L-alanine-D-glutamate-meso-2,6-diaminoheptanedioate</v>
          </cell>
        </row>
        <row r="4308">
          <cell r="A4308" t="str">
            <v>acac_p</v>
          </cell>
          <cell r="B4308" t="str">
            <v>acac</v>
          </cell>
          <cell r="C4308" t="str">
            <v>Acetoacetate</v>
          </cell>
        </row>
        <row r="4309">
          <cell r="A4309" t="str">
            <v>acgal1p_p</v>
          </cell>
          <cell r="B4309" t="str">
            <v>acgal1p</v>
          </cell>
          <cell r="C4309" t="str">
            <v>N-Acetyl-D-galactosamine 1-phosphate</v>
          </cell>
        </row>
        <row r="4310">
          <cell r="A4310" t="str">
            <v>acmana_p</v>
          </cell>
          <cell r="B4310" t="str">
            <v>acmana</v>
          </cell>
          <cell r="C4310" t="str">
            <v>N-Acetyl-D-mannosamine</v>
          </cell>
        </row>
        <row r="4311">
          <cell r="A4311" t="str">
            <v>ade_p</v>
          </cell>
          <cell r="B4311" t="str">
            <v>ade</v>
          </cell>
          <cell r="C4311" t="str">
            <v>Adenine</v>
          </cell>
        </row>
        <row r="4312">
          <cell r="A4312" t="str">
            <v>alltn_p</v>
          </cell>
          <cell r="B4312" t="str">
            <v>alltn</v>
          </cell>
          <cell r="C4312" t="str">
            <v>Allantoin</v>
          </cell>
        </row>
        <row r="4313">
          <cell r="A4313" t="str">
            <v>anhgm_p</v>
          </cell>
          <cell r="B4313" t="str">
            <v>anhgm</v>
          </cell>
          <cell r="C4313" t="str">
            <v>N-Acetyl-D-glucosamine(anhydrous)N-Acetylmuramic acid</v>
          </cell>
        </row>
        <row r="4314">
          <cell r="A4314" t="str">
            <v>anhgm3p_p</v>
          </cell>
          <cell r="B4314" t="str">
            <v>anhgm3p</v>
          </cell>
          <cell r="C4314" t="str">
            <v>N-Acetyl-D-glucosamine(anhydrous)N-Acetylmuramyl-tripeptide</v>
          </cell>
        </row>
        <row r="4315">
          <cell r="A4315" t="str">
            <v>arbtn_fe3_p</v>
          </cell>
          <cell r="B4315" t="str">
            <v>arbtn_fe3</v>
          </cell>
          <cell r="C4315" t="str">
            <v>Aerobactin</v>
          </cell>
        </row>
        <row r="4316">
          <cell r="A4316" t="str">
            <v>arg__L_p</v>
          </cell>
          <cell r="B4316" t="str">
            <v>arg__L</v>
          </cell>
          <cell r="C4316" t="str">
            <v>L-Arginine</v>
          </cell>
        </row>
        <row r="4317">
          <cell r="A4317" t="str">
            <v>cbl1_p</v>
          </cell>
          <cell r="B4317" t="str">
            <v>cbl1</v>
          </cell>
          <cell r="C4317" t="str">
            <v>Cob(I)alamin</v>
          </cell>
        </row>
        <row r="4318">
          <cell r="A4318" t="str">
            <v>cgly_p</v>
          </cell>
          <cell r="B4318" t="str">
            <v>cgly</v>
          </cell>
          <cell r="C4318" t="str">
            <v>Cys Gly C5H10N2O3S</v>
          </cell>
        </row>
        <row r="4319">
          <cell r="A4319" t="str">
            <v>chol_p</v>
          </cell>
          <cell r="B4319" t="str">
            <v>chol</v>
          </cell>
          <cell r="C4319" t="str">
            <v>Choline C5H14NO</v>
          </cell>
        </row>
        <row r="4320">
          <cell r="A4320" t="str">
            <v>cit_p</v>
          </cell>
          <cell r="B4320" t="str">
            <v>cit</v>
          </cell>
          <cell r="C4320" t="str">
            <v>Citrate</v>
          </cell>
        </row>
        <row r="4321">
          <cell r="A4321" t="str">
            <v>clpn160_p</v>
          </cell>
          <cell r="B4321" t="str">
            <v>clpn160</v>
          </cell>
          <cell r="C4321" t="str">
            <v>Cardiolipin (tetrahexadecanoyl, n-C16:0)</v>
          </cell>
        </row>
        <row r="4322">
          <cell r="A4322" t="str">
            <v>clpn180_p</v>
          </cell>
          <cell r="B4322" t="str">
            <v>clpn180</v>
          </cell>
          <cell r="C4322" t="str">
            <v>Cardiolipin (tetraoctadecanoyl, n-C18:0)</v>
          </cell>
        </row>
        <row r="4323">
          <cell r="A4323" t="str">
            <v>co2_p</v>
          </cell>
          <cell r="B4323" t="str">
            <v>co2</v>
          </cell>
          <cell r="C4323" t="str">
            <v>CO2 CO2</v>
          </cell>
        </row>
        <row r="4324">
          <cell r="A4324" t="str">
            <v>cpgn_p</v>
          </cell>
          <cell r="B4324" t="str">
            <v>cpgn</v>
          </cell>
          <cell r="C4324" t="str">
            <v>Coprogen</v>
          </cell>
        </row>
        <row r="4325">
          <cell r="A4325" t="str">
            <v>cpgn_un_p</v>
          </cell>
          <cell r="B4325" t="str">
            <v>cpgn_un</v>
          </cell>
          <cell r="C4325" t="str">
            <v>Coprogen unloaded (no Fe(III))</v>
          </cell>
        </row>
        <row r="4326">
          <cell r="A4326" t="str">
            <v>cyan_p</v>
          </cell>
          <cell r="B4326" t="str">
            <v>cyan</v>
          </cell>
          <cell r="C4326" t="str">
            <v>Hydrogen cyanide</v>
          </cell>
        </row>
        <row r="4327">
          <cell r="A4327" t="str">
            <v>dgsn_p</v>
          </cell>
          <cell r="B4327" t="str">
            <v>dgsn</v>
          </cell>
          <cell r="C4327" t="str">
            <v>Deoxyguanosine</v>
          </cell>
        </row>
        <row r="4328">
          <cell r="A4328" t="str">
            <v>dms_p</v>
          </cell>
          <cell r="B4328" t="str">
            <v>dms</v>
          </cell>
          <cell r="C4328" t="str">
            <v>Dimethyl sulfide</v>
          </cell>
        </row>
        <row r="4329">
          <cell r="A4329" t="str">
            <v>dmso_p</v>
          </cell>
          <cell r="B4329" t="str">
            <v>dmso</v>
          </cell>
          <cell r="C4329" t="str">
            <v>Dimethyl sulfoxide</v>
          </cell>
        </row>
        <row r="4330">
          <cell r="A4330" t="str">
            <v>dsbcrd_p</v>
          </cell>
          <cell r="B4330" t="str">
            <v>dsbcrd</v>
          </cell>
          <cell r="C4330" t="str">
            <v>Protein disulfide isomerase II (reduced)</v>
          </cell>
        </row>
        <row r="4331">
          <cell r="A4331" t="str">
            <v>dsbgrd_p</v>
          </cell>
          <cell r="B4331" t="str">
            <v>dsbgrd</v>
          </cell>
          <cell r="C4331" t="str">
            <v>Periplasmic disulfide isomerase/thiol-disulphide oxidase (reduced)</v>
          </cell>
        </row>
        <row r="4332">
          <cell r="A4332" t="str">
            <v>eca3und_p</v>
          </cell>
          <cell r="B4332" t="str">
            <v>eca3und</v>
          </cell>
          <cell r="C4332" t="str">
            <v>(enterobacterial common antigen)x3 undecaprenyl-diphosphate</v>
          </cell>
        </row>
        <row r="4333">
          <cell r="A4333" t="str">
            <v>eca4und_p</v>
          </cell>
          <cell r="B4333" t="str">
            <v>eca4und</v>
          </cell>
          <cell r="C4333" t="str">
            <v>(enterobacterial common antigen)x4 undecaprenyl-diphosphate</v>
          </cell>
        </row>
        <row r="4334">
          <cell r="A4334" t="str">
            <v>etha_p</v>
          </cell>
          <cell r="B4334" t="str">
            <v>etha</v>
          </cell>
          <cell r="C4334" t="str">
            <v>Ethanolamine</v>
          </cell>
        </row>
        <row r="4335">
          <cell r="A4335" t="str">
            <v>ethso3_p</v>
          </cell>
          <cell r="B4335" t="str">
            <v>ethso3</v>
          </cell>
          <cell r="C4335" t="str">
            <v>Ethanesulfonate</v>
          </cell>
        </row>
        <row r="4336">
          <cell r="A4336" t="str">
            <v>fecrm_un_p</v>
          </cell>
          <cell r="B4336" t="str">
            <v>fecrm_un</v>
          </cell>
          <cell r="C4336" t="str">
            <v>Ferrichrome minus Fe(III)</v>
          </cell>
        </row>
        <row r="4337">
          <cell r="A4337" t="str">
            <v>feenter_p</v>
          </cell>
          <cell r="B4337" t="str">
            <v>feenter</v>
          </cell>
          <cell r="C4337" t="str">
            <v>Fe-enterobactin</v>
          </cell>
        </row>
        <row r="4338">
          <cell r="A4338" t="str">
            <v>g6p_p</v>
          </cell>
          <cell r="B4338" t="str">
            <v>g6p</v>
          </cell>
          <cell r="C4338" t="str">
            <v>D-Glucose 6-phosphate</v>
          </cell>
        </row>
        <row r="4339">
          <cell r="A4339" t="str">
            <v>gal_bD_p</v>
          </cell>
          <cell r="B4339" t="str">
            <v>gal_bD</v>
          </cell>
          <cell r="C4339" t="str">
            <v>Beta D-Galactose</v>
          </cell>
        </row>
        <row r="4340">
          <cell r="A4340" t="str">
            <v>gly_p</v>
          </cell>
          <cell r="B4340" t="str">
            <v>gly</v>
          </cell>
          <cell r="C4340" t="str">
            <v>Glycine</v>
          </cell>
        </row>
        <row r="4341">
          <cell r="A4341" t="str">
            <v>glyc3p_p</v>
          </cell>
          <cell r="B4341" t="str">
            <v>glyc3p</v>
          </cell>
          <cell r="C4341" t="str">
            <v>Glycerol 3-phosphate</v>
          </cell>
        </row>
        <row r="4342">
          <cell r="A4342" t="str">
            <v>gmp_p</v>
          </cell>
          <cell r="B4342" t="str">
            <v>gmp</v>
          </cell>
          <cell r="C4342" t="str">
            <v>GMP C10H12N5O8P</v>
          </cell>
        </row>
        <row r="4343">
          <cell r="A4343" t="str">
            <v>gthrd_p</v>
          </cell>
          <cell r="B4343" t="str">
            <v>gthrd</v>
          </cell>
          <cell r="C4343" t="str">
            <v>Reduced glutathione</v>
          </cell>
        </row>
        <row r="4344">
          <cell r="A4344" t="str">
            <v>inost_p</v>
          </cell>
          <cell r="B4344" t="str">
            <v>inost</v>
          </cell>
          <cell r="C4344" t="str">
            <v>Myo-Inositol</v>
          </cell>
        </row>
        <row r="4345">
          <cell r="A4345" t="str">
            <v>leu__L_p</v>
          </cell>
          <cell r="B4345" t="str">
            <v>leu__L</v>
          </cell>
          <cell r="C4345" t="str">
            <v>L-Leucine</v>
          </cell>
        </row>
        <row r="4346">
          <cell r="A4346" t="str">
            <v>lipoate_p</v>
          </cell>
          <cell r="B4346" t="str">
            <v>lipoate</v>
          </cell>
          <cell r="C4346" t="str">
            <v>Lipoate</v>
          </cell>
        </row>
        <row r="4347">
          <cell r="A4347" t="str">
            <v>lys__L_p</v>
          </cell>
          <cell r="B4347" t="str">
            <v>lys__L</v>
          </cell>
          <cell r="C4347" t="str">
            <v>L-Lysine</v>
          </cell>
        </row>
        <row r="4348">
          <cell r="A4348" t="str">
            <v>man_p</v>
          </cell>
          <cell r="B4348" t="str">
            <v>man</v>
          </cell>
          <cell r="C4348" t="str">
            <v>D-Mannose</v>
          </cell>
        </row>
        <row r="4349">
          <cell r="A4349" t="str">
            <v>melib_p</v>
          </cell>
          <cell r="B4349" t="str">
            <v>melib</v>
          </cell>
          <cell r="C4349" t="str">
            <v>Melibiose C12H22O11</v>
          </cell>
        </row>
        <row r="4350">
          <cell r="A4350" t="str">
            <v>mobd_p</v>
          </cell>
          <cell r="B4350" t="str">
            <v>mobd</v>
          </cell>
          <cell r="C4350" t="str">
            <v>Molybdate</v>
          </cell>
        </row>
        <row r="4351">
          <cell r="A4351" t="str">
            <v>murein3px4p_p</v>
          </cell>
          <cell r="B4351" t="str">
            <v>murein3px4p</v>
          </cell>
          <cell r="C4351" t="str">
            <v>Two disacharide linked murein units, tripeptide crosslinked tetrapeptide (A2pm-&gt;D-ala) (middle of chain)</v>
          </cell>
        </row>
        <row r="4352">
          <cell r="A4352" t="str">
            <v>murein4p3p_p</v>
          </cell>
          <cell r="B4352" t="str">
            <v>murein4p3p</v>
          </cell>
          <cell r="C4352" t="str">
            <v>Two linked disacharide tetrapeptide and tripeptide murein units (uncrosslinked, middle of chain)</v>
          </cell>
        </row>
        <row r="4353">
          <cell r="A4353" t="str">
            <v>murein4p4p_p</v>
          </cell>
          <cell r="B4353" t="str">
            <v>murein4p4p</v>
          </cell>
          <cell r="C4353" t="str">
            <v>Two linked disacharide tetrapeptide murein units (uncrosslinked, middle of chain)</v>
          </cell>
        </row>
        <row r="4354">
          <cell r="A4354" t="str">
            <v>murein5p4p_p</v>
          </cell>
          <cell r="B4354" t="str">
            <v>murein5p4p</v>
          </cell>
          <cell r="C4354" t="str">
            <v>Two linked disacharide pentapeptide and tetrapeptide murein units (uncrosslinked, middle of chain)</v>
          </cell>
        </row>
        <row r="4355">
          <cell r="A4355" t="str">
            <v>murein5px3p_p</v>
          </cell>
          <cell r="B4355" t="str">
            <v>murein5px3p</v>
          </cell>
          <cell r="C4355" t="str">
            <v>Two disacharide linked murein units, pentapeptide corsslinked tripeptide (A2pm-&gt;A2pm) (middle of chain)</v>
          </cell>
        </row>
        <row r="4356">
          <cell r="A4356" t="str">
            <v>nac_p</v>
          </cell>
          <cell r="B4356" t="str">
            <v>nac</v>
          </cell>
          <cell r="C4356" t="str">
            <v>Nicotinate</v>
          </cell>
        </row>
        <row r="4357">
          <cell r="A4357" t="str">
            <v>nh4_p</v>
          </cell>
          <cell r="B4357" t="str">
            <v>nh4</v>
          </cell>
          <cell r="C4357" t="str">
            <v>Ammonium</v>
          </cell>
        </row>
        <row r="4358">
          <cell r="A4358" t="str">
            <v>no_p</v>
          </cell>
          <cell r="B4358" t="str">
            <v>no</v>
          </cell>
          <cell r="C4358" t="str">
            <v>Nitric oxide</v>
          </cell>
        </row>
        <row r="4359">
          <cell r="A4359" t="str">
            <v>no3_p</v>
          </cell>
          <cell r="B4359" t="str">
            <v>no3</v>
          </cell>
          <cell r="C4359" t="str">
            <v>Nitrate</v>
          </cell>
        </row>
        <row r="4360">
          <cell r="A4360" t="str">
            <v>o16a3und_p</v>
          </cell>
          <cell r="B4360" t="str">
            <v>o16a3und</v>
          </cell>
          <cell r="C4360" t="str">
            <v>(O16 antigen)x3 undecaprenyl diphosphate</v>
          </cell>
        </row>
        <row r="4361">
          <cell r="A4361" t="str">
            <v>o16a4und_p</v>
          </cell>
          <cell r="B4361" t="str">
            <v>o16a4und</v>
          </cell>
          <cell r="C4361" t="str">
            <v>(O16 antigen)x4 undecaprenyl diphosphate</v>
          </cell>
        </row>
        <row r="4362">
          <cell r="A4362" t="str">
            <v>o2_p</v>
          </cell>
          <cell r="B4362" t="str">
            <v>o2</v>
          </cell>
          <cell r="C4362" t="str">
            <v>O2 O2</v>
          </cell>
        </row>
        <row r="4363">
          <cell r="A4363" t="str">
            <v>ocdca_p</v>
          </cell>
          <cell r="B4363" t="str">
            <v>ocdca</v>
          </cell>
          <cell r="C4363" t="str">
            <v>Octadecanoate (n-C18:0)</v>
          </cell>
        </row>
        <row r="4364">
          <cell r="A4364" t="str">
            <v>orn_p</v>
          </cell>
          <cell r="B4364" t="str">
            <v>orn</v>
          </cell>
          <cell r="C4364" t="str">
            <v>Ornithine</v>
          </cell>
        </row>
        <row r="4365">
          <cell r="A4365" t="str">
            <v>pa141_p</v>
          </cell>
          <cell r="B4365" t="str">
            <v>pa141</v>
          </cell>
          <cell r="C4365" t="str">
            <v>1,2-ditetradec-7-enoyl-sn-glycerol 3-phosphate</v>
          </cell>
        </row>
        <row r="4366">
          <cell r="A4366" t="str">
            <v>pa180_p</v>
          </cell>
          <cell r="B4366" t="str">
            <v>pa180</v>
          </cell>
          <cell r="C4366" t="str">
            <v>1,2-dioctadecanoyl-sn-glycerol 3-phosphate</v>
          </cell>
        </row>
        <row r="4367">
          <cell r="A4367" t="str">
            <v>pacald_p</v>
          </cell>
          <cell r="B4367" t="str">
            <v>pacald</v>
          </cell>
          <cell r="C4367" t="str">
            <v>Phenylacetaldehyde</v>
          </cell>
        </row>
        <row r="4368">
          <cell r="A4368" t="str">
            <v>pe181_p</v>
          </cell>
          <cell r="B4368" t="str">
            <v>pe181</v>
          </cell>
          <cell r="C4368" t="str">
            <v>Phosphatidylethanolamine (dioctadec-11-enoyl, n-C18:1)</v>
          </cell>
        </row>
        <row r="4369">
          <cell r="A4369" t="str">
            <v>pg160_p</v>
          </cell>
          <cell r="B4369" t="str">
            <v>pg160</v>
          </cell>
          <cell r="C4369" t="str">
            <v>Phosphatidylglycerol (dihexadecanoyl, n-C16:0)</v>
          </cell>
        </row>
        <row r="4370">
          <cell r="A4370" t="str">
            <v>pg180_p</v>
          </cell>
          <cell r="B4370" t="str">
            <v>pg180</v>
          </cell>
          <cell r="C4370" t="str">
            <v>Phosphatidylglycerol (dioctadecanoyl, n-C18:0)</v>
          </cell>
        </row>
        <row r="4371">
          <cell r="A4371" t="str">
            <v>pgp160_p</v>
          </cell>
          <cell r="B4371" t="str">
            <v>pgp160</v>
          </cell>
          <cell r="C4371" t="str">
            <v>Phosphatidylglycerophosphate (dihexadecanoyl, n-C16:0)</v>
          </cell>
        </row>
        <row r="4372">
          <cell r="A4372" t="str">
            <v>pheme_p</v>
          </cell>
          <cell r="B4372" t="str">
            <v>pheme</v>
          </cell>
          <cell r="C4372" t="str">
            <v>Protoheme C34H30FeN4O4</v>
          </cell>
        </row>
        <row r="4373">
          <cell r="A4373" t="str">
            <v>ppa_p</v>
          </cell>
          <cell r="B4373" t="str">
            <v>ppa</v>
          </cell>
          <cell r="C4373" t="str">
            <v>Propionate (n-C3:0)</v>
          </cell>
        </row>
        <row r="4374">
          <cell r="A4374" t="str">
            <v>ppal_p</v>
          </cell>
          <cell r="B4374" t="str">
            <v>ppal</v>
          </cell>
          <cell r="C4374" t="str">
            <v>Propanal</v>
          </cell>
        </row>
        <row r="4375">
          <cell r="A4375" t="str">
            <v>pydam_p</v>
          </cell>
          <cell r="B4375" t="str">
            <v>pydam</v>
          </cell>
          <cell r="C4375" t="str">
            <v>Pyridoxamine</v>
          </cell>
        </row>
        <row r="4376">
          <cell r="A4376" t="str">
            <v>pydxn_p</v>
          </cell>
          <cell r="B4376" t="str">
            <v>pydxn</v>
          </cell>
          <cell r="C4376" t="str">
            <v>Pyridoxine</v>
          </cell>
        </row>
        <row r="4377">
          <cell r="A4377" t="str">
            <v>skm_p</v>
          </cell>
          <cell r="B4377" t="str">
            <v>skm</v>
          </cell>
          <cell r="C4377" t="str">
            <v>Shikimate</v>
          </cell>
        </row>
        <row r="4378">
          <cell r="A4378" t="str">
            <v>slnt_p</v>
          </cell>
          <cell r="B4378" t="str">
            <v>slnt</v>
          </cell>
          <cell r="C4378" t="str">
            <v>Selenite</v>
          </cell>
        </row>
        <row r="4379">
          <cell r="A4379" t="str">
            <v>so3_p</v>
          </cell>
          <cell r="B4379" t="str">
            <v>so3</v>
          </cell>
          <cell r="C4379" t="str">
            <v>Sulfite</v>
          </cell>
        </row>
        <row r="4380">
          <cell r="A4380" t="str">
            <v>thm_p</v>
          </cell>
          <cell r="B4380" t="str">
            <v>thm</v>
          </cell>
          <cell r="C4380" t="str">
            <v>Thiamin</v>
          </cell>
        </row>
        <row r="4381">
          <cell r="A4381" t="str">
            <v>thym_p</v>
          </cell>
          <cell r="B4381" t="str">
            <v>thym</v>
          </cell>
          <cell r="C4381" t="str">
            <v>Thymine C5H6N2O2</v>
          </cell>
        </row>
        <row r="4382">
          <cell r="A4382" t="str">
            <v>tsul_p</v>
          </cell>
          <cell r="B4382" t="str">
            <v>tsul</v>
          </cell>
          <cell r="C4382" t="str">
            <v>Thiosulfate</v>
          </cell>
        </row>
        <row r="4383">
          <cell r="A4383" t="str">
            <v>tungs_p</v>
          </cell>
          <cell r="B4383" t="str">
            <v>tungs</v>
          </cell>
          <cell r="C4383" t="str">
            <v>Tungstate</v>
          </cell>
        </row>
        <row r="4384">
          <cell r="A4384" t="str">
            <v>uacgam_p</v>
          </cell>
          <cell r="B4384" t="str">
            <v>uacgam</v>
          </cell>
          <cell r="C4384" t="str">
            <v>UDP-N-acetyl-D-glucosamine</v>
          </cell>
        </row>
        <row r="4385">
          <cell r="A4385" t="str">
            <v>udcpp_p</v>
          </cell>
          <cell r="B4385" t="str">
            <v>udcpp</v>
          </cell>
          <cell r="C4385" t="str">
            <v>Undecaprenyl phosphate</v>
          </cell>
        </row>
        <row r="4386">
          <cell r="A4386" t="str">
            <v>udpglcur_p</v>
          </cell>
          <cell r="B4386" t="str">
            <v>udpglcur</v>
          </cell>
          <cell r="C4386" t="str">
            <v>UDP-D-glucuronate</v>
          </cell>
        </row>
        <row r="4387">
          <cell r="A4387" t="str">
            <v>xyl__D_p</v>
          </cell>
          <cell r="B4387" t="str">
            <v>xyl__D</v>
          </cell>
          <cell r="C4387" t="str">
            <v>D-Xylose</v>
          </cell>
        </row>
        <row r="4388">
          <cell r="A4388" t="str">
            <v>5mdr1p_c</v>
          </cell>
          <cell r="B4388" t="str">
            <v>5mdr1p</v>
          </cell>
          <cell r="C4388" t="str">
            <v>5-Methylthio-5-deoxy-D-ribose 1-phosphate</v>
          </cell>
        </row>
        <row r="4389">
          <cell r="A4389" t="str">
            <v>5mdru1p_c</v>
          </cell>
          <cell r="B4389" t="str">
            <v>5mdru1p</v>
          </cell>
          <cell r="C4389" t="str">
            <v>5-Methylthio-5-deoxy-D-ribulose 1-phosphate</v>
          </cell>
        </row>
        <row r="4390">
          <cell r="A4390" t="str">
            <v>hmfurn_c</v>
          </cell>
          <cell r="B4390" t="str">
            <v>hmfurn</v>
          </cell>
          <cell r="C4390" t="str">
            <v>4-hydroxy-5-methyl-3(2H)-furanone</v>
          </cell>
        </row>
        <row r="4391">
          <cell r="A4391" t="str">
            <v>14glun_c</v>
          </cell>
          <cell r="B4391" t="str">
            <v>14glun</v>
          </cell>
          <cell r="C4391" t="str">
            <v xml:space="preserve"> 1 4 alpha D Glucosyl n C6H12O6</v>
          </cell>
        </row>
        <row r="4392">
          <cell r="A4392" t="str">
            <v>1Dgali_c</v>
          </cell>
          <cell r="B4392" t="str">
            <v>1Dgali</v>
          </cell>
          <cell r="C4392" t="str">
            <v>1 alpha D Galactosyl myo inositol C12H22O11</v>
          </cell>
        </row>
        <row r="4393">
          <cell r="A4393" t="str">
            <v>1agly3p_SC_c</v>
          </cell>
          <cell r="B4393" t="str">
            <v>1agly3p_SC</v>
          </cell>
          <cell r="C4393" t="str">
            <v>1 Acyl glycerone 3 phosphate  yeast specific C1920H3422O700P100</v>
          </cell>
        </row>
        <row r="4394">
          <cell r="A4394" t="str">
            <v>1p3h5c_c</v>
          </cell>
          <cell r="B4394" t="str">
            <v>1p3h5c</v>
          </cell>
          <cell r="C4394" t="str">
            <v>L 1 Pyrroline 3 hydroxy 5 carboxylate C5H6NO3</v>
          </cell>
        </row>
        <row r="4395">
          <cell r="A4395" t="str">
            <v>25dthpp_c</v>
          </cell>
          <cell r="B4395" t="str">
            <v>25dthpp</v>
          </cell>
          <cell r="C4395" t="str">
            <v>2 5 diamino 6 ribitylamino 4 3H  pyrimidinone 5  phosphate C9H16N5O8P</v>
          </cell>
        </row>
        <row r="4396">
          <cell r="A4396" t="str">
            <v>2ahhmp_m</v>
          </cell>
          <cell r="B4396" t="str">
            <v>2ahhmp</v>
          </cell>
          <cell r="C4396" t="str">
            <v>2 Amino 4 hydroxy 6 hydroxymethyl 7 8 dihydropteridine C7H9N5O2</v>
          </cell>
        </row>
        <row r="4397">
          <cell r="A4397" t="str">
            <v>2dhp_m</v>
          </cell>
          <cell r="B4397" t="str">
            <v>2dhp</v>
          </cell>
          <cell r="C4397" t="str">
            <v>2-Dehydropantoate</v>
          </cell>
        </row>
        <row r="4398">
          <cell r="A4398" t="str">
            <v>2hb_c</v>
          </cell>
          <cell r="B4398" t="str">
            <v>2hb</v>
          </cell>
          <cell r="C4398" t="str">
            <v>2 Hydroxybutyrate C4H7O3</v>
          </cell>
        </row>
        <row r="4399">
          <cell r="A4399" t="str">
            <v>2hhxdal_c</v>
          </cell>
          <cell r="B4399" t="str">
            <v>2hhxdal</v>
          </cell>
          <cell r="C4399" t="str">
            <v>2 Hydroxy hexadecanal C16H32O2</v>
          </cell>
        </row>
        <row r="4400">
          <cell r="A4400" t="str">
            <v>2hp6mp_m</v>
          </cell>
          <cell r="B4400" t="str">
            <v>2hp6mp</v>
          </cell>
          <cell r="C4400" t="str">
            <v>2 Hexaprenyl 6 methoxyphenol C37H56O2</v>
          </cell>
        </row>
        <row r="4401">
          <cell r="A4401" t="str">
            <v>2hpmhmbq_m</v>
          </cell>
          <cell r="B4401" t="str">
            <v>2hpmhmbq</v>
          </cell>
          <cell r="C4401" t="str">
            <v>2 hexaprenyl 3 methyl 5 hydroxy 6 methoxy 1 4 benzoquinone C38H56O4</v>
          </cell>
        </row>
        <row r="4402">
          <cell r="A4402" t="str">
            <v>2mbald_m</v>
          </cell>
          <cell r="B4402" t="str">
            <v>2mbald</v>
          </cell>
          <cell r="C4402" t="str">
            <v>2 methylbutyraldehyde C5H10O</v>
          </cell>
        </row>
        <row r="4403">
          <cell r="A4403" t="str">
            <v>2oxoadp_c</v>
          </cell>
          <cell r="B4403" t="str">
            <v>2oxoadp</v>
          </cell>
          <cell r="C4403" t="str">
            <v>2 Oxoadipate C6H6O5</v>
          </cell>
        </row>
        <row r="4404">
          <cell r="A4404" t="str">
            <v>34hpl_m</v>
          </cell>
          <cell r="B4404" t="str">
            <v>34hpl</v>
          </cell>
          <cell r="C4404" t="str">
            <v>3  4 Hydroxyphenyl lactate C9H9O4</v>
          </cell>
        </row>
        <row r="4405">
          <cell r="A4405" t="str">
            <v>34hpp_x</v>
          </cell>
          <cell r="B4405" t="str">
            <v>34hpp</v>
          </cell>
          <cell r="C4405" t="str">
            <v>3-(4-Hydroxyphenyl)pyruvate</v>
          </cell>
        </row>
        <row r="4406">
          <cell r="A4406" t="str">
            <v>3c3hmp_m</v>
          </cell>
          <cell r="B4406" t="str">
            <v>3c3hmp</v>
          </cell>
          <cell r="C4406" t="str">
            <v>3-Carboxy-3-hydroxy-4-methylpentanoate</v>
          </cell>
        </row>
        <row r="4407">
          <cell r="A4407" t="str">
            <v>3c4mop_m</v>
          </cell>
          <cell r="B4407" t="str">
            <v>3c4mop</v>
          </cell>
          <cell r="C4407" t="str">
            <v>3-Carboxy-4-methyl-2-oxopentanoate</v>
          </cell>
        </row>
        <row r="4408">
          <cell r="A4408" t="str">
            <v>3dh5hpb_c</v>
          </cell>
          <cell r="B4408" t="str">
            <v>3dh5hpb</v>
          </cell>
          <cell r="C4408" t="str">
            <v>3 Hexaprenyl 4 5 dihydroxybenzoate C37H53O4</v>
          </cell>
        </row>
        <row r="4409">
          <cell r="A4409" t="str">
            <v>3dsphgn_c</v>
          </cell>
          <cell r="B4409" t="str">
            <v>3dsphgn</v>
          </cell>
          <cell r="C4409" t="str">
            <v>3 Dehydrosphinganine C18H38NO2</v>
          </cell>
        </row>
        <row r="4410">
          <cell r="A4410" t="str">
            <v>3hodcoa_x</v>
          </cell>
          <cell r="B4410" t="str">
            <v>3hodcoa</v>
          </cell>
          <cell r="C4410" t="str">
            <v>(S)-3-Hydroxyoctadecanoyl-CoA</v>
          </cell>
        </row>
        <row r="4411">
          <cell r="A4411" t="str">
            <v>3mbald_c</v>
          </cell>
          <cell r="B4411" t="str">
            <v>3mbald</v>
          </cell>
          <cell r="C4411" t="str">
            <v>3 Methylbutanal C5H10O</v>
          </cell>
        </row>
        <row r="4412">
          <cell r="A4412" t="str">
            <v>3mop_m</v>
          </cell>
          <cell r="B4412" t="str">
            <v>3mop</v>
          </cell>
          <cell r="C4412" t="str">
            <v>(S)-3-Methyl-2-oxopentanoate</v>
          </cell>
        </row>
        <row r="4413">
          <cell r="A4413" t="str">
            <v>3oddcoa_x</v>
          </cell>
          <cell r="B4413" t="str">
            <v>3oddcoa</v>
          </cell>
          <cell r="C4413" t="str">
            <v>3-Oxododecanoyl-CoA</v>
          </cell>
        </row>
        <row r="4414">
          <cell r="A4414" t="str">
            <v>4fumacac_c</v>
          </cell>
          <cell r="B4414" t="str">
            <v>4fumacac</v>
          </cell>
          <cell r="C4414" t="str">
            <v>4 Fumarylacetoacetate C8H6O6</v>
          </cell>
        </row>
        <row r="4415">
          <cell r="A4415" t="str">
            <v>4gudbd_c</v>
          </cell>
          <cell r="B4415" t="str">
            <v>4gudbd</v>
          </cell>
          <cell r="C4415" t="str">
            <v>4 Guanidinobutanamide C5H13N4O</v>
          </cell>
        </row>
        <row r="4416">
          <cell r="A4416" t="str">
            <v>4h2oglt_c</v>
          </cell>
          <cell r="B4416" t="str">
            <v>4h2oglt</v>
          </cell>
          <cell r="C4416" t="str">
            <v>4 Hydroxy 2 oxoglutarate C5H4O6</v>
          </cell>
        </row>
        <row r="4417">
          <cell r="A4417" t="str">
            <v>4h2oglt_x</v>
          </cell>
          <cell r="B4417" t="str">
            <v>4h2oglt</v>
          </cell>
          <cell r="C4417" t="str">
            <v>4 Hydroxy 2 oxoglutarate C5H4O6</v>
          </cell>
        </row>
        <row r="4418">
          <cell r="A4418" t="str">
            <v>4hglusa_m</v>
          </cell>
          <cell r="B4418" t="str">
            <v>4hglusa</v>
          </cell>
          <cell r="C4418" t="str">
            <v>L 4 Hydroxyglutamate semialdehyde C5H9NO4</v>
          </cell>
        </row>
        <row r="4419">
          <cell r="A4419" t="str">
            <v>4hpro_LT_m</v>
          </cell>
          <cell r="B4419" t="str">
            <v>4hpro_LT</v>
          </cell>
          <cell r="C4419" t="str">
            <v>Trans 4 Hydroxy L proline C5H9NO3</v>
          </cell>
        </row>
        <row r="4420">
          <cell r="A4420" t="str">
            <v>5aop_m</v>
          </cell>
          <cell r="B4420" t="str">
            <v>5aop</v>
          </cell>
          <cell r="C4420" t="str">
            <v>5-Amino-4-oxopentanoate</v>
          </cell>
        </row>
        <row r="4421">
          <cell r="A4421" t="str">
            <v>5pmev_c</v>
          </cell>
          <cell r="B4421" t="str">
            <v>5pmev</v>
          </cell>
          <cell r="C4421" t="str">
            <v xml:space="preserve"> R  5 Phosphomevalonate C6H10O7P</v>
          </cell>
        </row>
        <row r="4422">
          <cell r="A4422" t="str">
            <v>Dara14lac_c</v>
          </cell>
          <cell r="B4422" t="str">
            <v>Dara14lac</v>
          </cell>
          <cell r="C4422" t="str">
            <v>D Arabinono 1 4 lactone C5H8O5</v>
          </cell>
        </row>
        <row r="4423">
          <cell r="A4423" t="str">
            <v>L2aadp_c</v>
          </cell>
          <cell r="B4423" t="str">
            <v>L2aadp</v>
          </cell>
          <cell r="C4423" t="str">
            <v>L 2 Aminoadipate C6H10NO4</v>
          </cell>
        </row>
        <row r="4424">
          <cell r="A4424" t="str">
            <v>N1sprm_c</v>
          </cell>
          <cell r="B4424" t="str">
            <v>N1sprm</v>
          </cell>
          <cell r="C4424" t="str">
            <v>N1 Acetylspermine C12H31N4O</v>
          </cell>
        </row>
        <row r="4425">
          <cell r="A4425" t="str">
            <v>abt_e</v>
          </cell>
          <cell r="B4425" t="str">
            <v>abt</v>
          </cell>
          <cell r="C4425" t="str">
            <v>L Arabinitol C5H12O5</v>
          </cell>
        </row>
        <row r="4426">
          <cell r="A4426" t="str">
            <v>acald_m</v>
          </cell>
          <cell r="B4426" t="str">
            <v>acald</v>
          </cell>
          <cell r="C4426" t="str">
            <v>Acetaldehyde</v>
          </cell>
        </row>
        <row r="4427">
          <cell r="A4427" t="str">
            <v>accoa_n</v>
          </cell>
          <cell r="B4427" t="str">
            <v>accoa</v>
          </cell>
          <cell r="C4427" t="str">
            <v>Acetyl-CoA</v>
          </cell>
        </row>
        <row r="4428">
          <cell r="A4428" t="str">
            <v>acglu_m</v>
          </cell>
          <cell r="B4428" t="str">
            <v>acglu</v>
          </cell>
          <cell r="C4428" t="str">
            <v>N-Acetyl-L-glutamate</v>
          </cell>
        </row>
        <row r="4429">
          <cell r="A4429" t="str">
            <v>achms_c</v>
          </cell>
          <cell r="B4429" t="str">
            <v>achms</v>
          </cell>
          <cell r="C4429" t="str">
            <v>O Acetyl L homoserine C6H11NO4</v>
          </cell>
        </row>
        <row r="4430">
          <cell r="A4430" t="str">
            <v>acon5m_c</v>
          </cell>
          <cell r="B4430" t="str">
            <v>acon5m</v>
          </cell>
          <cell r="C4430" t="str">
            <v>E 3 carboxyl 2 pentenedioate 5 methyl ester C7H6O6</v>
          </cell>
        </row>
        <row r="4431">
          <cell r="A4431" t="str">
            <v>acorn_m</v>
          </cell>
          <cell r="B4431" t="str">
            <v>acorn</v>
          </cell>
          <cell r="C4431" t="str">
            <v>N2-Acetyl-L-ornithine</v>
          </cell>
        </row>
        <row r="4432">
          <cell r="A4432" t="str">
            <v>acrn_c</v>
          </cell>
          <cell r="B4432" t="str">
            <v>acrn</v>
          </cell>
          <cell r="C4432" t="str">
            <v>O Acetylcarnitine C9H17NO4</v>
          </cell>
        </row>
        <row r="4433">
          <cell r="A4433" t="str">
            <v>acrn_x</v>
          </cell>
          <cell r="B4433" t="str">
            <v>acrn</v>
          </cell>
          <cell r="C4433" t="str">
            <v>O Acetylcarnitine C9H17NO4</v>
          </cell>
        </row>
        <row r="4434">
          <cell r="A4434" t="str">
            <v>actn__R_c</v>
          </cell>
          <cell r="B4434" t="str">
            <v>actn__R</v>
          </cell>
          <cell r="C4434" t="str">
            <v xml:space="preserve"> R  Acetoin C4H8O2</v>
          </cell>
        </row>
        <row r="4435">
          <cell r="A4435" t="str">
            <v>adp_m</v>
          </cell>
          <cell r="B4435" t="str">
            <v>adp</v>
          </cell>
          <cell r="C4435" t="str">
            <v>ADP C10H12N5O10P2</v>
          </cell>
        </row>
        <row r="4436">
          <cell r="A4436" t="str">
            <v>adp_v</v>
          </cell>
          <cell r="B4436" t="str">
            <v>adp</v>
          </cell>
          <cell r="C4436" t="str">
            <v>ADP C10H12N5O10P2</v>
          </cell>
        </row>
        <row r="4437">
          <cell r="A4437" t="str">
            <v>adprib_m</v>
          </cell>
          <cell r="B4437" t="str">
            <v>adprib</v>
          </cell>
          <cell r="C4437" t="str">
            <v>ADPribose C15H21N5O14P2</v>
          </cell>
        </row>
        <row r="4438">
          <cell r="A4438" t="str">
            <v>akg_m</v>
          </cell>
          <cell r="B4438" t="str">
            <v>akg</v>
          </cell>
          <cell r="C4438" t="str">
            <v>2-Oxoglutarate</v>
          </cell>
        </row>
        <row r="4439">
          <cell r="A4439" t="str">
            <v>ala__L_m</v>
          </cell>
          <cell r="B4439" t="str">
            <v>ala__L</v>
          </cell>
          <cell r="C4439" t="str">
            <v>L-Alanine</v>
          </cell>
        </row>
        <row r="4440">
          <cell r="A4440" t="str">
            <v>allphn_c</v>
          </cell>
          <cell r="B4440" t="str">
            <v>allphn</v>
          </cell>
          <cell r="C4440" t="str">
            <v>Allophanate C2H3N2O3</v>
          </cell>
        </row>
        <row r="4441">
          <cell r="A4441" t="str">
            <v>amet_m</v>
          </cell>
          <cell r="B4441" t="str">
            <v>amet</v>
          </cell>
          <cell r="C4441" t="str">
            <v>S-Adenosyl-L-methionine</v>
          </cell>
        </row>
        <row r="4442">
          <cell r="A4442" t="str">
            <v>amp_n</v>
          </cell>
          <cell r="B4442" t="str">
            <v>amp</v>
          </cell>
          <cell r="C4442" t="str">
            <v>AMP C10H12N5O7P</v>
          </cell>
        </row>
        <row r="4443">
          <cell r="A4443" t="str">
            <v>argtrna_m</v>
          </cell>
          <cell r="B4443" t="str">
            <v>argtrna</v>
          </cell>
          <cell r="C4443" t="str">
            <v>L-Arginyl-tRNA(Arg)</v>
          </cell>
        </row>
        <row r="4444">
          <cell r="A4444" t="str">
            <v>asp__L_n</v>
          </cell>
          <cell r="B4444" t="str">
            <v>asp__L</v>
          </cell>
          <cell r="C4444" t="str">
            <v>L-Aspartate</v>
          </cell>
        </row>
        <row r="4445">
          <cell r="A4445" t="str">
            <v>btamp_c</v>
          </cell>
          <cell r="B4445" t="str">
            <v>btamp</v>
          </cell>
          <cell r="C4445" t="str">
            <v>Biotinyl 5  AMP C20H27N7O9PS</v>
          </cell>
        </row>
        <row r="4446">
          <cell r="A4446" t="str">
            <v>cbp_n</v>
          </cell>
          <cell r="B4446" t="str">
            <v>cbp</v>
          </cell>
          <cell r="C4446" t="str">
            <v>Carbamoyl phosphate</v>
          </cell>
        </row>
        <row r="4447">
          <cell r="A4447" t="str">
            <v>cer3_26_c</v>
          </cell>
          <cell r="B4447" t="str">
            <v>cer3_26</v>
          </cell>
          <cell r="C4447" t="str">
            <v>Ceramide 3  Phytosphingosinen C260OH  C44H89NO5</v>
          </cell>
        </row>
        <row r="4448">
          <cell r="A4448" t="str">
            <v>cholp_c</v>
          </cell>
          <cell r="B4448" t="str">
            <v>cholp</v>
          </cell>
          <cell r="C4448" t="str">
            <v>Choline phosphate C5H13NO4P</v>
          </cell>
        </row>
        <row r="4449">
          <cell r="A4449" t="str">
            <v>cit_x</v>
          </cell>
          <cell r="B4449" t="str">
            <v>cit</v>
          </cell>
          <cell r="C4449" t="str">
            <v>Citrate</v>
          </cell>
        </row>
        <row r="4450">
          <cell r="A4450" t="str">
            <v>co2_x</v>
          </cell>
          <cell r="B4450" t="str">
            <v>co2</v>
          </cell>
          <cell r="C4450" t="str">
            <v>CO2 CO2</v>
          </cell>
        </row>
        <row r="4451">
          <cell r="A4451" t="str">
            <v>coa_n</v>
          </cell>
          <cell r="B4451" t="str">
            <v>coa</v>
          </cell>
          <cell r="C4451" t="str">
            <v>Coenzyme A</v>
          </cell>
        </row>
        <row r="4452">
          <cell r="A4452" t="str">
            <v>crn_m</v>
          </cell>
          <cell r="B4452" t="str">
            <v>crn</v>
          </cell>
          <cell r="C4452" t="str">
            <v>L-Carnitine</v>
          </cell>
        </row>
        <row r="4453">
          <cell r="A4453" t="str">
            <v>dd2coa_x</v>
          </cell>
          <cell r="B4453" t="str">
            <v>dd2coa</v>
          </cell>
          <cell r="C4453" t="str">
            <v>Trans-Dodec-2-enoyl-CoA</v>
          </cell>
        </row>
        <row r="4454">
          <cell r="A4454" t="str">
            <v>dhlpro_m</v>
          </cell>
          <cell r="B4454" t="str">
            <v>dhlpro</v>
          </cell>
          <cell r="C4454" t="str">
            <v>Dihydrolipolprotein H2S2X</v>
          </cell>
        </row>
        <row r="4455">
          <cell r="A4455" t="str">
            <v>dhnpt_m</v>
          </cell>
          <cell r="B4455" t="str">
            <v>dhnpt</v>
          </cell>
          <cell r="C4455" t="str">
            <v>Dihydroneopterin</v>
          </cell>
        </row>
        <row r="4456">
          <cell r="A4456" t="str">
            <v>dudp_n</v>
          </cell>
          <cell r="B4456" t="str">
            <v>dudp</v>
          </cell>
          <cell r="C4456" t="str">
            <v>DUDP C9H11N2O11P2</v>
          </cell>
        </row>
        <row r="4457">
          <cell r="A4457" t="str">
            <v>epist_c</v>
          </cell>
          <cell r="B4457" t="str">
            <v>epist</v>
          </cell>
          <cell r="C4457" t="str">
            <v>Episterol C28H46O</v>
          </cell>
        </row>
        <row r="4458">
          <cell r="A4458" t="str">
            <v>ergst_e</v>
          </cell>
          <cell r="B4458" t="str">
            <v>ergst</v>
          </cell>
          <cell r="C4458" t="str">
            <v>Ergosterol C28H44O</v>
          </cell>
        </row>
        <row r="4459">
          <cell r="A4459" t="str">
            <v>fad_m</v>
          </cell>
          <cell r="B4459" t="str">
            <v>fad</v>
          </cell>
          <cell r="C4459" t="str">
            <v>Flavin adenine dinucleotide oxidized</v>
          </cell>
        </row>
        <row r="4460">
          <cell r="A4460" t="str">
            <v>fe2_m</v>
          </cell>
          <cell r="B4460" t="str">
            <v>fe2</v>
          </cell>
          <cell r="C4460" t="str">
            <v>Fe2+ mitochondria</v>
          </cell>
        </row>
        <row r="4461">
          <cell r="A4461" t="str">
            <v>fecostest_SC_e</v>
          </cell>
          <cell r="B4461" t="str">
            <v>fecostest_SC</v>
          </cell>
          <cell r="C4461" t="str">
            <v>Fecosterol ester  yeast specific C1695H2995O101</v>
          </cell>
        </row>
        <row r="4462">
          <cell r="A4462" t="str">
            <v>frdp_m</v>
          </cell>
          <cell r="B4462" t="str">
            <v>frdp</v>
          </cell>
          <cell r="C4462" t="str">
            <v>Farnesyl diphosphate</v>
          </cell>
        </row>
        <row r="4463">
          <cell r="A4463" t="str">
            <v>g6p_r</v>
          </cell>
          <cell r="B4463" t="str">
            <v>g6p</v>
          </cell>
          <cell r="C4463" t="str">
            <v>D-Glucose 6-phosphate</v>
          </cell>
        </row>
        <row r="4464">
          <cell r="A4464" t="str">
            <v>gcald_e</v>
          </cell>
          <cell r="B4464" t="str">
            <v>gcald</v>
          </cell>
          <cell r="C4464" t="str">
            <v>Glycolaldehyde</v>
          </cell>
        </row>
        <row r="4465">
          <cell r="A4465" t="str">
            <v>gdp_g</v>
          </cell>
          <cell r="B4465" t="str">
            <v>gdp</v>
          </cell>
          <cell r="C4465" t="str">
            <v>GDP C10H12N5O11P2</v>
          </cell>
        </row>
        <row r="4466">
          <cell r="A4466" t="str">
            <v>gdp_n</v>
          </cell>
          <cell r="B4466" t="str">
            <v>gdp</v>
          </cell>
          <cell r="C4466" t="str">
            <v>GDP C10H12N5O11P2</v>
          </cell>
        </row>
        <row r="4467">
          <cell r="A4467" t="str">
            <v>gdpmann_g</v>
          </cell>
          <cell r="B4467" t="str">
            <v>gdpmann</v>
          </cell>
          <cell r="C4467" t="str">
            <v>GDP-D-mannose</v>
          </cell>
        </row>
        <row r="4468">
          <cell r="A4468" t="str">
            <v>gln__L_n</v>
          </cell>
          <cell r="B4468" t="str">
            <v>gln__L</v>
          </cell>
          <cell r="C4468" t="str">
            <v>L-Glutamine</v>
          </cell>
        </row>
        <row r="4469">
          <cell r="A4469" t="str">
            <v>glu__L_n</v>
          </cell>
          <cell r="B4469" t="str">
            <v>glu__L</v>
          </cell>
          <cell r="C4469" t="str">
            <v>L-Glutamate</v>
          </cell>
        </row>
        <row r="4470">
          <cell r="A4470" t="str">
            <v>glx_e</v>
          </cell>
          <cell r="B4470" t="str">
            <v>glx</v>
          </cell>
          <cell r="C4470" t="str">
            <v>Glyoxylate</v>
          </cell>
        </row>
        <row r="4471">
          <cell r="A4471" t="str">
            <v>h2o_m</v>
          </cell>
          <cell r="B4471" t="str">
            <v>h2o</v>
          </cell>
          <cell r="C4471" t="str">
            <v>H2O H2O</v>
          </cell>
        </row>
        <row r="4472">
          <cell r="A4472" t="str">
            <v>h2o_v</v>
          </cell>
          <cell r="B4472" t="str">
            <v>h2o</v>
          </cell>
          <cell r="C4472" t="str">
            <v>H2O H2O</v>
          </cell>
        </row>
        <row r="4473">
          <cell r="A4473" t="str">
            <v>h_m</v>
          </cell>
          <cell r="B4473" t="str">
            <v>h</v>
          </cell>
          <cell r="C4473" t="str">
            <v>H+</v>
          </cell>
        </row>
        <row r="4474">
          <cell r="A4474" t="str">
            <v>h_v</v>
          </cell>
          <cell r="B4474" t="str">
            <v>h</v>
          </cell>
          <cell r="C4474" t="str">
            <v>H+</v>
          </cell>
        </row>
        <row r="4475">
          <cell r="A4475" t="str">
            <v>hexdp_c</v>
          </cell>
          <cell r="B4475" t="str">
            <v>hexdp</v>
          </cell>
          <cell r="C4475" t="str">
            <v>All trans Hexaprenyl diphosphate C30H49O7P2</v>
          </cell>
        </row>
        <row r="4476">
          <cell r="A4476" t="str">
            <v>hgentis_c</v>
          </cell>
          <cell r="B4476" t="str">
            <v>hgentis</v>
          </cell>
          <cell r="C4476" t="str">
            <v>Homogentisate C8H7O4</v>
          </cell>
        </row>
        <row r="4477">
          <cell r="A4477" t="str">
            <v>hicit_m</v>
          </cell>
          <cell r="B4477" t="str">
            <v>hicit</v>
          </cell>
          <cell r="C4477" t="str">
            <v>Homoisocitrate C7H7O7</v>
          </cell>
        </row>
        <row r="4478">
          <cell r="A4478" t="str">
            <v>his__L_m</v>
          </cell>
          <cell r="B4478" t="str">
            <v>his__L</v>
          </cell>
          <cell r="C4478" t="str">
            <v>L-Histidine</v>
          </cell>
        </row>
        <row r="4479">
          <cell r="A4479" t="str">
            <v>his__L_v</v>
          </cell>
          <cell r="B4479" t="str">
            <v>his__L</v>
          </cell>
          <cell r="C4479" t="str">
            <v>L-Histidine</v>
          </cell>
        </row>
        <row r="4480">
          <cell r="A4480" t="str">
            <v>hmgcoa_m</v>
          </cell>
          <cell r="B4480" t="str">
            <v>hmgcoa</v>
          </cell>
          <cell r="C4480" t="str">
            <v>Hydroxymethylglutaryl CoA C27H39N7O20P3S</v>
          </cell>
        </row>
        <row r="4481">
          <cell r="A4481" t="str">
            <v>hxc2coa_x</v>
          </cell>
          <cell r="B4481" t="str">
            <v>hxc2coa</v>
          </cell>
          <cell r="C4481" t="str">
            <v>Trans Hexacos 2 enoyl CoA C47H80N7O17P3S</v>
          </cell>
        </row>
        <row r="4482">
          <cell r="A4482" t="str">
            <v>hxdcal_c</v>
          </cell>
          <cell r="B4482" t="str">
            <v>hxdcal</v>
          </cell>
          <cell r="C4482" t="str">
            <v>Hexadecanal C16H32O</v>
          </cell>
        </row>
        <row r="4483">
          <cell r="A4483" t="str">
            <v>iad_c</v>
          </cell>
          <cell r="B4483" t="str">
            <v>iad</v>
          </cell>
          <cell r="C4483" t="str">
            <v>Indole 3 acetamide C10H10N2O</v>
          </cell>
        </row>
        <row r="4484">
          <cell r="A4484" t="str">
            <v>iamac_c</v>
          </cell>
          <cell r="B4484" t="str">
            <v>iamac</v>
          </cell>
          <cell r="C4484" t="str">
            <v>Isoamyl acetate C7H14O2</v>
          </cell>
        </row>
        <row r="4485">
          <cell r="A4485" t="str">
            <v>iamoh_m</v>
          </cell>
          <cell r="B4485" t="str">
            <v>iamoh</v>
          </cell>
          <cell r="C4485" t="str">
            <v>Isoamyl alcohol C5H12O</v>
          </cell>
        </row>
        <row r="4486">
          <cell r="A4486" t="str">
            <v>id3acald_m</v>
          </cell>
          <cell r="B4486" t="str">
            <v>id3acald</v>
          </cell>
          <cell r="C4486" t="str">
            <v>Indole 3 acetaldehyde C10H9NO</v>
          </cell>
        </row>
        <row r="4487">
          <cell r="A4487" t="str">
            <v>ind3ac_c</v>
          </cell>
          <cell r="B4487" t="str">
            <v>ind3ac</v>
          </cell>
          <cell r="C4487" t="str">
            <v>Indole 3 acetate C10H8NO2</v>
          </cell>
        </row>
        <row r="4488">
          <cell r="A4488" t="str">
            <v>lanost_c</v>
          </cell>
          <cell r="B4488" t="str">
            <v>lanost</v>
          </cell>
          <cell r="C4488" t="str">
            <v>Lanosterol C30H50O</v>
          </cell>
        </row>
        <row r="4489">
          <cell r="A4489" t="str">
            <v>m3macchitppdol_g</v>
          </cell>
          <cell r="B4489" t="str">
            <v>m3macchitppdol</v>
          </cell>
          <cell r="C4489" t="str">
            <v xml:space="preserve"> alpha D mannosyl 3 beta D mannosyl diacetylchitodiphosphodolichol C55H94N2O37P2</v>
          </cell>
        </row>
        <row r="4490">
          <cell r="A4490" t="str">
            <v>mannan_c</v>
          </cell>
          <cell r="B4490" t="str">
            <v>mannan</v>
          </cell>
          <cell r="C4490" t="str">
            <v>Mannan C6H10O5</v>
          </cell>
        </row>
        <row r="4491">
          <cell r="A4491" t="str">
            <v>mannan_r</v>
          </cell>
          <cell r="B4491" t="str">
            <v>mannan</v>
          </cell>
          <cell r="C4491" t="str">
            <v>Mannan C6H10O5</v>
          </cell>
        </row>
        <row r="4492">
          <cell r="A4492" t="str">
            <v>met__L_m</v>
          </cell>
          <cell r="B4492" t="str">
            <v>met__L</v>
          </cell>
          <cell r="C4492" t="str">
            <v>L-Methionine</v>
          </cell>
        </row>
        <row r="4493">
          <cell r="A4493" t="str">
            <v>mi13456p_c</v>
          </cell>
          <cell r="B4493" t="str">
            <v>mi13456p</v>
          </cell>
          <cell r="C4493" t="str">
            <v>1D myo Inositol 1 3 4 5 6 pentakisphosphate C6H7O21P5</v>
          </cell>
        </row>
        <row r="4494">
          <cell r="A4494" t="str">
            <v>mi145p_n</v>
          </cell>
          <cell r="B4494" t="str">
            <v>mi145p</v>
          </cell>
          <cell r="C4494" t="str">
            <v>1D myo Inositol 1 4 5 trisphosphate C6H9O15P3</v>
          </cell>
        </row>
        <row r="4495">
          <cell r="A4495" t="str">
            <v>micit_m</v>
          </cell>
          <cell r="B4495" t="str">
            <v>micit</v>
          </cell>
          <cell r="C4495" t="str">
            <v>Methylisocitrate</v>
          </cell>
        </row>
        <row r="4496">
          <cell r="A4496" t="str">
            <v>minohp_n</v>
          </cell>
          <cell r="B4496" t="str">
            <v>minohp</v>
          </cell>
          <cell r="C4496" t="str">
            <v>Myo-Inositol hexakisphosphate</v>
          </cell>
        </row>
        <row r="4497">
          <cell r="A4497" t="str">
            <v>mip2c126_SC_c</v>
          </cell>
          <cell r="B4497" t="str">
            <v>mip2c126_SC</v>
          </cell>
          <cell r="C4497" t="str">
            <v>Mannose  inositol P 2 ceramide  ceramide 1  26C   yeast specific C6200H11900N100O2400P200</v>
          </cell>
        </row>
        <row r="4498">
          <cell r="A4498" t="str">
            <v>mipc126_SC_c</v>
          </cell>
          <cell r="B4498" t="str">
            <v>mipc126_SC</v>
          </cell>
          <cell r="C4498" t="str">
            <v>Mannose inositol phosphorylceramide  ceramide 1  26C   yeast specific C5600H10900N100O1600P100</v>
          </cell>
        </row>
        <row r="4499">
          <cell r="A4499" t="str">
            <v>mipc224_SC_c</v>
          </cell>
          <cell r="B4499" t="str">
            <v>mipc224_SC</v>
          </cell>
          <cell r="C4499" t="str">
            <v>Mannose inositol phosphorylceramide  ceramide 2  24C   yeast specific C5400H10500N100O1700P100</v>
          </cell>
        </row>
        <row r="4500">
          <cell r="A4500" t="str">
            <v>myrsACP_m</v>
          </cell>
          <cell r="B4500" t="str">
            <v>myrsACP</v>
          </cell>
          <cell r="C4500" t="str">
            <v>Myristoyl-ACP (n-C14:0ACP)</v>
          </cell>
        </row>
        <row r="4501">
          <cell r="A4501" t="str">
            <v>n4abutn_c</v>
          </cell>
          <cell r="B4501" t="str">
            <v>n4abutn</v>
          </cell>
          <cell r="C4501" t="str">
            <v>N4 Acetylaminobutanal C6H11NO2</v>
          </cell>
        </row>
        <row r="4502">
          <cell r="A4502" t="str">
            <v>nad_m</v>
          </cell>
          <cell r="B4502" t="str">
            <v>nad</v>
          </cell>
          <cell r="C4502" t="str">
            <v>Nicotinamide adenine dinucleotide</v>
          </cell>
        </row>
        <row r="4503">
          <cell r="A4503" t="str">
            <v>nadp_r</v>
          </cell>
          <cell r="B4503" t="str">
            <v>nadp</v>
          </cell>
          <cell r="C4503" t="str">
            <v>Nicotinamide adenine dinucleotide phosphate</v>
          </cell>
        </row>
        <row r="4504">
          <cell r="A4504" t="str">
            <v>nadp_x</v>
          </cell>
          <cell r="B4504" t="str">
            <v>nadp</v>
          </cell>
          <cell r="C4504" t="str">
            <v>Nicotinamide adenine dinucleotide phosphate</v>
          </cell>
        </row>
        <row r="4505">
          <cell r="A4505" t="str">
            <v>nh4_x</v>
          </cell>
          <cell r="B4505" t="str">
            <v>nh4</v>
          </cell>
          <cell r="C4505" t="str">
            <v>Ammonium</v>
          </cell>
        </row>
        <row r="4506">
          <cell r="A4506" t="str">
            <v>nicrnt_m</v>
          </cell>
          <cell r="B4506" t="str">
            <v>nicrnt</v>
          </cell>
          <cell r="C4506" t="str">
            <v>Nicotinate D-ribonucleotide</v>
          </cell>
        </row>
        <row r="4507">
          <cell r="A4507" t="str">
            <v>o2_r</v>
          </cell>
          <cell r="B4507" t="str">
            <v>o2</v>
          </cell>
          <cell r="C4507" t="str">
            <v>O2 O2</v>
          </cell>
        </row>
        <row r="4508">
          <cell r="A4508" t="str">
            <v>o2_x</v>
          </cell>
          <cell r="B4508" t="str">
            <v>o2</v>
          </cell>
          <cell r="C4508" t="str">
            <v>O2 O2</v>
          </cell>
        </row>
        <row r="4509">
          <cell r="A4509" t="str">
            <v>oaa_m</v>
          </cell>
          <cell r="B4509" t="str">
            <v>oaa</v>
          </cell>
          <cell r="C4509" t="str">
            <v>Oxaloacetate</v>
          </cell>
        </row>
        <row r="4510">
          <cell r="A4510" t="str">
            <v>ocdca_x</v>
          </cell>
          <cell r="B4510" t="str">
            <v>ocdca</v>
          </cell>
          <cell r="C4510" t="str">
            <v>Octadecanoate (n-C18:0)</v>
          </cell>
        </row>
        <row r="4511">
          <cell r="A4511" t="str">
            <v>ocdcyaACP_m</v>
          </cell>
          <cell r="B4511" t="str">
            <v>ocdcyaACP</v>
          </cell>
          <cell r="C4511" t="str">
            <v>Octadecynoyl ACP  n C182ACP  C29H51N2O8PRS</v>
          </cell>
        </row>
        <row r="4512">
          <cell r="A4512" t="str">
            <v>od2coa_x</v>
          </cell>
          <cell r="B4512" t="str">
            <v>od2coa</v>
          </cell>
          <cell r="C4512" t="str">
            <v>Trans-Octadec-2-enoyl-CoA</v>
          </cell>
        </row>
        <row r="4513">
          <cell r="A4513" t="str">
            <v>oxag_c</v>
          </cell>
          <cell r="B4513" t="str">
            <v>oxag</v>
          </cell>
          <cell r="C4513" t="str">
            <v>Oxaloglutarate C7H5O7</v>
          </cell>
        </row>
        <row r="4514">
          <cell r="A4514" t="str">
            <v>pa_SC_m</v>
          </cell>
          <cell r="B4514" t="str">
            <v>pa_SC</v>
          </cell>
          <cell r="C4514" t="str">
            <v>Phosphatidate  yeast specific C3540H6544O800P100</v>
          </cell>
        </row>
        <row r="4515">
          <cell r="A4515" t="str">
            <v>pant__R_m</v>
          </cell>
          <cell r="B4515" t="str">
            <v>pant__R</v>
          </cell>
          <cell r="C4515" t="str">
            <v>(R)-Pantoate</v>
          </cell>
        </row>
        <row r="4516">
          <cell r="A4516" t="str">
            <v>pap_x</v>
          </cell>
          <cell r="B4516" t="str">
            <v>pap</v>
          </cell>
          <cell r="C4516" t="str">
            <v>Adenosine 3',5'-bisphosphate</v>
          </cell>
        </row>
        <row r="4517">
          <cell r="A4517" t="str">
            <v>pc_SC_c</v>
          </cell>
          <cell r="B4517" t="str">
            <v>pc_SC</v>
          </cell>
          <cell r="C4517" t="str">
            <v>Phosphatidylcholine  yeast specific C4040H7844N100O800P100</v>
          </cell>
        </row>
        <row r="4518">
          <cell r="A4518" t="str">
            <v>pepd_e</v>
          </cell>
          <cell r="B4518" t="str">
            <v>pepd</v>
          </cell>
          <cell r="C4518" t="str">
            <v>Peptide C2H4NO2RC2H2NOR</v>
          </cell>
        </row>
        <row r="4519">
          <cell r="A4519" t="str">
            <v>phe__L_m</v>
          </cell>
          <cell r="B4519" t="str">
            <v>phe__L</v>
          </cell>
          <cell r="C4519" t="str">
            <v>L-Phenylalanine</v>
          </cell>
        </row>
        <row r="4520">
          <cell r="A4520" t="str">
            <v>pheac_c</v>
          </cell>
          <cell r="B4520" t="str">
            <v>pheac</v>
          </cell>
          <cell r="C4520" t="str">
            <v>Phenethyl acetate C10H12O2</v>
          </cell>
        </row>
        <row r="4521">
          <cell r="A4521" t="str">
            <v>ppp9_m</v>
          </cell>
          <cell r="B4521" t="str">
            <v>ppp9</v>
          </cell>
          <cell r="C4521" t="str">
            <v>Protoporphyrin</v>
          </cell>
        </row>
        <row r="4522">
          <cell r="A4522" t="str">
            <v>pppg9_m</v>
          </cell>
          <cell r="B4522" t="str">
            <v>pppg9</v>
          </cell>
          <cell r="C4522" t="str">
            <v>Protoporphyrinogen IX</v>
          </cell>
        </row>
        <row r="4523">
          <cell r="A4523" t="str">
            <v>prpp_m</v>
          </cell>
          <cell r="B4523" t="str">
            <v>prpp</v>
          </cell>
          <cell r="C4523" t="str">
            <v>5-Phospho-alpha-D-ribose 1-diphosphate</v>
          </cell>
        </row>
        <row r="4524">
          <cell r="A4524" t="str">
            <v>ps_SC_g</v>
          </cell>
          <cell r="B4524" t="str">
            <v>ps_SC</v>
          </cell>
          <cell r="C4524" t="str">
            <v>Phosphatidylserine  yeast specific C3840H7144N100O1000P100</v>
          </cell>
        </row>
        <row r="4525">
          <cell r="A4525" t="str">
            <v>psd5p_c</v>
          </cell>
          <cell r="B4525" t="str">
            <v>psd5p</v>
          </cell>
          <cell r="C4525" t="str">
            <v>Pseudouridine 5  phosphate C9H11N2O9P</v>
          </cell>
        </row>
        <row r="4526">
          <cell r="A4526" t="str">
            <v>ptd134bp_SC_c</v>
          </cell>
          <cell r="B4526" t="str">
            <v>ptd134bp_SC</v>
          </cell>
          <cell r="C4526" t="str">
            <v>Phosphatidyl 1D myo inositol 3 4 bisphosphate  yeast specific C4140H7444O1900P300</v>
          </cell>
        </row>
        <row r="4527">
          <cell r="A4527" t="str">
            <v>ptd1ino_SC_c</v>
          </cell>
          <cell r="B4527" t="str">
            <v>ptd1ino_SC</v>
          </cell>
          <cell r="C4527" t="str">
            <v>Phosphatidyl 1D myo inositol  yeast specific C4140H7644O1300P100</v>
          </cell>
        </row>
        <row r="4528">
          <cell r="A4528" t="str">
            <v>ptd2meeta_SC_c</v>
          </cell>
          <cell r="B4528" t="str">
            <v>ptd2meeta_SC</v>
          </cell>
          <cell r="C4528" t="str">
            <v>Phosphatidyl N dimethylethanolamine C3940H7644N100O800P100</v>
          </cell>
        </row>
        <row r="4529">
          <cell r="A4529" t="str">
            <v>quln_m</v>
          </cell>
          <cell r="B4529" t="str">
            <v>quln</v>
          </cell>
          <cell r="C4529" t="str">
            <v>Quinolinate</v>
          </cell>
        </row>
        <row r="4530">
          <cell r="A4530" t="str">
            <v>r1p_m</v>
          </cell>
          <cell r="B4530" t="str">
            <v>r1p</v>
          </cell>
          <cell r="C4530" t="str">
            <v>Alpha-D-Ribose 1-phosphate</v>
          </cell>
        </row>
        <row r="4531">
          <cell r="A4531" t="str">
            <v>raffin_c</v>
          </cell>
          <cell r="B4531" t="str">
            <v>raffin</v>
          </cell>
          <cell r="C4531" t="str">
            <v>Raffinose C18H32O16</v>
          </cell>
        </row>
        <row r="4532">
          <cell r="A4532" t="str">
            <v>ribflv_m</v>
          </cell>
          <cell r="B4532" t="str">
            <v>ribflv</v>
          </cell>
          <cell r="C4532" t="str">
            <v>Riboflavin C17H20N4O6</v>
          </cell>
        </row>
        <row r="4533">
          <cell r="A4533" t="str">
            <v>sphgn_c</v>
          </cell>
          <cell r="B4533" t="str">
            <v>sphgn</v>
          </cell>
          <cell r="C4533" t="str">
            <v>Sphinganine C18H40NO2</v>
          </cell>
        </row>
        <row r="4534">
          <cell r="A4534" t="str">
            <v>sphgn_r</v>
          </cell>
          <cell r="B4534" t="str">
            <v>sphgn</v>
          </cell>
          <cell r="C4534" t="str">
            <v>Sphinganine C18H40NO2</v>
          </cell>
        </row>
        <row r="4535">
          <cell r="A4535" t="str">
            <v>sprm_e</v>
          </cell>
          <cell r="B4535" t="str">
            <v>sprm</v>
          </cell>
          <cell r="C4535" t="str">
            <v>Spermine C10H30N4</v>
          </cell>
        </row>
        <row r="4536">
          <cell r="A4536" t="str">
            <v>srb__L_e</v>
          </cell>
          <cell r="B4536" t="str">
            <v>srb__L</v>
          </cell>
          <cell r="C4536" t="str">
            <v>L Sorbose C6H12O6</v>
          </cell>
        </row>
        <row r="4537">
          <cell r="A4537" t="str">
            <v>succ_m</v>
          </cell>
          <cell r="B4537" t="str">
            <v>succ</v>
          </cell>
          <cell r="C4537" t="str">
            <v>Succinate</v>
          </cell>
        </row>
        <row r="4538">
          <cell r="A4538" t="str">
            <v>tdeACP_m</v>
          </cell>
          <cell r="B4538" t="str">
            <v>tdeACP</v>
          </cell>
          <cell r="C4538" t="str">
            <v>Cis-tetradec-7-enoyl-[acyl-carrier protein] (n-C14:1)</v>
          </cell>
        </row>
        <row r="4539">
          <cell r="A4539" t="str">
            <v>tdecoa_x</v>
          </cell>
          <cell r="B4539" t="str">
            <v>tdecoa</v>
          </cell>
          <cell r="C4539" t="str">
            <v>Tetradecenoyl-CoA (n-C14:1CoA)</v>
          </cell>
        </row>
        <row r="4540">
          <cell r="A4540" t="str">
            <v>tglp_c</v>
          </cell>
          <cell r="B4540" t="str">
            <v>tglp</v>
          </cell>
          <cell r="C4540" t="str">
            <v>N Tetradecanoylglycylpeptide C18H32N2O4R</v>
          </cell>
        </row>
        <row r="4541">
          <cell r="A4541" t="str">
            <v>thmtp_c</v>
          </cell>
          <cell r="B4541" t="str">
            <v>thmtp</v>
          </cell>
          <cell r="C4541" t="str">
            <v>Thiamin triphosphate C12H16N4O10P3S</v>
          </cell>
        </row>
        <row r="4542">
          <cell r="A4542" t="str">
            <v>thr__L_m</v>
          </cell>
          <cell r="B4542" t="str">
            <v>thr__L</v>
          </cell>
          <cell r="C4542" t="str">
            <v>L-Threonine</v>
          </cell>
        </row>
        <row r="4543">
          <cell r="A4543" t="str">
            <v>thrtrna_m</v>
          </cell>
          <cell r="B4543" t="str">
            <v>thrtrna</v>
          </cell>
          <cell r="C4543" t="str">
            <v>L-Threonyl-tRNA(Thr)</v>
          </cell>
        </row>
        <row r="4544">
          <cell r="A4544" t="str">
            <v>trdox_n</v>
          </cell>
          <cell r="B4544" t="str">
            <v>trdox</v>
          </cell>
          <cell r="C4544" t="str">
            <v>Oxidized thioredoxin</v>
          </cell>
        </row>
        <row r="4545">
          <cell r="A4545" t="str">
            <v>trdrd_n</v>
          </cell>
          <cell r="B4545" t="str">
            <v>trdrd</v>
          </cell>
          <cell r="C4545" t="str">
            <v>Reduced thioredoxin</v>
          </cell>
        </row>
        <row r="4546">
          <cell r="A4546" t="str">
            <v>trnaarg_m</v>
          </cell>
          <cell r="B4546" t="str">
            <v>trnaarg</v>
          </cell>
          <cell r="C4546" t="str">
            <v>TRNA(Arg)</v>
          </cell>
        </row>
        <row r="4547">
          <cell r="A4547" t="str">
            <v>trnaglu_m</v>
          </cell>
          <cell r="B4547" t="str">
            <v>trnaglu</v>
          </cell>
          <cell r="C4547" t="str">
            <v>TRNA (Glu)</v>
          </cell>
        </row>
        <row r="4548">
          <cell r="A4548" t="str">
            <v>trnahis_m</v>
          </cell>
          <cell r="B4548" t="str">
            <v>trnahis</v>
          </cell>
          <cell r="C4548" t="str">
            <v>TRNA(His)</v>
          </cell>
        </row>
        <row r="4549">
          <cell r="A4549" t="str">
            <v>trnatrp_m</v>
          </cell>
          <cell r="B4549" t="str">
            <v>trnatrp</v>
          </cell>
          <cell r="C4549" t="str">
            <v>TRNA(Trp)</v>
          </cell>
        </row>
        <row r="4550">
          <cell r="A4550" t="str">
            <v>ttccoa_c</v>
          </cell>
          <cell r="B4550" t="str">
            <v>ttccoa</v>
          </cell>
          <cell r="C4550" t="str">
            <v>Tetracosanoyl CoA   n C240CoA  C45H78N7O17P3S</v>
          </cell>
        </row>
        <row r="4551">
          <cell r="A4551" t="str">
            <v>ttccoa_r</v>
          </cell>
          <cell r="B4551" t="str">
            <v>ttccoa</v>
          </cell>
          <cell r="C4551" t="str">
            <v>Tetracosanoyl CoA   n C240CoA  C45H78N7O17P3S</v>
          </cell>
        </row>
        <row r="4552">
          <cell r="A4552" t="str">
            <v>ttccoa_x</v>
          </cell>
          <cell r="B4552" t="str">
            <v>ttccoa</v>
          </cell>
          <cell r="C4552" t="str">
            <v>Tetracosanoyl CoA   n C240CoA  C45H78N7O17P3S</v>
          </cell>
        </row>
        <row r="4553">
          <cell r="A4553" t="str">
            <v>udp_n</v>
          </cell>
          <cell r="B4553" t="str">
            <v>udp</v>
          </cell>
          <cell r="C4553" t="str">
            <v>UDP C9H11N2O12P2</v>
          </cell>
        </row>
        <row r="4554">
          <cell r="A4554" t="str">
            <v>ump_m</v>
          </cell>
          <cell r="B4554" t="str">
            <v>ump</v>
          </cell>
          <cell r="C4554" t="str">
            <v>UMP C9H11N2O9P</v>
          </cell>
        </row>
        <row r="4555">
          <cell r="A4555" t="str">
            <v>zymst_c</v>
          </cell>
          <cell r="B4555" t="str">
            <v>zymst</v>
          </cell>
          <cell r="C4555" t="str">
            <v>Zymosterol C27H44O</v>
          </cell>
        </row>
        <row r="4556">
          <cell r="A4556" t="str">
            <v>2mbdhl_c</v>
          </cell>
          <cell r="B4556" t="str">
            <v>2mbdhl</v>
          </cell>
          <cell r="C4556" t="str">
            <v>S-(2-Methylbutanoyl)-dihydrolipoamide</v>
          </cell>
        </row>
        <row r="4557">
          <cell r="A4557" t="str">
            <v>2ommb_c</v>
          </cell>
          <cell r="B4557" t="str">
            <v>2ommb</v>
          </cell>
          <cell r="C4557" t="str">
            <v>2-Octaprenyl-3-methyl-6-methoxy-1,4-benzoquinone</v>
          </cell>
        </row>
        <row r="4558">
          <cell r="A4558" t="str">
            <v>Cit_Mg_c</v>
          </cell>
          <cell r="B4558" t="str">
            <v>Cit_Mg</v>
          </cell>
          <cell r="C4558" t="str">
            <v>Citrate-Mg</v>
          </cell>
        </row>
        <row r="4559">
          <cell r="A4559" t="str">
            <v>SA_FREE_FA_c</v>
          </cell>
          <cell r="B4559" t="str">
            <v>SA_FREE_FA</v>
          </cell>
          <cell r="C4559" t="str">
            <v>SA Free Fatty Acids</v>
          </cell>
        </row>
        <row r="4560">
          <cell r="A4560" t="str">
            <v>bz_c</v>
          </cell>
          <cell r="B4560" t="str">
            <v>bz</v>
          </cell>
          <cell r="C4560" t="str">
            <v>Benzoate</v>
          </cell>
        </row>
        <row r="4561">
          <cell r="A4561" t="str">
            <v>cdpdag_SA_c</v>
          </cell>
          <cell r="B4561" t="str">
            <v>cdpdag_SA</v>
          </cell>
          <cell r="C4561" t="str">
            <v>CDPdiacylglycerol (Saureus)</v>
          </cell>
        </row>
        <row r="4562">
          <cell r="A4562" t="str">
            <v>decdp_c</v>
          </cell>
          <cell r="B4562" t="str">
            <v>decdp</v>
          </cell>
          <cell r="C4562" t="str">
            <v>All trans Decaprenyl diphosphate</v>
          </cell>
        </row>
        <row r="4563">
          <cell r="A4563" t="str">
            <v>dgal6p_c</v>
          </cell>
          <cell r="B4563" t="str">
            <v>dgal6p</v>
          </cell>
          <cell r="C4563" t="str">
            <v>D-Galactose 6-phosphate</v>
          </cell>
        </row>
        <row r="4564">
          <cell r="A4564" t="str">
            <v>dgdcg_SA2_c</v>
          </cell>
          <cell r="B4564" t="str">
            <v>dgdcg_SA2</v>
          </cell>
          <cell r="C4564" t="str">
            <v>Diglucosyl-diacylglycerol (SA) 2</v>
          </cell>
        </row>
        <row r="4565">
          <cell r="A4565" t="str">
            <v>dhlam_c</v>
          </cell>
          <cell r="B4565" t="str">
            <v>dhlam</v>
          </cell>
          <cell r="C4565" t="str">
            <v>Dihydrolipoamide C8H17NOS2</v>
          </cell>
        </row>
        <row r="4566">
          <cell r="A4566" t="str">
            <v>fa9_c</v>
          </cell>
          <cell r="B4566" t="str">
            <v>fa9</v>
          </cell>
          <cell r="C4566" t="str">
            <v>Fatty acid (Iso-C17:1)</v>
          </cell>
        </row>
        <row r="4567">
          <cell r="A4567" t="str">
            <v>gtca2_c</v>
          </cell>
          <cell r="B4567" t="str">
            <v>gtca2</v>
          </cell>
          <cell r="C4567" t="str">
            <v>Glycerol teichoic acid (n=25), unlinked, D-ala substituted</v>
          </cell>
        </row>
        <row r="4568">
          <cell r="A4568" t="str">
            <v>gtca3_c</v>
          </cell>
          <cell r="B4568" t="str">
            <v>gtca3</v>
          </cell>
          <cell r="C4568" t="str">
            <v>Glycerol teichoic acid (n=25), unlinked, glucose substituted</v>
          </cell>
        </row>
        <row r="4569">
          <cell r="A4569" t="str">
            <v>hemeA_c</v>
          </cell>
          <cell r="B4569" t="str">
            <v>hemeA</v>
          </cell>
          <cell r="C4569" t="str">
            <v>Heme A C49H55FeN4O6</v>
          </cell>
        </row>
        <row r="4570">
          <cell r="A4570" t="str">
            <v>ibcoa_c</v>
          </cell>
          <cell r="B4570" t="str">
            <v>ibcoa</v>
          </cell>
          <cell r="C4570" t="str">
            <v>Isobutyryl-CoA</v>
          </cell>
        </row>
        <row r="4571">
          <cell r="A4571" t="str">
            <v>n6all26d_c</v>
          </cell>
          <cell r="B4571" t="str">
            <v>n6all26d</v>
          </cell>
          <cell r="C4571" t="str">
            <v>N6-Acetyl-LL-2,6-diaminoheptanedioate</v>
          </cell>
        </row>
        <row r="4572">
          <cell r="A4572" t="str">
            <v>nal2a6o_c</v>
          </cell>
          <cell r="B4572" t="str">
            <v>nal2a6o</v>
          </cell>
          <cell r="C4572" t="str">
            <v>N-Acetyl-L-2-amino-6-oxopimelate</v>
          </cell>
        </row>
        <row r="4573">
          <cell r="A4573" t="str">
            <v>nh4oh_c</v>
          </cell>
          <cell r="B4573" t="str">
            <v>nh4oh</v>
          </cell>
          <cell r="C4573" t="str">
            <v>Ammonium hydroxide</v>
          </cell>
        </row>
        <row r="4574">
          <cell r="A4574" t="str">
            <v>pa_SA_c</v>
          </cell>
          <cell r="B4574" t="str">
            <v>pa_SA</v>
          </cell>
          <cell r="C4574" t="str">
            <v>Phosphatidate (Saureus)</v>
          </cell>
        </row>
        <row r="4575">
          <cell r="A4575" t="str">
            <v>pe_SA_c</v>
          </cell>
          <cell r="B4575" t="str">
            <v>pe_SA</v>
          </cell>
          <cell r="C4575" t="str">
            <v>Phosphatidylethanolamine (Saureus)</v>
          </cell>
        </row>
        <row r="4576">
          <cell r="A4576" t="str">
            <v>pgp_SA_c</v>
          </cell>
          <cell r="B4576" t="str">
            <v>pgp_SA</v>
          </cell>
          <cell r="C4576" t="str">
            <v>Phosphatidylglycerophosphate (Saureus)</v>
          </cell>
        </row>
        <row r="4577">
          <cell r="A4577" t="str">
            <v>drib_e</v>
          </cell>
          <cell r="B4577" t="str">
            <v>drib</v>
          </cell>
          <cell r="C4577" t="str">
            <v>Deoxyribose C5H10O4</v>
          </cell>
        </row>
        <row r="4578">
          <cell r="A4578" t="str">
            <v>4hphac_e</v>
          </cell>
          <cell r="B4578" t="str">
            <v>4hphac</v>
          </cell>
          <cell r="C4578" t="str">
            <v>4-Hydroxyphenylacetate</v>
          </cell>
        </row>
        <row r="4579">
          <cell r="A4579" t="str">
            <v>acon_C_e</v>
          </cell>
          <cell r="B4579" t="str">
            <v>acon_C</v>
          </cell>
          <cell r="C4579" t="str">
            <v>Cis-Aconitate</v>
          </cell>
        </row>
        <row r="4580">
          <cell r="A4580" t="str">
            <v>salchs4_c</v>
          </cell>
          <cell r="B4580" t="str">
            <v>salchs4</v>
          </cell>
          <cell r="C4580" t="str">
            <v>Salmochelin-S4</v>
          </cell>
        </row>
        <row r="4581">
          <cell r="A4581" t="str">
            <v>tcb_e</v>
          </cell>
          <cell r="B4581" t="str">
            <v>tcb</v>
          </cell>
          <cell r="C4581" t="str">
            <v>Tricarballylate</v>
          </cell>
        </row>
        <row r="4582">
          <cell r="A4582" t="str">
            <v>tton_e</v>
          </cell>
          <cell r="B4582" t="str">
            <v>tton</v>
          </cell>
          <cell r="C4582" t="str">
            <v>Trithionate</v>
          </cell>
        </row>
        <row r="4583">
          <cell r="A4583" t="str">
            <v>dxyl_p</v>
          </cell>
          <cell r="B4583" t="str">
            <v>dxyl</v>
          </cell>
          <cell r="C4583" t="str">
            <v>1-deoxy-D-xylulose</v>
          </cell>
        </row>
        <row r="4584">
          <cell r="A4584" t="str">
            <v>salchsx_p</v>
          </cell>
          <cell r="B4584" t="str">
            <v>salchsx</v>
          </cell>
          <cell r="C4584" t="str">
            <v>Salmochelin-SX</v>
          </cell>
        </row>
        <row r="4585">
          <cell r="A4585" t="str">
            <v>salchs4fe_p</v>
          </cell>
          <cell r="B4585" t="str">
            <v>salchs4fe</v>
          </cell>
          <cell r="C4585" t="str">
            <v>Salmochelin-S4-Fe-III</v>
          </cell>
        </row>
        <row r="4586">
          <cell r="A4586" t="str">
            <v>cysi__L_e</v>
          </cell>
          <cell r="B4586" t="str">
            <v>cysi__L</v>
          </cell>
          <cell r="C4586" t="str">
            <v>L Cystine C6H12N2O4S2</v>
          </cell>
        </row>
        <row r="4587">
          <cell r="A4587" t="str">
            <v>salchs4fe_c</v>
          </cell>
          <cell r="B4587" t="str">
            <v>salchs4fe</v>
          </cell>
          <cell r="C4587" t="str">
            <v>Salmochelin-S4-Fe-III</v>
          </cell>
        </row>
        <row r="4588">
          <cell r="A4588" t="str">
            <v>fe3dhbzs3_e</v>
          </cell>
          <cell r="B4588" t="str">
            <v>fe3dhbzs3</v>
          </cell>
          <cell r="C4588" t="str">
            <v>2-3-dihydroxybenzoylserine trimer-Fe-III</v>
          </cell>
        </row>
        <row r="4589">
          <cell r="A4589" t="str">
            <v>salchs2_e</v>
          </cell>
          <cell r="B4589" t="str">
            <v>salchs2</v>
          </cell>
          <cell r="C4589" t="str">
            <v>Salmochelin-S2</v>
          </cell>
        </row>
        <row r="4590">
          <cell r="A4590" t="str">
            <v>4hthr_p</v>
          </cell>
          <cell r="B4590" t="str">
            <v>4hthr</v>
          </cell>
          <cell r="C4590" t="str">
            <v>4-Hydroxy-L-threonine</v>
          </cell>
        </row>
        <row r="4591">
          <cell r="A4591" t="str">
            <v>frmd_e</v>
          </cell>
          <cell r="B4591" t="str">
            <v>frmd</v>
          </cell>
          <cell r="C4591" t="str">
            <v>Formamide</v>
          </cell>
        </row>
        <row r="4592">
          <cell r="A4592" t="str">
            <v>tet_p</v>
          </cell>
          <cell r="B4592" t="str">
            <v>tet</v>
          </cell>
          <cell r="C4592" t="str">
            <v>Tetrathionate</v>
          </cell>
        </row>
        <row r="4593">
          <cell r="A4593" t="str">
            <v>colipa20Oag_e</v>
          </cell>
          <cell r="B4593" t="str">
            <v>colipa20Oag</v>
          </cell>
          <cell r="C4593" t="str">
            <v>O-antigen-x20-core-oligosaccharide-lipid-A</v>
          </cell>
        </row>
        <row r="4594">
          <cell r="A4594" t="str">
            <v>adocblp_c</v>
          </cell>
          <cell r="B4594" t="str">
            <v>adocblp</v>
          </cell>
          <cell r="C4594" t="str">
            <v>Adenosylcobalamin-phosphate</v>
          </cell>
        </row>
        <row r="4595">
          <cell r="A4595" t="str">
            <v>2ameph_p</v>
          </cell>
          <cell r="B4595" t="str">
            <v>2ameph</v>
          </cell>
          <cell r="C4595" t="str">
            <v>2-Aminoethylphosphonate</v>
          </cell>
        </row>
        <row r="4596">
          <cell r="A4596" t="str">
            <v>udcpo4_e</v>
          </cell>
          <cell r="B4596" t="str">
            <v>udcpo4</v>
          </cell>
          <cell r="C4596" t="str">
            <v>Undecaprenyl diphosphate galactose-rhamnose-mannose-abequose</v>
          </cell>
        </row>
        <row r="4597">
          <cell r="A4597" t="str">
            <v>feroxGfe_e</v>
          </cell>
          <cell r="B4597" t="str">
            <v>feroxGfe</v>
          </cell>
          <cell r="C4597" t="str">
            <v>Ferrioxamine-G-fe</v>
          </cell>
        </row>
        <row r="4598">
          <cell r="A4598" t="str">
            <v>salchs2fe_c</v>
          </cell>
          <cell r="B4598" t="str">
            <v>salchs2fe</v>
          </cell>
          <cell r="C4598" t="str">
            <v>Salmochelin-S2-Fe-III</v>
          </cell>
        </row>
        <row r="4599">
          <cell r="A4599" t="str">
            <v>salchs2fe_p</v>
          </cell>
          <cell r="B4599" t="str">
            <v>salchs2fe</v>
          </cell>
          <cell r="C4599" t="str">
            <v>Salmochelin-S2-Fe-III</v>
          </cell>
        </row>
        <row r="4600">
          <cell r="A4600" t="str">
            <v>feroxG_e</v>
          </cell>
          <cell r="B4600" t="str">
            <v>feroxG</v>
          </cell>
          <cell r="C4600" t="str">
            <v>Ferrioxamine-G</v>
          </cell>
        </row>
        <row r="4601">
          <cell r="A4601" t="str">
            <v>glutar_c</v>
          </cell>
          <cell r="B4601" t="str">
            <v>glutar</v>
          </cell>
          <cell r="C4601" t="str">
            <v>Glutarate</v>
          </cell>
        </row>
        <row r="4602">
          <cell r="A4602" t="str">
            <v>abt__D_e</v>
          </cell>
          <cell r="B4602" t="str">
            <v>abt__D</v>
          </cell>
          <cell r="C4602" t="str">
            <v>D-Arabitol</v>
          </cell>
        </row>
        <row r="4603">
          <cell r="A4603" t="str">
            <v>salc_c</v>
          </cell>
          <cell r="B4603" t="str">
            <v>salc</v>
          </cell>
          <cell r="C4603" t="str">
            <v>Salicylate</v>
          </cell>
        </row>
        <row r="4604">
          <cell r="A4604" t="str">
            <v>fe_e</v>
          </cell>
          <cell r="B4604" t="str">
            <v>fe</v>
          </cell>
          <cell r="C4604" t="str">
            <v>Iron</v>
          </cell>
        </row>
        <row r="4605">
          <cell r="A4605" t="str">
            <v>kokdolipidA_e</v>
          </cell>
          <cell r="B4605" t="str">
            <v>kokdolipidA</v>
          </cell>
          <cell r="C4605" t="str">
            <v>KO-KDO-LIPID A</v>
          </cell>
        </row>
        <row r="4606">
          <cell r="A4606" t="str">
            <v>galam_p</v>
          </cell>
          <cell r="B4606" t="str">
            <v>galam</v>
          </cell>
          <cell r="C4606" t="str">
            <v>D Galactosamine C6H13NO5</v>
          </cell>
        </row>
        <row r="4607">
          <cell r="A4607" t="str">
            <v>ggicolipaBR1_c</v>
          </cell>
          <cell r="B4607" t="str">
            <v>ggicolipaBR1</v>
          </cell>
          <cell r="C4607" t="str">
            <v>R1 glucosyl glucosyl inner core oligosaccharide lipid A with laurate C141H226N2O73P4</v>
          </cell>
        </row>
        <row r="4608">
          <cell r="A4608" t="str">
            <v>hphhlipaB_c</v>
          </cell>
          <cell r="B4608" t="str">
            <v>hphhlipaB</v>
          </cell>
          <cell r="C4608" t="str">
            <v>Heptosyl phospho heptosyl heptosyl kdo2 lipidA with laurate C122H195N2O54P3</v>
          </cell>
        </row>
        <row r="4609">
          <cell r="A4609" t="str">
            <v>icolipaBR1_c</v>
          </cell>
          <cell r="B4609" t="str">
            <v>icolipaBR1</v>
          </cell>
          <cell r="C4609" t="str">
            <v>R1 inner core oligosaccharide lipid A  E coli  with laurate C129H206N2O63P4</v>
          </cell>
        </row>
        <row r="4610">
          <cell r="A4610" t="str">
            <v>pac_e</v>
          </cell>
          <cell r="B4610" t="str">
            <v>pac</v>
          </cell>
          <cell r="C4610" t="str">
            <v>Phenylacetic acid</v>
          </cell>
        </row>
        <row r="4611">
          <cell r="A4611" t="str">
            <v>acgal6p_c</v>
          </cell>
          <cell r="B4611" t="str">
            <v>acgal6p</v>
          </cell>
          <cell r="C4611" t="str">
            <v>N Acetyl D galactosamine 6 phosphate C8H16NO9P</v>
          </cell>
        </row>
        <row r="4612">
          <cell r="A4612" t="str">
            <v>icolipaAR1_c</v>
          </cell>
          <cell r="B4612" t="str">
            <v>icolipaAR1</v>
          </cell>
          <cell r="C4612" t="str">
            <v>R1 inner core oligosaccharide lipid A  E coli  C131H210N2O63P4</v>
          </cell>
        </row>
        <row r="4613">
          <cell r="A4613" t="str">
            <v>gggicolipaAR1_c</v>
          </cell>
          <cell r="B4613" t="str">
            <v>gggicolipaAR1</v>
          </cell>
          <cell r="C4613" t="str">
            <v>R1 glucosyl glucosyl glucosyl inner core oligosaccharide lipid A C149H240N2O78P4</v>
          </cell>
        </row>
        <row r="4614">
          <cell r="A4614" t="str">
            <v>raffin_p</v>
          </cell>
          <cell r="B4614" t="str">
            <v>raffin</v>
          </cell>
          <cell r="C4614" t="str">
            <v>Raffinose C18H32O16</v>
          </cell>
        </row>
        <row r="4615">
          <cell r="A4615" t="str">
            <v>rbl__D_c</v>
          </cell>
          <cell r="B4615" t="str">
            <v>rbl__D</v>
          </cell>
          <cell r="C4615" t="str">
            <v>D-Ribulose</v>
          </cell>
        </row>
        <row r="4616">
          <cell r="A4616" t="str">
            <v>srb1p_c</v>
          </cell>
          <cell r="B4616" t="str">
            <v>srb1p</v>
          </cell>
          <cell r="C4616" t="str">
            <v>Sorbose 1-phosphate</v>
          </cell>
        </row>
        <row r="4617">
          <cell r="A4617" t="str">
            <v>cmpacna_c</v>
          </cell>
          <cell r="B4617" t="str">
            <v>cmpacna</v>
          </cell>
          <cell r="C4617" t="str">
            <v>CMP-N-acetylneuraminate</v>
          </cell>
        </row>
        <row r="4618">
          <cell r="A4618" t="str">
            <v>ah6p__D_c</v>
          </cell>
          <cell r="B4618" t="str">
            <v>ah6p__D</v>
          </cell>
          <cell r="C4618" t="str">
            <v>Arabino-3-hexulose-6-P</v>
          </cell>
        </row>
        <row r="4619">
          <cell r="A4619" t="str">
            <v>3hibutcoa_c</v>
          </cell>
          <cell r="B4619" t="str">
            <v>3hibutcoa</v>
          </cell>
          <cell r="C4619" t="str">
            <v>(S)-3-Hydroxyisobutyryl-CoA</v>
          </cell>
        </row>
        <row r="4620">
          <cell r="A4620" t="str">
            <v>2hyoxplac_c</v>
          </cell>
          <cell r="B4620" t="str">
            <v>2hyoxplac</v>
          </cell>
          <cell r="C4620" t="str">
            <v>2-Hydroxyphenylacetate</v>
          </cell>
        </row>
        <row r="4621">
          <cell r="A4621" t="str">
            <v>am6sa_c</v>
          </cell>
          <cell r="B4621" t="str">
            <v>am6sa</v>
          </cell>
          <cell r="C4621" t="str">
            <v>2-Aminomuconate 6-semialdehyde</v>
          </cell>
        </row>
        <row r="4622">
          <cell r="A4622" t="str">
            <v>2ombzl_5_m</v>
          </cell>
          <cell r="B4622" t="str">
            <v>2ombzl_5</v>
          </cell>
          <cell r="C4622" t="str">
            <v>2-Octaprenyl-6-methoxy-1,4-benzoquinol (5 repeating units)</v>
          </cell>
        </row>
        <row r="4623">
          <cell r="A4623" t="str">
            <v>kokdolipid4_c</v>
          </cell>
          <cell r="B4623" t="str">
            <v>kokdolipid4</v>
          </cell>
          <cell r="C4623" t="str">
            <v>KO-KDO-LIPID A</v>
          </cell>
        </row>
        <row r="4624">
          <cell r="A4624" t="str">
            <v>tmp_c</v>
          </cell>
          <cell r="B4624" t="str">
            <v>tmp</v>
          </cell>
          <cell r="C4624" t="str">
            <v>Trimetaphosphate P3O9</v>
          </cell>
        </row>
        <row r="4625">
          <cell r="A4625" t="str">
            <v>CDP_4keto_36dideox_glc_c</v>
          </cell>
          <cell r="B4625" t="str">
            <v>CDP_4keto_36dideox_glc</v>
          </cell>
          <cell r="C4625" t="str">
            <v>CDP-4-keto-3;6-dideoxy-D-glucose</v>
          </cell>
        </row>
        <row r="4626">
          <cell r="A4626" t="str">
            <v>kokdo_laur_lipid4_c</v>
          </cell>
          <cell r="B4626" t="str">
            <v>kokdo_laur_lipid4</v>
          </cell>
          <cell r="C4626" t="str">
            <v>KO-KDO-pentaacyl-lipid4[c]</v>
          </cell>
        </row>
        <row r="4627">
          <cell r="A4627" t="str">
            <v>lps_penta_c</v>
          </cell>
          <cell r="B4627" t="str">
            <v>lps_penta</v>
          </cell>
          <cell r="C4627" t="str">
            <v>LPS with pentaacyl lipidA</v>
          </cell>
        </row>
        <row r="4628">
          <cell r="A4628" t="str">
            <v>24dhhed_c</v>
          </cell>
          <cell r="B4628" t="str">
            <v>24dhhed</v>
          </cell>
          <cell r="C4628" t="str">
            <v>2,4-Dihydroxyhept-2-enedioate</v>
          </cell>
        </row>
        <row r="4629">
          <cell r="A4629" t="str">
            <v>2hh24dd_c</v>
          </cell>
          <cell r="B4629" t="str">
            <v>2hh24dd</v>
          </cell>
          <cell r="C4629" t="str">
            <v>2-Hydroxyhepta-2-4-dienedioate</v>
          </cell>
        </row>
        <row r="4630">
          <cell r="A4630" t="str">
            <v>4h2kpi_c</v>
          </cell>
          <cell r="B4630" t="str">
            <v>4h2kpi</v>
          </cell>
          <cell r="C4630" t="str">
            <v>4-Hydroxy-2-ketopimelate</v>
          </cell>
        </row>
        <row r="4631">
          <cell r="A4631" t="str">
            <v>Lpipecol_c</v>
          </cell>
          <cell r="B4631" t="str">
            <v>Lpipecol</v>
          </cell>
          <cell r="C4631" t="str">
            <v>L-pipecolic acid; piperidine-2-carboxylic acid</v>
          </cell>
        </row>
        <row r="4632">
          <cell r="A4632" t="str">
            <v>34dhcinm_e</v>
          </cell>
          <cell r="B4632" t="str">
            <v>34dhcinm</v>
          </cell>
          <cell r="C4632" t="str">
            <v>3,4-Dihydroxy-trans-cinnamate</v>
          </cell>
        </row>
        <row r="4633">
          <cell r="A4633" t="str">
            <v>3mbzald_c</v>
          </cell>
          <cell r="B4633" t="str">
            <v>3mbzald</v>
          </cell>
          <cell r="C4633" t="str">
            <v>3-Methylbenzaldehyde</v>
          </cell>
        </row>
        <row r="4634">
          <cell r="A4634" t="str">
            <v>m_tol_c</v>
          </cell>
          <cell r="B4634" t="str">
            <v>m_tol</v>
          </cell>
          <cell r="C4634" t="str">
            <v>M-toluate</v>
          </cell>
        </row>
        <row r="4635">
          <cell r="A4635" t="str">
            <v>cchoxod_c</v>
          </cell>
          <cell r="B4635" t="str">
            <v>cchoxod</v>
          </cell>
          <cell r="C4635" t="str">
            <v>2-Hydroxy-6-keto-2,4-heptadienoate</v>
          </cell>
        </row>
        <row r="4636">
          <cell r="A4636" t="str">
            <v>34dhbz_e</v>
          </cell>
          <cell r="B4636" t="str">
            <v>34dhbz</v>
          </cell>
          <cell r="C4636" t="str">
            <v>3,4-Dihydroxybenzoate</v>
          </cell>
        </row>
        <row r="4637">
          <cell r="A4637" t="str">
            <v>T4hcinnm_c</v>
          </cell>
          <cell r="B4637" t="str">
            <v>T4hcinnm</v>
          </cell>
          <cell r="C4637" t="str">
            <v>Trans 4 Hydroxycinnamate C9H7O3</v>
          </cell>
        </row>
        <row r="4638">
          <cell r="A4638" t="str">
            <v>4hbz_e</v>
          </cell>
          <cell r="B4638" t="str">
            <v>4hbz</v>
          </cell>
          <cell r="C4638" t="str">
            <v>4-Hydroxybenzoate</v>
          </cell>
        </row>
        <row r="4639">
          <cell r="A4639" t="str">
            <v>oxalc_c</v>
          </cell>
          <cell r="B4639" t="str">
            <v>oxalc</v>
          </cell>
          <cell r="C4639" t="str">
            <v>4-oxalocrotonate</v>
          </cell>
        </row>
        <row r="4640">
          <cell r="A4640" t="str">
            <v>2hchd_c</v>
          </cell>
          <cell r="B4640" t="str">
            <v>2hchd</v>
          </cell>
          <cell r="C4640" t="str">
            <v>2-Hydroxy-cis-hex-2,4-dienoate</v>
          </cell>
        </row>
        <row r="4641">
          <cell r="A4641" t="str">
            <v>dhpyr_c</v>
          </cell>
          <cell r="B4641" t="str">
            <v>dhpyr</v>
          </cell>
          <cell r="C4641" t="str">
            <v>2,5-Dihydroxypyridine</v>
          </cell>
        </row>
        <row r="4642">
          <cell r="A4642" t="str">
            <v>pqqh2_c</v>
          </cell>
          <cell r="B4642" t="str">
            <v>pqqh2</v>
          </cell>
          <cell r="C4642" t="str">
            <v>Reduced pyrroloquinoline-quinone</v>
          </cell>
        </row>
        <row r="4643">
          <cell r="A4643" t="str">
            <v>bzalc_c</v>
          </cell>
          <cell r="B4643" t="str">
            <v>bzalc</v>
          </cell>
          <cell r="C4643" t="str">
            <v>Benzyl alcohol</v>
          </cell>
        </row>
        <row r="4644">
          <cell r="A4644" t="str">
            <v>catechol_c</v>
          </cell>
          <cell r="B4644" t="str">
            <v>catechol</v>
          </cell>
          <cell r="C4644" t="str">
            <v>Catechol</v>
          </cell>
        </row>
        <row r="4645">
          <cell r="A4645" t="str">
            <v>bz_p</v>
          </cell>
          <cell r="B4645" t="str">
            <v>bz</v>
          </cell>
          <cell r="C4645" t="str">
            <v>Benzoate</v>
          </cell>
        </row>
        <row r="4646">
          <cell r="A4646" t="str">
            <v>2hmcnsad_c</v>
          </cell>
          <cell r="B4646" t="str">
            <v>2hmcnsad</v>
          </cell>
          <cell r="C4646" t="str">
            <v>2-Hydroxymuconate semialdehyde</v>
          </cell>
        </row>
        <row r="4647">
          <cell r="A4647" t="str">
            <v>catechol_p</v>
          </cell>
          <cell r="B4647" t="str">
            <v>catechol</v>
          </cell>
          <cell r="C4647" t="str">
            <v>Catechol</v>
          </cell>
        </row>
        <row r="4648">
          <cell r="A4648" t="str">
            <v>chols_c</v>
          </cell>
          <cell r="B4648" t="str">
            <v>chols</v>
          </cell>
          <cell r="C4648" t="str">
            <v>Choline sulfate</v>
          </cell>
        </row>
        <row r="4649">
          <cell r="A4649" t="str">
            <v>chols_p</v>
          </cell>
          <cell r="B4649" t="str">
            <v>chols</v>
          </cell>
          <cell r="C4649" t="str">
            <v>Choline sulfate</v>
          </cell>
        </row>
        <row r="4650">
          <cell r="A4650" t="str">
            <v>confrl_e</v>
          </cell>
          <cell r="B4650" t="str">
            <v>confrl</v>
          </cell>
          <cell r="C4650" t="str">
            <v>Coniferol</v>
          </cell>
        </row>
        <row r="4651">
          <cell r="A4651" t="str">
            <v>focytc_c</v>
          </cell>
          <cell r="B4651" t="str">
            <v>focytc</v>
          </cell>
          <cell r="C4651" t="str">
            <v>Ferrocytochrome c C42H53FeN8O6S2</v>
          </cell>
        </row>
        <row r="4652">
          <cell r="A4652" t="str">
            <v>lys__D_c</v>
          </cell>
          <cell r="B4652" t="str">
            <v>lys__D</v>
          </cell>
          <cell r="C4652" t="str">
            <v>D-Lysine</v>
          </cell>
        </row>
        <row r="4653">
          <cell r="A4653" t="str">
            <v>C60mclPHA_c</v>
          </cell>
          <cell r="B4653" t="str">
            <v>C60mclPHA</v>
          </cell>
          <cell r="C4653" t="str">
            <v>C6:0-Medium-chain length Polyhydroxyalkanoate</v>
          </cell>
        </row>
        <row r="4654">
          <cell r="A4654" t="str">
            <v>ptal_c</v>
          </cell>
          <cell r="B4654" t="str">
            <v>ptal</v>
          </cell>
          <cell r="C4654" t="str">
            <v>Pentanal</v>
          </cell>
        </row>
        <row r="4655">
          <cell r="A4655" t="str">
            <v>hco3_e</v>
          </cell>
          <cell r="B4655" t="str">
            <v>hco3</v>
          </cell>
          <cell r="C4655" t="str">
            <v>Bicarbonate</v>
          </cell>
        </row>
        <row r="4656">
          <cell r="A4656" t="str">
            <v>omaketo_c</v>
          </cell>
          <cell r="B4656" t="str">
            <v>omaketo</v>
          </cell>
          <cell r="C4656" t="str">
            <v>4-oxalomesaconate (keto form)</v>
          </cell>
        </row>
        <row r="4657">
          <cell r="A4657" t="str">
            <v>ga_c</v>
          </cell>
          <cell r="B4657" t="str">
            <v>ga</v>
          </cell>
          <cell r="C4657" t="str">
            <v>Gallic acid</v>
          </cell>
        </row>
        <row r="4658">
          <cell r="A4658" t="str">
            <v>ga_p</v>
          </cell>
          <cell r="B4658" t="str">
            <v>ga</v>
          </cell>
          <cell r="C4658" t="str">
            <v>Gallic acid</v>
          </cell>
        </row>
        <row r="4659">
          <cell r="A4659" t="str">
            <v>mmtsa_c</v>
          </cell>
          <cell r="B4659" t="str">
            <v>mmtsa</v>
          </cell>
          <cell r="C4659" t="str">
            <v>(S)-Methylmalonate semialdehyde</v>
          </cell>
        </row>
        <row r="4660">
          <cell r="A4660" t="str">
            <v>4hoxoh_c</v>
          </cell>
          <cell r="B4660" t="str">
            <v>4hoxoh</v>
          </cell>
          <cell r="C4660" t="str">
            <v>4-Hydroxy-2-oxohexanoic acid</v>
          </cell>
        </row>
        <row r="4661">
          <cell r="A4661" t="str">
            <v>3mb2coa_c</v>
          </cell>
          <cell r="B4661" t="str">
            <v>3mb2coa</v>
          </cell>
          <cell r="C4661" t="str">
            <v>3-Methylbut-2-enoyl-CoA</v>
          </cell>
        </row>
        <row r="4662">
          <cell r="A4662" t="str">
            <v>3mgcoa_c</v>
          </cell>
          <cell r="B4662" t="str">
            <v>3mgcoa</v>
          </cell>
          <cell r="C4662" t="str">
            <v>3-Methylglutaconyl-CoA</v>
          </cell>
        </row>
        <row r="4663">
          <cell r="A4663" t="str">
            <v>CCbuttc_c</v>
          </cell>
          <cell r="B4663" t="str">
            <v>CCbuttc</v>
          </cell>
          <cell r="C4663" t="str">
            <v>Cis,cis-Butadiene-1,2,4-tricarboxylate</v>
          </cell>
        </row>
        <row r="4664">
          <cell r="A4664" t="str">
            <v>oca_c</v>
          </cell>
          <cell r="B4664" t="str">
            <v>oca</v>
          </cell>
          <cell r="C4664" t="str">
            <v>4-oxalcitromalate</v>
          </cell>
        </row>
        <row r="4665">
          <cell r="A4665" t="str">
            <v>pre4_c</v>
          </cell>
          <cell r="B4665" t="str">
            <v>pre4</v>
          </cell>
          <cell r="C4665" t="str">
            <v>Precorrin 4</v>
          </cell>
        </row>
        <row r="4666">
          <cell r="A4666" t="str">
            <v>pre5_c</v>
          </cell>
          <cell r="B4666" t="str">
            <v>pre5</v>
          </cell>
          <cell r="C4666" t="str">
            <v>Precorrin 5</v>
          </cell>
        </row>
        <row r="4667">
          <cell r="A4667" t="str">
            <v>hgbyr_c</v>
          </cell>
          <cell r="B4667" t="str">
            <v>hgbyr</v>
          </cell>
          <cell r="C4667" t="str">
            <v>Hydrogenobyrinate</v>
          </cell>
        </row>
        <row r="4668">
          <cell r="A4668" t="str">
            <v>rbrdxRD_c</v>
          </cell>
          <cell r="B4668" t="str">
            <v>rbrdxRD</v>
          </cell>
          <cell r="C4668" t="str">
            <v>Reduced rubredoxin</v>
          </cell>
        </row>
        <row r="4669">
          <cell r="A4669" t="str">
            <v>T4hcinnm_p</v>
          </cell>
          <cell r="B4669" t="str">
            <v>T4hcinnm</v>
          </cell>
          <cell r="C4669" t="str">
            <v>Trans 4 Hydroxycinnamate C9H7O3</v>
          </cell>
        </row>
        <row r="4670">
          <cell r="A4670" t="str">
            <v>aa_c</v>
          </cell>
          <cell r="B4670" t="str">
            <v>aa</v>
          </cell>
          <cell r="C4670" t="str">
            <v>Acrylamide</v>
          </cell>
        </row>
        <row r="4671">
          <cell r="A4671" t="str">
            <v>ad_c</v>
          </cell>
          <cell r="B4671" t="str">
            <v>ad</v>
          </cell>
          <cell r="C4671" t="str">
            <v>Acetamide</v>
          </cell>
        </row>
        <row r="4672">
          <cell r="A4672" t="str">
            <v>ficytcc553_c</v>
          </cell>
          <cell r="B4672" t="str">
            <v>ficytcc553</v>
          </cell>
          <cell r="C4672" t="str">
            <v>Ferricytochrome c-553</v>
          </cell>
        </row>
        <row r="4673">
          <cell r="A4673" t="str">
            <v>ps_HP_c</v>
          </cell>
          <cell r="B4673" t="str">
            <v>ps_HP</v>
          </cell>
          <cell r="C4673" t="str">
            <v>Phosphatidylserine Hp specific</v>
          </cell>
        </row>
        <row r="4674">
          <cell r="A4674" t="str">
            <v>c190cACP_c</v>
          </cell>
          <cell r="B4674" t="str">
            <v>c190cACP</v>
          </cell>
          <cell r="C4674" t="str">
            <v>19 carbon cyclopropane-ACP</v>
          </cell>
        </row>
        <row r="4675">
          <cell r="A4675" t="str">
            <v>h2co3_e</v>
          </cell>
          <cell r="B4675" t="str">
            <v>h2co3</v>
          </cell>
          <cell r="C4675" t="str">
            <v>Carbonic acid</v>
          </cell>
        </row>
        <row r="4676">
          <cell r="A4676" t="str">
            <v>u2ga_HP_c</v>
          </cell>
          <cell r="B4676" t="str">
            <v>u2ga_HP</v>
          </cell>
          <cell r="C4676" t="str">
            <v>U2ga HP</v>
          </cell>
        </row>
        <row r="4677">
          <cell r="A4677" t="str">
            <v>kdolipid4_HP_c</v>
          </cell>
          <cell r="B4677" t="str">
            <v>kdolipid4_HP</v>
          </cell>
          <cell r="C4677" t="str">
            <v>KDO-lipid IV(A) HP</v>
          </cell>
        </row>
        <row r="4678">
          <cell r="A4678" t="str">
            <v>pgp_HP_c</v>
          </cell>
          <cell r="B4678" t="str">
            <v>pgp_HP</v>
          </cell>
          <cell r="C4678" t="str">
            <v>Phosphatidylglycerol phosphate Hp specific</v>
          </cell>
        </row>
        <row r="4679">
          <cell r="A4679" t="str">
            <v>u23ga_HP_c</v>
          </cell>
          <cell r="B4679" t="str">
            <v>u23ga_HP</v>
          </cell>
          <cell r="C4679" t="str">
            <v>UDP-2(3-hydroxyoctadecanoyl)-3(3-hydroxypalmetoyl)glucosamine</v>
          </cell>
        </row>
        <row r="4680">
          <cell r="A4680" t="str">
            <v>ugam_c</v>
          </cell>
          <cell r="B4680" t="str">
            <v>ugam</v>
          </cell>
          <cell r="C4680" t="str">
            <v>UDP-glucosamine</v>
          </cell>
        </row>
        <row r="4681">
          <cell r="A4681" t="str">
            <v>tdm3_c</v>
          </cell>
          <cell r="B4681" t="str">
            <v>tdm3</v>
          </cell>
          <cell r="C4681" t="str">
            <v>Trehalose dimycolate (alpha mycolate + ketomycolate)</v>
          </cell>
        </row>
        <row r="4682">
          <cell r="A4682" t="str">
            <v>hpmtria_c</v>
          </cell>
          <cell r="B4682" t="str">
            <v>hpmtria</v>
          </cell>
          <cell r="C4682" t="str">
            <v>Hepta-methyl triacontanoic acid (C30:0, plus 7 methyl branches)</v>
          </cell>
        </row>
        <row r="4683">
          <cell r="A4683" t="str">
            <v>tat_c</v>
          </cell>
          <cell r="B4683" t="str">
            <v>tat</v>
          </cell>
          <cell r="C4683" t="str">
            <v>Tetra-acyl trehalose</v>
          </cell>
        </row>
        <row r="4684">
          <cell r="A4684" t="str">
            <v>mcbtt_c</v>
          </cell>
          <cell r="B4684" t="str">
            <v>mcbtt</v>
          </cell>
          <cell r="C4684" t="str">
            <v>Mycobactin T</v>
          </cell>
        </row>
        <row r="4685">
          <cell r="A4685" t="str">
            <v>scl2_c</v>
          </cell>
          <cell r="B4685" t="str">
            <v>scl2</v>
          </cell>
          <cell r="C4685" t="str">
            <v>Sirohydrochlorin 2</v>
          </cell>
        </row>
        <row r="4686">
          <cell r="A4686" t="str">
            <v>dttOX_c</v>
          </cell>
          <cell r="B4686" t="str">
            <v>dttOX</v>
          </cell>
          <cell r="C4686" t="str">
            <v>Oxidized dithiothreitol</v>
          </cell>
        </row>
        <row r="4687">
          <cell r="A4687" t="str">
            <v>selcys_c</v>
          </cell>
          <cell r="B4687" t="str">
            <v>selcys</v>
          </cell>
          <cell r="C4687" t="str">
            <v>Selenocysteine</v>
          </cell>
        </row>
        <row r="4688">
          <cell r="A4688" t="str">
            <v>q_c</v>
          </cell>
          <cell r="B4688" t="str">
            <v>q</v>
          </cell>
          <cell r="C4688" t="str">
            <v>Ubiquinone</v>
          </cell>
        </row>
        <row r="4689">
          <cell r="A4689" t="str">
            <v>prephthcoa_c</v>
          </cell>
          <cell r="B4689" t="str">
            <v>prephthcoa</v>
          </cell>
          <cell r="C4689" t="str">
            <v>Phthiocerol precursor bound coenzyme A</v>
          </cell>
        </row>
        <row r="4690">
          <cell r="A4690" t="str">
            <v>prephth_c</v>
          </cell>
          <cell r="B4690" t="str">
            <v>prephth</v>
          </cell>
          <cell r="C4690" t="str">
            <v>Phthiocerol precursor</v>
          </cell>
        </row>
        <row r="4691">
          <cell r="A4691" t="str">
            <v>uaaGgla_c</v>
          </cell>
          <cell r="B4691" t="str">
            <v>uaaGgla</v>
          </cell>
          <cell r="C4691" t="str">
            <v>Undecaprenyl-diphospho-N-acetylmuramoyl-(N-acetylglucosamine)-L-alanyl-gamma-D-glutamyl-L-lysyl-D-alanyl-D-alanine</v>
          </cell>
        </row>
        <row r="4692">
          <cell r="A4692" t="str">
            <v>uaaAgla_c</v>
          </cell>
          <cell r="B4692" t="str">
            <v>uaaAgla</v>
          </cell>
          <cell r="C4692" t="str">
            <v>Undecaprenyl-diphospho-N-acetylmuramoyl-(N-acetylglucosamine)-L-alanyl-D-glutamyl-L-lysyl-D-alanyl-D-alanine</v>
          </cell>
        </row>
        <row r="4693">
          <cell r="A4693" t="str">
            <v>ppdima_e</v>
          </cell>
          <cell r="B4693" t="str">
            <v>ppdima</v>
          </cell>
          <cell r="C4693" t="str">
            <v>Phenol phthiocerol dimycocerosate (Mtb)</v>
          </cell>
        </row>
        <row r="4694">
          <cell r="A4694" t="str">
            <v>ptcys_c</v>
          </cell>
          <cell r="B4694" t="str">
            <v>ptcys</v>
          </cell>
          <cell r="C4694" t="str">
            <v>N-Pantothenoylcysteine</v>
          </cell>
        </row>
        <row r="4695">
          <cell r="A4695" t="str">
            <v>ptd1ino160_c</v>
          </cell>
          <cell r="B4695" t="str">
            <v>ptd1ino160</v>
          </cell>
          <cell r="C4695" t="str">
            <v>Phosphatidyl 1D myo inositol</v>
          </cell>
        </row>
        <row r="4696">
          <cell r="A4696" t="str">
            <v>pphthdl_c</v>
          </cell>
          <cell r="B4696" t="str">
            <v>pphthdl</v>
          </cell>
          <cell r="C4696" t="str">
            <v>Phenolic phthiodiolone</v>
          </cell>
        </row>
        <row r="4697">
          <cell r="A4697" t="str">
            <v>mndn_c</v>
          </cell>
          <cell r="B4697" t="str">
            <v>mndn</v>
          </cell>
          <cell r="C4697" t="str">
            <v>Menadione</v>
          </cell>
        </row>
        <row r="4698">
          <cell r="A4698" t="str">
            <v>phdca_e</v>
          </cell>
          <cell r="B4698" t="str">
            <v>phdca</v>
          </cell>
          <cell r="C4698" t="str">
            <v>Phenol palmitic acid</v>
          </cell>
        </row>
        <row r="4699">
          <cell r="A4699" t="str">
            <v>pgp160190_c</v>
          </cell>
          <cell r="B4699" t="str">
            <v>pgp160190</v>
          </cell>
          <cell r="C4699" t="str">
            <v>Phosphatidylglycerophosphate (hexadecanoyl, tuberculostearoyl, C16:0, C19:0)</v>
          </cell>
        </row>
        <row r="4700">
          <cell r="A4700" t="str">
            <v>cdpc16c19g_c</v>
          </cell>
          <cell r="B4700" t="str">
            <v>cdpc16c19g</v>
          </cell>
          <cell r="C4700" t="str">
            <v>Cdp diacylglycerol (C16:0, C19:0)</v>
          </cell>
        </row>
        <row r="4701">
          <cell r="A4701" t="str">
            <v>pdima_c</v>
          </cell>
          <cell r="B4701" t="str">
            <v>pdima</v>
          </cell>
          <cell r="C4701" t="str">
            <v>Phthiocerol dimycocerosate A (Mtb)</v>
          </cell>
        </row>
        <row r="4702">
          <cell r="A4702" t="str">
            <v>tmlgnc_c</v>
          </cell>
          <cell r="B4702" t="str">
            <v>tmlgnc</v>
          </cell>
          <cell r="C4702" t="str">
            <v>Tri-methyl lignoceric acid</v>
          </cell>
        </row>
        <row r="4703">
          <cell r="A4703" t="str">
            <v>uAgla_c</v>
          </cell>
          <cell r="B4703" t="str">
            <v>uAgla</v>
          </cell>
          <cell r="C4703" t="str">
            <v>UDP-N-acetylmuramoyl-L-alanyl-D-glutamyl-L-lysyl-D-alanyl-D-alanine</v>
          </cell>
        </row>
        <row r="4704">
          <cell r="A4704" t="str">
            <v>msh_c</v>
          </cell>
          <cell r="B4704" t="str">
            <v>msh</v>
          </cell>
          <cell r="C4704" t="str">
            <v>Mycothiol (reduced)</v>
          </cell>
        </row>
        <row r="4705">
          <cell r="A4705" t="str">
            <v>acysbmn_c</v>
          </cell>
          <cell r="B4705" t="str">
            <v>acysbmn</v>
          </cell>
          <cell r="C4705" t="str">
            <v>Acetyl-cystine-bimane</v>
          </cell>
        </row>
        <row r="4706">
          <cell r="A4706" t="str">
            <v>mppp9_c</v>
          </cell>
          <cell r="B4706" t="str">
            <v>mppp9</v>
          </cell>
          <cell r="C4706" t="str">
            <v>Magnesium protoporphyrin</v>
          </cell>
        </row>
        <row r="4707">
          <cell r="A4707" t="str">
            <v>motre_c</v>
          </cell>
          <cell r="B4707" t="str">
            <v>motre</v>
          </cell>
          <cell r="C4707" t="str">
            <v>Maltooligosyltrehalose</v>
          </cell>
        </row>
        <row r="4708">
          <cell r="A4708" t="str">
            <v>arach_c</v>
          </cell>
          <cell r="B4708" t="str">
            <v>arach</v>
          </cell>
          <cell r="C4708" t="str">
            <v>Arachidic acid</v>
          </cell>
        </row>
        <row r="4709">
          <cell r="A4709" t="str">
            <v>arabinanagalfragund_c</v>
          </cell>
          <cell r="B4709" t="str">
            <v>arabinanagalfragund</v>
          </cell>
          <cell r="C4709" t="str">
            <v>Arabinan-arabinofuranose-galactofuranosyl(30)-rhamanosyl-N-acetylglucosamyl-undecaprenyl diphosphate (M tb)</v>
          </cell>
        </row>
        <row r="4710">
          <cell r="A4710" t="str">
            <v>PIM5_c</v>
          </cell>
          <cell r="B4710" t="str">
            <v>PIM5</v>
          </cell>
          <cell r="C4710" t="str">
            <v>Phosphatidylinositol mannoside penta-mannose (tuberculosis)</v>
          </cell>
        </row>
        <row r="4711">
          <cell r="A4711" t="str">
            <v>PIM6_c</v>
          </cell>
          <cell r="B4711" t="str">
            <v>PIM6</v>
          </cell>
          <cell r="C4711" t="str">
            <v>Phosphatidylinositol mannoside hexa-mannose (tuberculosis)</v>
          </cell>
        </row>
        <row r="4712">
          <cell r="A4712" t="str">
            <v>Ac1PIM3_c</v>
          </cell>
          <cell r="B4712" t="str">
            <v>Ac1PIM3</v>
          </cell>
          <cell r="C4712" t="str">
            <v>Acyl phosphatidylinositol mannoside tri-mannose (tuberculosis)</v>
          </cell>
        </row>
        <row r="4713">
          <cell r="A4713" t="str">
            <v>Ac1PIM4_c</v>
          </cell>
          <cell r="B4713" t="str">
            <v>Ac1PIM4</v>
          </cell>
          <cell r="C4713" t="str">
            <v>Acyl phosphatidylinositol mannoside tetra-mannose (tuberculosis)</v>
          </cell>
        </row>
        <row r="4714">
          <cell r="A4714" t="str">
            <v>mocdca_c</v>
          </cell>
          <cell r="B4714" t="str">
            <v>mocdca</v>
          </cell>
          <cell r="C4714" t="str">
            <v>10-methylstearic acid</v>
          </cell>
        </row>
        <row r="4715">
          <cell r="A4715" t="str">
            <v>tmha4_c</v>
          </cell>
          <cell r="B4715" t="str">
            <v>tmha4</v>
          </cell>
          <cell r="C4715" t="str">
            <v>Tetramycolyl hexaarabinoside (tdm2 + tdm3 + tre) (Mtb)</v>
          </cell>
        </row>
        <row r="4716">
          <cell r="A4716" t="str">
            <v>ugmr_c</v>
          </cell>
          <cell r="B4716" t="str">
            <v>ugmr</v>
          </cell>
          <cell r="C4716" t="str">
            <v>UDP-N-glycolylmuramate</v>
          </cell>
        </row>
        <row r="4717">
          <cell r="A4717" t="str">
            <v>uGgl_c</v>
          </cell>
          <cell r="B4717" t="str">
            <v>uGgl</v>
          </cell>
          <cell r="C4717" t="str">
            <v>UDP-N-acetylmuramoyl-L-alanyl-gamma-D-glutamyl-L-lysine</v>
          </cell>
        </row>
        <row r="4718">
          <cell r="A4718" t="str">
            <v>malthp_e</v>
          </cell>
          <cell r="B4718" t="str">
            <v>malthp</v>
          </cell>
          <cell r="C4718" t="str">
            <v>Maltoheptaose</v>
          </cell>
        </row>
        <row r="4719">
          <cell r="A4719" t="str">
            <v>iacgam_c</v>
          </cell>
          <cell r="B4719" t="str">
            <v>iacgam</v>
          </cell>
          <cell r="C4719" t="str">
            <v>1D-myo-inositol 2-Acetamido-2-deoxy-D-glucopyranoside</v>
          </cell>
        </row>
        <row r="4720">
          <cell r="A4720" t="str">
            <v>harab__D_c</v>
          </cell>
          <cell r="B4720" t="str">
            <v>harab__D</v>
          </cell>
          <cell r="C4720" t="str">
            <v>Hexa arabinofuranoside</v>
          </cell>
        </row>
        <row r="4721">
          <cell r="A4721" t="str">
            <v>decdman1p_tb_c</v>
          </cell>
          <cell r="B4721" t="str">
            <v>decdman1p_tb</v>
          </cell>
          <cell r="C4721" t="str">
            <v>(E,E,E,E,E,E,E,Z,Z) decaprenyl mannose phosphate</v>
          </cell>
        </row>
        <row r="4722">
          <cell r="A4722" t="str">
            <v>mstrACP_c</v>
          </cell>
          <cell r="B4722" t="str">
            <v>mstrACP</v>
          </cell>
          <cell r="C4722" t="str">
            <v>10methyl stearyoyl-ACP</v>
          </cell>
        </row>
        <row r="4723">
          <cell r="A4723" t="str">
            <v>atp_e</v>
          </cell>
          <cell r="B4723" t="str">
            <v>atp</v>
          </cell>
          <cell r="C4723" t="str">
            <v>ATP C10H12N5O13P3</v>
          </cell>
        </row>
        <row r="4724">
          <cell r="A4724" t="str">
            <v>mmeroacidACP_c</v>
          </cell>
          <cell r="B4724" t="str">
            <v>mmeroacidACP</v>
          </cell>
          <cell r="C4724" t="str">
            <v>Methoxy meroacid ACP</v>
          </cell>
        </row>
        <row r="4725">
          <cell r="A4725" t="str">
            <v>rmyc_c</v>
          </cell>
          <cell r="B4725" t="str">
            <v>rmyc</v>
          </cell>
          <cell r="C4725" t="str">
            <v>Mycolate compounds (all)</v>
          </cell>
        </row>
        <row r="4726">
          <cell r="A4726" t="str">
            <v>kmeroacidcyc2ACP_c</v>
          </cell>
          <cell r="B4726" t="str">
            <v>kmeroacidcyc2ACP</v>
          </cell>
          <cell r="C4726" t="str">
            <v>Cyclopropanated keto-meroacid ACP (2 cyclopropane rings)</v>
          </cell>
        </row>
        <row r="4727">
          <cell r="A4727" t="str">
            <v>mmeroacidcyc1ACP_c</v>
          </cell>
          <cell r="B4727" t="str">
            <v>mmeroacidcyc1ACP</v>
          </cell>
          <cell r="C4727" t="str">
            <v>Cyclopropanated methoxy-meroacid ACP (1 cyclopropane ring)</v>
          </cell>
        </row>
        <row r="4728">
          <cell r="A4728" t="str">
            <v>meroacidcyc1ACP_c</v>
          </cell>
          <cell r="B4728" t="str">
            <v>meroacidcyc1ACP</v>
          </cell>
          <cell r="C4728" t="str">
            <v>Cyclopropanated alpha meroacid ACP (1 cyclopropane ring)</v>
          </cell>
        </row>
        <row r="4729">
          <cell r="A4729" t="str">
            <v>meroacidcyc2ACP_c</v>
          </cell>
          <cell r="B4729" t="str">
            <v>meroacidcyc2ACP</v>
          </cell>
          <cell r="C4729" t="str">
            <v>Cyclopropanated alpha meroacid ACP (2 cyclopropane rings)</v>
          </cell>
        </row>
        <row r="4730">
          <cell r="A4730" t="str">
            <v>mmmeroacidACP_c</v>
          </cell>
          <cell r="B4730" t="str">
            <v>mmmeroacidACP</v>
          </cell>
          <cell r="C4730" t="str">
            <v>Methyl hydroxy methoxy meroacid ACP</v>
          </cell>
        </row>
        <row r="4731">
          <cell r="A4731" t="str">
            <v>arpp_c</v>
          </cell>
          <cell r="B4731" t="str">
            <v>arpp</v>
          </cell>
          <cell r="C4731" t="str">
            <v>5-phosphoarabinose pyrophosphate</v>
          </cell>
        </row>
        <row r="4732">
          <cell r="A4732" t="str">
            <v>copre6_c</v>
          </cell>
          <cell r="B4732" t="str">
            <v>copre6</v>
          </cell>
          <cell r="C4732" t="str">
            <v>Cobalt-precorrin 6</v>
          </cell>
        </row>
        <row r="4733">
          <cell r="A4733" t="str">
            <v>codhpre6_c</v>
          </cell>
          <cell r="B4733" t="str">
            <v>codhpre6</v>
          </cell>
          <cell r="C4733" t="str">
            <v>Cobalt-dihydro-precorrin 6</v>
          </cell>
        </row>
        <row r="4734">
          <cell r="A4734" t="str">
            <v>copre5_c</v>
          </cell>
          <cell r="B4734" t="str">
            <v>copre5</v>
          </cell>
          <cell r="C4734" t="str">
            <v>Cobalt-precorrin 5</v>
          </cell>
        </row>
        <row r="4735">
          <cell r="A4735" t="str">
            <v>co_c</v>
          </cell>
          <cell r="B4735" t="str">
            <v>co</v>
          </cell>
          <cell r="C4735" t="str">
            <v>Carbon monoxide</v>
          </cell>
        </row>
        <row r="4736">
          <cell r="A4736" t="str">
            <v>omdtria_c</v>
          </cell>
          <cell r="B4736" t="str">
            <v>omdtria</v>
          </cell>
          <cell r="C4736" t="str">
            <v>Octa-methyl dotriacontanoic acid (C32:0 with 7 methyl branches)</v>
          </cell>
        </row>
        <row r="4737">
          <cell r="A4737" t="str">
            <v>pmhexc_c</v>
          </cell>
          <cell r="B4737" t="str">
            <v>pmhexc</v>
          </cell>
          <cell r="C4737" t="str">
            <v>Penta-methyl hexacosanoate</v>
          </cell>
        </row>
        <row r="4738">
          <cell r="A4738" t="str">
            <v>dmlgnc_c</v>
          </cell>
          <cell r="B4738" t="str">
            <v>dmlgnc</v>
          </cell>
          <cell r="C4738" t="str">
            <v>Dimethyl lignoceric acid</v>
          </cell>
        </row>
        <row r="4739">
          <cell r="A4739" t="str">
            <v>3ntym_p</v>
          </cell>
          <cell r="B4739" t="str">
            <v>3ntym</v>
          </cell>
          <cell r="C4739" t="str">
            <v>3 Nitrotyramine C8H15N2</v>
          </cell>
        </row>
        <row r="4740">
          <cell r="A4740" t="str">
            <v>34dhpac_c</v>
          </cell>
          <cell r="B4740" t="str">
            <v>34dhpac</v>
          </cell>
          <cell r="C4740" t="str">
            <v>3,4-Dihydroxyphenylacetaldehyde</v>
          </cell>
        </row>
        <row r="4741">
          <cell r="A4741" t="str">
            <v>35dhphaccoa_c</v>
          </cell>
          <cell r="B4741" t="str">
            <v>35dhphaccoa</v>
          </cell>
          <cell r="C4741" t="str">
            <v>3 5 Dihydroxyphenylacetyl CoA C29H42N7O19P3S</v>
          </cell>
        </row>
        <row r="4742">
          <cell r="A4742" t="str">
            <v>4h3npac_c</v>
          </cell>
          <cell r="B4742" t="str">
            <v>4h3npac</v>
          </cell>
          <cell r="C4742" t="str">
            <v>4 Hydroxy 3 Nitro Phenylacetic acid C8H10NO2</v>
          </cell>
        </row>
        <row r="4743">
          <cell r="A4743" t="str">
            <v>salchs4_p</v>
          </cell>
          <cell r="B4743" t="str">
            <v>salchs4</v>
          </cell>
          <cell r="C4743" t="str">
            <v>Salmochelin-S4</v>
          </cell>
        </row>
        <row r="4744">
          <cell r="A4744" t="str">
            <v>d5kg_c</v>
          </cell>
          <cell r="B4744" t="str">
            <v>d5kg</v>
          </cell>
          <cell r="C4744" t="str">
            <v>2-Deoxy-5-keto-D-gluconic acid</v>
          </cell>
        </row>
        <row r="4745">
          <cell r="A4745" t="str">
            <v>salchsx_c</v>
          </cell>
          <cell r="B4745" t="str">
            <v>salchsx</v>
          </cell>
          <cell r="C4745" t="str">
            <v>Salmochelin-SX</v>
          </cell>
        </row>
        <row r="4746">
          <cell r="A4746" t="str">
            <v>udpgalur_c</v>
          </cell>
          <cell r="B4746" t="str">
            <v>udpgalur</v>
          </cell>
          <cell r="C4746" t="str">
            <v>UDPgalacturonate</v>
          </cell>
        </row>
        <row r="4747">
          <cell r="A4747" t="str">
            <v>agpe_EC_c</v>
          </cell>
          <cell r="B4747" t="str">
            <v>agpe_EC</v>
          </cell>
          <cell r="C4747" t="str">
            <v>Acyl-glycerophosphoethanolamine  (E.coli)</v>
          </cell>
        </row>
        <row r="4748">
          <cell r="A4748" t="str">
            <v>cdpdag_EC_c</v>
          </cell>
          <cell r="B4748" t="str">
            <v>cdpdag_EC</v>
          </cell>
          <cell r="C4748" t="str">
            <v>CDPdiacylglycerol (E coli)</v>
          </cell>
        </row>
        <row r="4749">
          <cell r="A4749" t="str">
            <v>eca_EC_c</v>
          </cell>
          <cell r="B4749" t="str">
            <v>eca_EC</v>
          </cell>
          <cell r="C4749" t="str">
            <v>Enterobacterial common antigen polysaccharide (Ecoli)</v>
          </cell>
        </row>
        <row r="4750">
          <cell r="A4750" t="str">
            <v>lps_EC_c</v>
          </cell>
          <cell r="B4750" t="str">
            <v>lps_EC</v>
          </cell>
          <cell r="C4750" t="str">
            <v>Lipopolysaccharide (Ecoli)</v>
          </cell>
        </row>
        <row r="4751">
          <cell r="A4751" t="str">
            <v>13ppd_p</v>
          </cell>
          <cell r="B4751" t="str">
            <v>13ppd</v>
          </cell>
          <cell r="C4751" t="str">
            <v>1,3-Propanediol</v>
          </cell>
        </row>
        <row r="4752">
          <cell r="A4752" t="str">
            <v>13ppd_c</v>
          </cell>
          <cell r="B4752" t="str">
            <v>13ppd</v>
          </cell>
          <cell r="C4752" t="str">
            <v>1,3-Propanediol</v>
          </cell>
        </row>
        <row r="4753">
          <cell r="A4753" t="str">
            <v>4met2obut_c</v>
          </cell>
          <cell r="B4753" t="str">
            <v>4met2obut</v>
          </cell>
          <cell r="C4753" t="str">
            <v>4-Methylthio-2-oxobutanoate</v>
          </cell>
        </row>
        <row r="4754">
          <cell r="A4754" t="str">
            <v>doxopa_c</v>
          </cell>
          <cell r="B4754" t="str">
            <v>doxopa</v>
          </cell>
          <cell r="C4754" t="str">
            <v>1,2-Dioxopropanoic acid</v>
          </cell>
        </row>
        <row r="4755">
          <cell r="A4755" t="str">
            <v>au_p</v>
          </cell>
          <cell r="B4755" t="str">
            <v>au</v>
          </cell>
          <cell r="C4755" t="str">
            <v>Gold-Au</v>
          </cell>
        </row>
        <row r="4756">
          <cell r="A4756" t="str">
            <v>au_c</v>
          </cell>
          <cell r="B4756" t="str">
            <v>au</v>
          </cell>
          <cell r="C4756" t="str">
            <v>Gold-Au</v>
          </cell>
        </row>
        <row r="4757">
          <cell r="A4757" t="str">
            <v>2ameph_c</v>
          </cell>
          <cell r="B4757" t="str">
            <v>2ameph</v>
          </cell>
          <cell r="C4757" t="str">
            <v>2-Aminoethylphosphonate</v>
          </cell>
        </row>
        <row r="4758">
          <cell r="A4758" t="str">
            <v>4hoxpac_p</v>
          </cell>
          <cell r="B4758" t="str">
            <v>4hoxpac</v>
          </cell>
          <cell r="C4758" t="str">
            <v>4 Hydroxyphenylacetic acid C8H8O3</v>
          </cell>
        </row>
        <row r="4759">
          <cell r="A4759" t="str">
            <v>4hoxpac_c</v>
          </cell>
          <cell r="B4759" t="str">
            <v>4hoxpac</v>
          </cell>
          <cell r="C4759" t="str">
            <v>4 Hydroxyphenylacetic acid C8H8O3</v>
          </cell>
        </row>
        <row r="4760">
          <cell r="A4760" t="str">
            <v>34dhpacet_c</v>
          </cell>
          <cell r="B4760" t="str">
            <v>34dhpacet</v>
          </cell>
          <cell r="C4760" t="str">
            <v>3-4-Dihydroxyphenylacetate</v>
          </cell>
        </row>
        <row r="4761">
          <cell r="A4761" t="str">
            <v>adcob1nda_c</v>
          </cell>
          <cell r="B4761" t="str">
            <v>adcob1nda</v>
          </cell>
          <cell r="C4761" t="str">
            <v>Adenosyl-cobyrinate-a-c-diamide</v>
          </cell>
        </row>
        <row r="4762">
          <cell r="A4762" t="str">
            <v>udcdpgalrmnmanabe_c</v>
          </cell>
          <cell r="B4762" t="str">
            <v>udcdpgalrmnmanabe</v>
          </cell>
          <cell r="C4762" t="str">
            <v>Undecaprenyl-diphosphate-galactose-rhamnose-mannose-abequose</v>
          </cell>
        </row>
        <row r="4763">
          <cell r="A4763" t="str">
            <v>udcdpgalrmnmanabe_p</v>
          </cell>
          <cell r="B4763" t="str">
            <v>udcdpgalrmnmanabe</v>
          </cell>
          <cell r="C4763" t="str">
            <v>Undecaprenyl-diphosphate-galactose-rhamnose-mannose-abequose</v>
          </cell>
        </row>
        <row r="4764">
          <cell r="A4764" t="str">
            <v>udcdpgalrmn_c</v>
          </cell>
          <cell r="B4764" t="str">
            <v>udcdpgalrmn</v>
          </cell>
          <cell r="C4764" t="str">
            <v>Undecaprenyl-diphosphate-galactose-rhamnose</v>
          </cell>
        </row>
        <row r="4765">
          <cell r="A4765" t="str">
            <v>udcdpgalrmnman_c</v>
          </cell>
          <cell r="B4765" t="str">
            <v>udcdpgalrmnman</v>
          </cell>
          <cell r="C4765" t="str">
            <v>Undecaprenyl-diphosphate-galactose-rhamnose-mannose</v>
          </cell>
        </row>
        <row r="4766">
          <cell r="A4766" t="str">
            <v>udcdp2Oag_p</v>
          </cell>
          <cell r="B4766" t="str">
            <v>udcdp2Oag</v>
          </cell>
          <cell r="C4766" t="str">
            <v>Undecaprenyl-diphosphate-O-antigene-2x</v>
          </cell>
        </row>
        <row r="4767">
          <cell r="A4767" t="str">
            <v>udcdp3Oag_p</v>
          </cell>
          <cell r="B4767" t="str">
            <v>udcdp3Oag</v>
          </cell>
          <cell r="C4767" t="str">
            <v>Undecaprenyl-diphosphate-O-antigene-3x</v>
          </cell>
        </row>
        <row r="4768">
          <cell r="A4768" t="str">
            <v>udcdp7Oag_p</v>
          </cell>
          <cell r="B4768" t="str">
            <v>udcdp7Oag</v>
          </cell>
          <cell r="C4768" t="str">
            <v>Undecaprenyl-diphosphate-O-antigene-7x</v>
          </cell>
        </row>
        <row r="4769">
          <cell r="A4769" t="str">
            <v>udcdp10Oag_p</v>
          </cell>
          <cell r="B4769" t="str">
            <v>udcdp10Oag</v>
          </cell>
          <cell r="C4769" t="str">
            <v>Undecaprenyl-diphosphate-O-antigene-10x</v>
          </cell>
        </row>
        <row r="4770">
          <cell r="A4770" t="str">
            <v>udcdp12Oag_p</v>
          </cell>
          <cell r="B4770" t="str">
            <v>udcdp12Oag</v>
          </cell>
          <cell r="C4770" t="str">
            <v>Undecaprenyl-diphosphate-O-antigene-12x</v>
          </cell>
        </row>
        <row r="4771">
          <cell r="A4771" t="str">
            <v>udcdp13Oag_p</v>
          </cell>
          <cell r="B4771" t="str">
            <v>udcdp13Oag</v>
          </cell>
          <cell r="C4771" t="str">
            <v>Undecaprenyl-diphosphate-O-antigene-13x</v>
          </cell>
        </row>
        <row r="4772">
          <cell r="A4772" t="str">
            <v>cdp4dh6doglc_c</v>
          </cell>
          <cell r="B4772" t="str">
            <v>cdp4dh6doglc</v>
          </cell>
          <cell r="C4772" t="str">
            <v>CDP-4-dehydro-6-deoxy-D-glucose</v>
          </cell>
        </row>
        <row r="4773">
          <cell r="A4773" t="str">
            <v>udcpo5_c</v>
          </cell>
          <cell r="B4773" t="str">
            <v>udcpo5</v>
          </cell>
          <cell r="C4773" t="str">
            <v>Undecaprenyl diphosphate galactose-rhamnose-mannose-abequose-acetyl</v>
          </cell>
        </row>
        <row r="4774">
          <cell r="A4774" t="str">
            <v>udcpo5_p</v>
          </cell>
          <cell r="B4774" t="str">
            <v>udcpo5</v>
          </cell>
          <cell r="C4774" t="str">
            <v>Undecaprenyl diphosphate galactose-rhamnose-mannose-abequose-acetyl</v>
          </cell>
        </row>
        <row r="4775">
          <cell r="A4775" t="str">
            <v>lpp_sp_p</v>
          </cell>
          <cell r="B4775" t="str">
            <v>lpp_sp</v>
          </cell>
          <cell r="C4775" t="str">
            <v>Braun lipoprotein signal peptide</v>
          </cell>
        </row>
        <row r="4776">
          <cell r="A4776" t="str">
            <v>prolpp_c</v>
          </cell>
          <cell r="B4776" t="str">
            <v>prolpp</v>
          </cell>
          <cell r="C4776" t="str">
            <v>Braun prolipoprotein</v>
          </cell>
        </row>
        <row r="4777">
          <cell r="A4777" t="str">
            <v>2m3osuc_c</v>
          </cell>
          <cell r="B4777" t="str">
            <v>2m3osuc</v>
          </cell>
          <cell r="C4777" t="str">
            <v>2-methyl-3-oxosuccinate</v>
          </cell>
        </row>
        <row r="4778">
          <cell r="A4778" t="str">
            <v>3hpimcoa_c</v>
          </cell>
          <cell r="B4778" t="str">
            <v>3hpimcoa</v>
          </cell>
          <cell r="C4778" t="str">
            <v>3-Hydroxypimelyl-CoA</v>
          </cell>
        </row>
        <row r="4779">
          <cell r="A4779" t="str">
            <v>3mb_c</v>
          </cell>
          <cell r="B4779" t="str">
            <v>3mb</v>
          </cell>
          <cell r="C4779" t="str">
            <v>3-Methylbutanoic acid</v>
          </cell>
        </row>
        <row r="4780">
          <cell r="A4780" t="str">
            <v>4hbzcoa_c</v>
          </cell>
          <cell r="B4780" t="str">
            <v>4hbzcoa</v>
          </cell>
          <cell r="C4780" t="str">
            <v>4 hydroxybenoyl CoA C28H36N7O18P3S</v>
          </cell>
        </row>
        <row r="4781">
          <cell r="A4781" t="str">
            <v>bzsuccoa_c</v>
          </cell>
          <cell r="B4781" t="str">
            <v>bzsuccoa</v>
          </cell>
          <cell r="C4781" t="str">
            <v>Benzylsuccinyl-CoA</v>
          </cell>
        </row>
        <row r="4782">
          <cell r="A4782" t="str">
            <v>cdhxfut_c</v>
          </cell>
          <cell r="B4782" t="str">
            <v>cdhxfut</v>
          </cell>
          <cell r="C4782" t="str">
            <v>Cyclic de-hypoxanthine futalosine</v>
          </cell>
        </row>
        <row r="4783">
          <cell r="A4783" t="str">
            <v>dhxfut_c</v>
          </cell>
          <cell r="B4783" t="str">
            <v>dhxfut</v>
          </cell>
          <cell r="C4783" t="str">
            <v>De-hypoxanthine futalosine</v>
          </cell>
        </row>
        <row r="4784">
          <cell r="A4784" t="str">
            <v>ghhlipan_c</v>
          </cell>
          <cell r="B4784" t="str">
            <v>ghhlipan</v>
          </cell>
          <cell r="C4784" t="str">
            <v>Glucosyl-heptosyl-heptosyl-kdo2-lipidA (glucosediamine)</v>
          </cell>
        </row>
        <row r="4785">
          <cell r="A4785" t="str">
            <v>hlipan_c</v>
          </cell>
          <cell r="B4785" t="str">
            <v>hlipan</v>
          </cell>
          <cell r="C4785" t="str">
            <v>Heptosyl-kdo2-lipidA (glucosediaminyl)</v>
          </cell>
        </row>
        <row r="4786">
          <cell r="A4786" t="str">
            <v>indaccoa_c</v>
          </cell>
          <cell r="B4786" t="str">
            <v>indaccoa</v>
          </cell>
          <cell r="C4786" t="str">
            <v>S-2-(indol-3-yl)acetyl-CoA</v>
          </cell>
        </row>
        <row r="4787">
          <cell r="A4787" t="str">
            <v>kdo2lipid4Ln_c</v>
          </cell>
          <cell r="B4787" t="str">
            <v>kdo2lipid4Ln</v>
          </cell>
          <cell r="C4787" t="str">
            <v>KDO(2)-lipid IV(A) with laurate (glucosediaminyl)</v>
          </cell>
        </row>
        <row r="4788">
          <cell r="A4788" t="str">
            <v>lipidAn_c</v>
          </cell>
          <cell r="B4788" t="str">
            <v>lipidAn</v>
          </cell>
          <cell r="C4788" t="str">
            <v>2,3,2'3'-Tetrakis(beta-hydroxymyristoyl)-D-glucosaminyl-1,6-beta-D-glucosediaminyl 1,4'-bisphosphate</v>
          </cell>
        </row>
        <row r="4789">
          <cell r="A4789" t="str">
            <v>maltpttre_c</v>
          </cell>
          <cell r="B4789" t="str">
            <v>maltpttre</v>
          </cell>
          <cell r="C4789" t="str">
            <v>Maltopentaosyltrehalose</v>
          </cell>
        </row>
        <row r="4790">
          <cell r="A4790" t="str">
            <v>malttre_c</v>
          </cell>
          <cell r="B4790" t="str">
            <v>malttre</v>
          </cell>
          <cell r="C4790" t="str">
            <v>Maltosyltrehalose</v>
          </cell>
        </row>
        <row r="4791">
          <cell r="A4791" t="str">
            <v>malttrtre_c</v>
          </cell>
          <cell r="B4791" t="str">
            <v>malttrtre</v>
          </cell>
          <cell r="C4791" t="str">
            <v>Maltotriosyltrehalose</v>
          </cell>
        </row>
        <row r="4792">
          <cell r="A4792" t="str">
            <v>n2ppn_c</v>
          </cell>
          <cell r="B4792" t="str">
            <v>n2ppn</v>
          </cell>
          <cell r="C4792" t="str">
            <v>2-Nitropropane</v>
          </cell>
        </row>
        <row r="4793">
          <cell r="A4793" t="str">
            <v>pp2coa_c</v>
          </cell>
          <cell r="B4793" t="str">
            <v>pp2coa</v>
          </cell>
          <cell r="C4793" t="str">
            <v>Acrylyl CoA</v>
          </cell>
        </row>
        <row r="4794">
          <cell r="A4794" t="str">
            <v>ptcoa_c</v>
          </cell>
          <cell r="B4794" t="str">
            <v>ptcoa</v>
          </cell>
          <cell r="C4794" t="str">
            <v>Pentanoyl-CoA</v>
          </cell>
        </row>
        <row r="4795">
          <cell r="A4795" t="str">
            <v>u23gn_c</v>
          </cell>
          <cell r="B4795" t="str">
            <v>u23gn</v>
          </cell>
          <cell r="C4795" t="str">
            <v>UDP-2,3-bis(3-hydroxytetradecanoyl)glucosediamine</v>
          </cell>
        </row>
        <row r="4796">
          <cell r="A4796" t="str">
            <v>4hba_e</v>
          </cell>
          <cell r="B4796" t="str">
            <v>4hba</v>
          </cell>
          <cell r="C4796" t="str">
            <v>4-Hydroxy-benzyl alcohol</v>
          </cell>
        </row>
        <row r="4797">
          <cell r="A4797" t="str">
            <v>btoh_e</v>
          </cell>
          <cell r="B4797" t="str">
            <v>btoh</v>
          </cell>
          <cell r="C4797" t="str">
            <v>Butanol</v>
          </cell>
        </row>
        <row r="4798">
          <cell r="A4798" t="str">
            <v>cro4_e</v>
          </cell>
          <cell r="B4798" t="str">
            <v>cro4</v>
          </cell>
          <cell r="C4798" t="str">
            <v>Chromate</v>
          </cell>
        </row>
        <row r="4799">
          <cell r="A4799" t="str">
            <v>pta_e</v>
          </cell>
          <cell r="B4799" t="str">
            <v>pta</v>
          </cell>
          <cell r="C4799" t="str">
            <v>Pentanoate</v>
          </cell>
        </row>
        <row r="4800">
          <cell r="A4800" t="str">
            <v>3mb_p</v>
          </cell>
          <cell r="B4800" t="str">
            <v>3mb</v>
          </cell>
          <cell r="C4800" t="str">
            <v>3-Methylbutanoic acid</v>
          </cell>
        </row>
        <row r="4801">
          <cell r="A4801" t="str">
            <v>bzalc_p</v>
          </cell>
          <cell r="B4801" t="str">
            <v>bzalc</v>
          </cell>
          <cell r="C4801" t="str">
            <v>Benzyl alcohol</v>
          </cell>
        </row>
        <row r="4802">
          <cell r="A4802" t="str">
            <v>gm2lipa_p</v>
          </cell>
          <cell r="B4802" t="str">
            <v>gm2lipa</v>
          </cell>
          <cell r="C4802" t="str">
            <v>4-Amino-4-deoxy-L-arabinose modified core oligosaccharide lipid A (G. metallireducens, variant 2)</v>
          </cell>
        </row>
        <row r="4803">
          <cell r="A4803" t="str">
            <v>ppcr_p</v>
          </cell>
          <cell r="B4803" t="str">
            <v>ppcr</v>
          </cell>
          <cell r="C4803" t="str">
            <v>Periplasmic cytochromes c type - reduced</v>
          </cell>
        </row>
        <row r="4804">
          <cell r="A4804" t="str">
            <v>ps120_p</v>
          </cell>
          <cell r="B4804" t="str">
            <v>ps120</v>
          </cell>
          <cell r="C4804" t="str">
            <v>Phosphatidylserine (didodecanoyl, n-C12:0)</v>
          </cell>
        </row>
        <row r="4805">
          <cell r="A4805" t="str">
            <v>34dhoxpeg_c</v>
          </cell>
          <cell r="B4805" t="str">
            <v>34dhoxpeg</v>
          </cell>
          <cell r="C4805" t="str">
            <v>3,4-Dihydroxyphenylethyleneglycol</v>
          </cell>
        </row>
        <row r="4806">
          <cell r="A4806" t="str">
            <v>1odec912eg3p_c</v>
          </cell>
          <cell r="B4806" t="str">
            <v>1odec912eg3p</v>
          </cell>
          <cell r="C4806" t="str">
            <v>1-octadec-9-12-dienoyl-sn-glycerol 3-phosphate</v>
          </cell>
        </row>
        <row r="4807">
          <cell r="A4807" t="str">
            <v>octe_9_12_ACP_c</v>
          </cell>
          <cell r="B4807" t="str">
            <v>octe_9_12_ACP</v>
          </cell>
          <cell r="C4807" t="str">
            <v>Linoleoyl-ACP (n-C18 2ACP)</v>
          </cell>
        </row>
        <row r="4808">
          <cell r="A4808" t="str">
            <v>pa183_9_12_15_c</v>
          </cell>
          <cell r="B4808" t="str">
            <v>pa183_9_12_15</v>
          </cell>
          <cell r="C4808" t="str">
            <v>1,2-dioctadec-9-12-15-trienoyl-sn-glycerol 3-phosphate</v>
          </cell>
        </row>
        <row r="4809">
          <cell r="A4809" t="str">
            <v>bcryptox_c</v>
          </cell>
          <cell r="B4809" t="str">
            <v>bcryptox</v>
          </cell>
          <cell r="C4809" t="str">
            <v>Beta-Cryptoxanthin</v>
          </cell>
        </row>
        <row r="4810">
          <cell r="A4810" t="str">
            <v>zeax_c</v>
          </cell>
          <cell r="B4810" t="str">
            <v>zeax</v>
          </cell>
          <cell r="C4810" t="str">
            <v>Zeaxanthin</v>
          </cell>
        </row>
        <row r="4811">
          <cell r="A4811" t="str">
            <v>ficytc6_p</v>
          </cell>
          <cell r="B4811" t="str">
            <v>ficytc6</v>
          </cell>
          <cell r="C4811" t="str">
            <v>Ferricytochrome c6</v>
          </cell>
        </row>
        <row r="4812">
          <cell r="A4812" t="str">
            <v>chlld_c</v>
          </cell>
          <cell r="B4812" t="str">
            <v>chlld</v>
          </cell>
          <cell r="C4812" t="str">
            <v>Chlorophyllide a</v>
          </cell>
        </row>
        <row r="4813">
          <cell r="A4813" t="str">
            <v>cyanphy_c</v>
          </cell>
          <cell r="B4813" t="str">
            <v>cyanphy</v>
          </cell>
          <cell r="C4813" t="str">
            <v>Cyanophycin (multi-Larginyl-poli [L--aspartic acid]) polimer (n+2)</v>
          </cell>
        </row>
        <row r="4814">
          <cell r="A4814" t="str">
            <v>cdpdodec912eg_c</v>
          </cell>
          <cell r="B4814" t="str">
            <v>cdpdodec912eg</v>
          </cell>
          <cell r="C4814" t="str">
            <v>CDP-1,2-dioctadec-9-12-dienoylglycerol</v>
          </cell>
        </row>
        <row r="4815">
          <cell r="A4815" t="str">
            <v>cdpdodec6912eg_c</v>
          </cell>
          <cell r="B4815" t="str">
            <v>cdpdodec6912eg</v>
          </cell>
          <cell r="C4815" t="str">
            <v>CDP-1,2-dioctadec-6-9-12-trienoylglycerol</v>
          </cell>
        </row>
        <row r="4816">
          <cell r="A4816" t="str">
            <v>dgdg160_c</v>
          </cell>
          <cell r="B4816" t="str">
            <v>dgdg160</v>
          </cell>
          <cell r="C4816" t="str">
            <v>Digalactosyl-diacylglycerol(n-C16)</v>
          </cell>
        </row>
        <row r="4817">
          <cell r="A4817" t="str">
            <v>mgdg161_c</v>
          </cell>
          <cell r="B4817" t="str">
            <v>mgdg161</v>
          </cell>
          <cell r="C4817" t="str">
            <v>1,2-Diacyl-3-beta-D-galactosyl-sn-glycerol (n-C16 1)</v>
          </cell>
        </row>
        <row r="4818">
          <cell r="A4818" t="str">
            <v>dgdg161_c</v>
          </cell>
          <cell r="B4818" t="str">
            <v>dgdg161</v>
          </cell>
          <cell r="C4818" t="str">
            <v>Digalactosyl-diacylglycerol(n-C16 1)</v>
          </cell>
        </row>
        <row r="4819">
          <cell r="A4819" t="str">
            <v>dgdg180_c</v>
          </cell>
          <cell r="B4819" t="str">
            <v>dgdg180</v>
          </cell>
          <cell r="C4819" t="str">
            <v>Digalactosyl-diacylglycerol(n-C18 0)</v>
          </cell>
        </row>
        <row r="4820">
          <cell r="A4820" t="str">
            <v>dgdg181_9_c</v>
          </cell>
          <cell r="B4820" t="str">
            <v>dgdg181_9</v>
          </cell>
          <cell r="C4820" t="str">
            <v>Digalactosyl-diacylglycerol(n-C18 1)</v>
          </cell>
        </row>
        <row r="4821">
          <cell r="A4821" t="str">
            <v>mgdg184_6_9_12_15_c</v>
          </cell>
          <cell r="B4821" t="str">
            <v>mgdg184_6_9_12_15</v>
          </cell>
          <cell r="C4821" t="str">
            <v>1,2-Diacyl-3-beta-D-galactosyl-sn-glycerol (n-C18 4)</v>
          </cell>
        </row>
        <row r="4822">
          <cell r="A4822" t="str">
            <v>gcarote_c</v>
          </cell>
          <cell r="B4822" t="str">
            <v>gcarote</v>
          </cell>
          <cell r="C4822" t="str">
            <v>Gamma-Carotene</v>
          </cell>
        </row>
        <row r="4823">
          <cell r="A4823" t="str">
            <v>mppp9om_c</v>
          </cell>
          <cell r="B4823" t="str">
            <v>mppp9om</v>
          </cell>
          <cell r="C4823" t="str">
            <v>Magnesium protoporphyrin monomethyl ester</v>
          </cell>
        </row>
        <row r="4824">
          <cell r="A4824" t="str">
            <v>pg183_9_12_15_c</v>
          </cell>
          <cell r="B4824" t="str">
            <v>pg183_9_12_15</v>
          </cell>
          <cell r="C4824" t="str">
            <v>Phosphatidylglycerol (dioctadec-9-12-15-trienoyl, n-C18 3)</v>
          </cell>
        </row>
        <row r="4825">
          <cell r="A4825" t="str">
            <v>pg184_6_9_12_15_c</v>
          </cell>
          <cell r="B4825" t="str">
            <v>pg184_6_9_12_15</v>
          </cell>
          <cell r="C4825" t="str">
            <v>Phosphatidylglycerol (dioctadec-6-9-12-15-tetraenoyl, n-C18 4)</v>
          </cell>
        </row>
        <row r="4826">
          <cell r="A4826" t="str">
            <v>phbg_c</v>
          </cell>
          <cell r="B4826" t="str">
            <v>phbg</v>
          </cell>
          <cell r="C4826" t="str">
            <v>Growing PHB granule</v>
          </cell>
        </row>
        <row r="4827">
          <cell r="A4827" t="str">
            <v>prephytedp_c</v>
          </cell>
          <cell r="B4827" t="str">
            <v>prephytedp</v>
          </cell>
          <cell r="C4827" t="str">
            <v>Prephytoene diphosphate</v>
          </cell>
        </row>
        <row r="4828">
          <cell r="A4828" t="str">
            <v>rb15bp_c</v>
          </cell>
          <cell r="B4828" t="str">
            <v>rb15bp</v>
          </cell>
          <cell r="C4828" t="str">
            <v>D-Ribulose 1,5-bisphosphate</v>
          </cell>
        </row>
        <row r="4829">
          <cell r="A4829" t="str">
            <v>udpsq_c</v>
          </cell>
          <cell r="B4829" t="str">
            <v>udpsq</v>
          </cell>
          <cell r="C4829" t="str">
            <v>UDP-6-sulfoquinovose</v>
          </cell>
        </row>
        <row r="4830">
          <cell r="A4830" t="str">
            <v>sqdg183_6_9_12_c</v>
          </cell>
          <cell r="B4830" t="str">
            <v>sqdg183_6_9_12</v>
          </cell>
          <cell r="C4830" t="str">
            <v>Sulfoquinovosyldiacylglycerol (n-C18 3)</v>
          </cell>
        </row>
        <row r="4831">
          <cell r="A4831" t="str">
            <v>sqdg180_c</v>
          </cell>
          <cell r="B4831" t="str">
            <v>sqdg180</v>
          </cell>
          <cell r="C4831" t="str">
            <v>Sulfoquinovosyldiacylglycerol (n-C18 0)</v>
          </cell>
        </row>
        <row r="4832">
          <cell r="A4832" t="str">
            <v>sqdg181_9_c</v>
          </cell>
          <cell r="B4832" t="str">
            <v>sqdg181_9</v>
          </cell>
          <cell r="C4832" t="str">
            <v>Sulfoquinovosyldiacylglycerol (n-C18 1)</v>
          </cell>
        </row>
        <row r="4833">
          <cell r="A4833" t="str">
            <v>sqdg184_6_9_12_15_c</v>
          </cell>
          <cell r="B4833" t="str">
            <v>sqdg184_6_9_12_15</v>
          </cell>
          <cell r="C4833" t="str">
            <v>Sulfoquinovosyldiacylglycerol (n-C18 4)</v>
          </cell>
        </row>
        <row r="4834">
          <cell r="A4834" t="str">
            <v>dtocophe_c</v>
          </cell>
          <cell r="B4834" t="str">
            <v>dtocophe</v>
          </cell>
          <cell r="C4834" t="str">
            <v>Delta-Tocopherol</v>
          </cell>
        </row>
        <row r="4835">
          <cell r="A4835" t="str">
            <v>phllqne_c</v>
          </cell>
          <cell r="B4835" t="str">
            <v>phllqne</v>
          </cell>
          <cell r="C4835" t="str">
            <v>Phylloquinone</v>
          </cell>
        </row>
        <row r="4836">
          <cell r="A4836" t="str">
            <v>co_p</v>
          </cell>
          <cell r="B4836" t="str">
            <v>co</v>
          </cell>
          <cell r="C4836" t="str">
            <v>Carbon monoxide</v>
          </cell>
        </row>
        <row r="4837">
          <cell r="A4837" t="str">
            <v>10fthf5glu_c</v>
          </cell>
          <cell r="B4837" t="str">
            <v>10fthf5glu</v>
          </cell>
          <cell r="C4837" t="str">
            <v>10-formyltetrahydrofolate-[Glu](5)</v>
          </cell>
        </row>
        <row r="4838">
          <cell r="A4838" t="str">
            <v>11_cis_retfa_c</v>
          </cell>
          <cell r="B4838" t="str">
            <v>11_cis_retfa</v>
          </cell>
          <cell r="C4838" t="str">
            <v>Fatty acid 11-cis-retinol</v>
          </cell>
        </row>
        <row r="4839">
          <cell r="A4839" t="str">
            <v>11docrtsl_c</v>
          </cell>
          <cell r="B4839" t="str">
            <v>11docrtsl</v>
          </cell>
          <cell r="C4839" t="str">
            <v>11docrtsl c</v>
          </cell>
        </row>
        <row r="4840">
          <cell r="A4840" t="str">
            <v>13_cis_retn_c</v>
          </cell>
          <cell r="B4840" t="str">
            <v>13_cis_retn</v>
          </cell>
          <cell r="C4840" t="str">
            <v>13-cis-retinoate</v>
          </cell>
        </row>
        <row r="4841">
          <cell r="A4841" t="str">
            <v>17ahprgstrn_c</v>
          </cell>
          <cell r="B4841" t="str">
            <v>17ahprgstrn</v>
          </cell>
          <cell r="C4841" t="str">
            <v>17alpha-Hydroxyprogesterone</v>
          </cell>
        </row>
        <row r="4842">
          <cell r="A4842" t="str">
            <v>2425dhvitd2_c</v>
          </cell>
          <cell r="B4842" t="str">
            <v>2425dhvitd2</v>
          </cell>
          <cell r="C4842" t="str">
            <v>24R,25-Dihyoxyvitamin D2</v>
          </cell>
        </row>
        <row r="4843">
          <cell r="A4843" t="str">
            <v>24nph_c</v>
          </cell>
          <cell r="B4843" t="str">
            <v>24nph</v>
          </cell>
          <cell r="C4843" t="str">
            <v>2,4 dihydroxy nitrophenol</v>
          </cell>
        </row>
        <row r="4844">
          <cell r="A4844" t="str">
            <v>34dhoxmand_c</v>
          </cell>
          <cell r="B4844" t="str">
            <v>34dhoxmand</v>
          </cell>
          <cell r="C4844" t="str">
            <v>3,4-Dihydroxymandelate</v>
          </cell>
        </row>
        <row r="4845">
          <cell r="A4845" t="str">
            <v>3aib_c</v>
          </cell>
          <cell r="B4845" t="str">
            <v>3aib</v>
          </cell>
          <cell r="C4845" t="str">
            <v>L-3-Amino-isobutanoate</v>
          </cell>
        </row>
        <row r="4846">
          <cell r="A4846" t="str">
            <v>3hxkynam_c</v>
          </cell>
          <cell r="B4846" t="str">
            <v>3hxkynam</v>
          </cell>
          <cell r="C4846" t="str">
            <v>3-Hydroxykynurenamine</v>
          </cell>
        </row>
        <row r="4847">
          <cell r="A4847" t="str">
            <v>3moxtyr_c</v>
          </cell>
          <cell r="B4847" t="str">
            <v>3moxtyr</v>
          </cell>
          <cell r="C4847" t="str">
            <v>3-Methoxytyramine</v>
          </cell>
        </row>
        <row r="4848">
          <cell r="A4848" t="str">
            <v>3snpyr_c</v>
          </cell>
          <cell r="B4848" t="str">
            <v>3snpyr</v>
          </cell>
          <cell r="C4848" t="str">
            <v>3-Sulfinopyruvate</v>
          </cell>
        </row>
        <row r="4849">
          <cell r="A4849" t="str">
            <v>42A3HP24DB_c</v>
          </cell>
          <cell r="B4849" t="str">
            <v>42A3HP24DB</v>
          </cell>
          <cell r="C4849" t="str">
            <v>4-(2-Amino-3-hydroxyphenyl)-2,4-dioxobutanoate</v>
          </cell>
        </row>
        <row r="4850">
          <cell r="A4850" t="str">
            <v>4aphdob_c</v>
          </cell>
          <cell r="B4850" t="str">
            <v>4aphdob</v>
          </cell>
          <cell r="C4850" t="str">
            <v>4-(2-Aminophenyl)-2,4-dioxobutanoate</v>
          </cell>
        </row>
        <row r="4851">
          <cell r="A4851" t="str">
            <v>4nph_c</v>
          </cell>
          <cell r="B4851" t="str">
            <v>4nph</v>
          </cell>
          <cell r="C4851" t="str">
            <v>4-Nitrophenol</v>
          </cell>
        </row>
        <row r="4852">
          <cell r="A4852" t="str">
            <v>4tmeabut_c</v>
          </cell>
          <cell r="B4852" t="str">
            <v>4tmeabut</v>
          </cell>
          <cell r="C4852" t="str">
            <v>4-Trimethylammoniobutanal</v>
          </cell>
        </row>
        <row r="4853">
          <cell r="A4853" t="str">
            <v>5HPET_c</v>
          </cell>
          <cell r="B4853" t="str">
            <v>5HPET</v>
          </cell>
          <cell r="C4853" t="str">
            <v>5-Hydroperoxy-6-trans-8,11,14-cis-eicosatetraenoate</v>
          </cell>
        </row>
        <row r="4854">
          <cell r="A4854" t="str">
            <v>5adtststerones_c</v>
          </cell>
          <cell r="B4854" t="str">
            <v>5adtststerones</v>
          </cell>
          <cell r="C4854" t="str">
            <v>5alpha-Dihydrotestosterone sulfate</v>
          </cell>
        </row>
        <row r="4855">
          <cell r="A4855" t="str">
            <v>5homeprazole_c</v>
          </cell>
          <cell r="B4855" t="str">
            <v>5homeprazole</v>
          </cell>
          <cell r="C4855" t="str">
            <v>5homeprazole c</v>
          </cell>
        </row>
        <row r="4856">
          <cell r="A4856" t="str">
            <v>5hoxindoa_c</v>
          </cell>
          <cell r="B4856" t="str">
            <v>5hoxindoa</v>
          </cell>
          <cell r="C4856" t="str">
            <v>5-Hydroxyindoleacetate</v>
          </cell>
        </row>
        <row r="4857">
          <cell r="A4857" t="str">
            <v>6htststerone_c</v>
          </cell>
          <cell r="B4857" t="str">
            <v>6htststerone</v>
          </cell>
          <cell r="C4857" t="str">
            <v>6 beta hydroxy testosterone</v>
          </cell>
        </row>
        <row r="4858">
          <cell r="A4858" t="str">
            <v>7dhchsterol_c</v>
          </cell>
          <cell r="B4858" t="str">
            <v>7dhchsterol</v>
          </cell>
          <cell r="C4858" t="str">
            <v>Cholesta-5,7-dien-3beta-ol</v>
          </cell>
        </row>
        <row r="4859">
          <cell r="A4859" t="str">
            <v>7dhf_c</v>
          </cell>
          <cell r="B4859" t="str">
            <v>7dhf</v>
          </cell>
          <cell r="C4859" t="str">
            <v>Heptaglutamyl folate (DHF)</v>
          </cell>
        </row>
        <row r="4860">
          <cell r="A4860" t="str">
            <v>7thf_c</v>
          </cell>
          <cell r="B4860" t="str">
            <v>7thf</v>
          </cell>
          <cell r="C4860" t="str">
            <v>Heptaglutamyl folate (THF)</v>
          </cell>
        </row>
        <row r="4861">
          <cell r="A4861" t="str">
            <v>9_cis_retfa_c</v>
          </cell>
          <cell r="B4861" t="str">
            <v>9_cis_retfa</v>
          </cell>
          <cell r="C4861" t="str">
            <v>Fatty acid 9-cis-retinol</v>
          </cell>
        </row>
        <row r="4862">
          <cell r="A4862" t="str">
            <v>L_dpchrm_c</v>
          </cell>
          <cell r="B4862" t="str">
            <v>L_dpchrm</v>
          </cell>
          <cell r="C4862" t="str">
            <v>L-Dopachrome</v>
          </cell>
        </row>
        <row r="4863">
          <cell r="A4863" t="str">
            <v>R1coa_hs_c</v>
          </cell>
          <cell r="B4863" t="str">
            <v>R1coa_hs</v>
          </cell>
          <cell r="C4863" t="str">
            <v>R group 1 Coenzyme A homo sapiens</v>
          </cell>
        </row>
        <row r="4864">
          <cell r="A4864" t="str">
            <v>R5coa_hs_c</v>
          </cell>
          <cell r="B4864" t="str">
            <v>R5coa_hs</v>
          </cell>
          <cell r="C4864" t="str">
            <v>R group 5 Coenzyme A homo sapiens</v>
          </cell>
        </row>
        <row r="4865">
          <cell r="A4865" t="str">
            <v>acgal1p_c</v>
          </cell>
          <cell r="B4865" t="str">
            <v>acgal1p</v>
          </cell>
          <cell r="C4865" t="str">
            <v>N-Acetyl-D-galactosamine 1-phosphate</v>
          </cell>
        </row>
        <row r="4866">
          <cell r="A4866" t="str">
            <v>acgpail_hs_c</v>
          </cell>
          <cell r="B4866" t="str">
            <v>acgpail_hs</v>
          </cell>
          <cell r="C4866" t="str">
            <v>N-Acetyl-D-glucosaminylphosphatidylinositol</v>
          </cell>
        </row>
        <row r="4867">
          <cell r="A4867" t="str">
            <v>acn23acngalgbside_hs_c</v>
          </cell>
          <cell r="B4867" t="str">
            <v>acn23acngalgbside_hs</v>
          </cell>
          <cell r="C4867" t="str">
            <v>Sialyl (2,3) sialyl (2,6) galactosylgloboside (homo sapiens)</v>
          </cell>
        </row>
        <row r="4868">
          <cell r="A4868" t="str">
            <v>acnacngalgbside_hs_c</v>
          </cell>
          <cell r="B4868" t="str">
            <v>acnacngalgbside_hs</v>
          </cell>
          <cell r="C4868" t="str">
            <v>Disialyl galactosylgloboside (homo sapiens)</v>
          </cell>
        </row>
        <row r="4869">
          <cell r="A4869" t="str">
            <v>adrnl_c</v>
          </cell>
          <cell r="B4869" t="str">
            <v>adrnl</v>
          </cell>
          <cell r="C4869" t="str">
            <v>Adrenaline</v>
          </cell>
        </row>
        <row r="4870">
          <cell r="A4870" t="str">
            <v>adsel_c</v>
          </cell>
          <cell r="B4870" t="str">
            <v>adsel</v>
          </cell>
          <cell r="C4870" t="str">
            <v>Adenylylselenate</v>
          </cell>
        </row>
        <row r="4871">
          <cell r="A4871" t="str">
            <v>aflatoxin_c</v>
          </cell>
          <cell r="B4871" t="str">
            <v>aflatoxin</v>
          </cell>
          <cell r="C4871" t="str">
            <v>Aflatoxin c</v>
          </cell>
        </row>
        <row r="4872">
          <cell r="A4872" t="str">
            <v>ak2gp_hs_c</v>
          </cell>
          <cell r="B4872" t="str">
            <v>ak2gp_hs</v>
          </cell>
          <cell r="C4872" t="str">
            <v>1-alkyl 2-acylglycerol 3-phosphate</v>
          </cell>
        </row>
        <row r="4873">
          <cell r="A4873" t="str">
            <v>aldstrn_c</v>
          </cell>
          <cell r="B4873" t="str">
            <v>aldstrn</v>
          </cell>
          <cell r="C4873" t="str">
            <v>Aldstrn c</v>
          </cell>
        </row>
        <row r="4874">
          <cell r="A4874" t="str">
            <v>alpa_hs_c</v>
          </cell>
          <cell r="B4874" t="str">
            <v>alpa_hs</v>
          </cell>
          <cell r="C4874" t="str">
            <v>Lysophosphatidic acid (homo sapiens)</v>
          </cell>
        </row>
        <row r="4875">
          <cell r="A4875" t="str">
            <v>andrstrnglc_c</v>
          </cell>
          <cell r="B4875" t="str">
            <v>andrstrnglc</v>
          </cell>
          <cell r="C4875" t="str">
            <v>Androsterone glucuronide</v>
          </cell>
        </row>
        <row r="4876">
          <cell r="A4876" t="str">
            <v>apoC_c</v>
          </cell>
          <cell r="B4876" t="str">
            <v>apoC</v>
          </cell>
          <cell r="C4876" t="str">
            <v>Apocarboxlase (no lys residue)</v>
          </cell>
        </row>
        <row r="4877">
          <cell r="A4877" t="str">
            <v>apoC_Lys_btn_c</v>
          </cell>
          <cell r="B4877" t="str">
            <v>apoC_Lys_btn</v>
          </cell>
          <cell r="C4877" t="str">
            <v>Holocarboxylase (biotin covalent bound to Lys residue of apoC)</v>
          </cell>
        </row>
        <row r="4878">
          <cell r="A4878" t="str">
            <v>aprgstrn_c</v>
          </cell>
          <cell r="B4878" t="str">
            <v>aprgstrn</v>
          </cell>
          <cell r="C4878" t="str">
            <v>20alpha-Hydroxyprogesterone</v>
          </cell>
        </row>
        <row r="4879">
          <cell r="A4879" t="str">
            <v>aqcobal_c</v>
          </cell>
          <cell r="B4879" t="str">
            <v>aqcobal</v>
          </cell>
          <cell r="C4879" t="str">
            <v>Aquacob(III)alamin</v>
          </cell>
        </row>
        <row r="4880">
          <cell r="A4880" t="str">
            <v>arachdcoa_c</v>
          </cell>
          <cell r="B4880" t="str">
            <v>arachdcoa</v>
          </cell>
          <cell r="C4880" t="str">
            <v>C20:4-CoA</v>
          </cell>
        </row>
        <row r="4881">
          <cell r="A4881" t="str">
            <v>carveol_c</v>
          </cell>
          <cell r="B4881" t="str">
            <v>carveol</v>
          </cell>
          <cell r="C4881" t="str">
            <v>(-)-trans-carveol</v>
          </cell>
        </row>
        <row r="4882">
          <cell r="A4882" t="str">
            <v>cdpdag_hs_c</v>
          </cell>
          <cell r="B4882" t="str">
            <v>cdpdag_hs</v>
          </cell>
          <cell r="C4882" t="str">
            <v>CDP diacylglycerol (homo sapiens)</v>
          </cell>
        </row>
        <row r="4883">
          <cell r="A4883" t="str">
            <v>clpnd_c</v>
          </cell>
          <cell r="B4883" t="str">
            <v>clpnd</v>
          </cell>
          <cell r="C4883" t="str">
            <v>Clupanodonic acid</v>
          </cell>
        </row>
        <row r="4884">
          <cell r="A4884" t="str">
            <v>clpndcrn_c</v>
          </cell>
          <cell r="B4884" t="str">
            <v>clpndcrn</v>
          </cell>
          <cell r="C4884" t="str">
            <v>Clupanodonyl carnitine</v>
          </cell>
        </row>
        <row r="4885">
          <cell r="A4885" t="str">
            <v>cmpntm2amep_c</v>
          </cell>
          <cell r="B4885" t="str">
            <v>cmpntm2amep</v>
          </cell>
          <cell r="C4885" t="str">
            <v>CMP-N-trimethyl-2-aminoethylphosphonate</v>
          </cell>
        </row>
        <row r="4886">
          <cell r="A4886" t="str">
            <v>dak2gpe_hs_c</v>
          </cell>
          <cell r="B4886" t="str">
            <v>dak2gpe_hs</v>
          </cell>
          <cell r="C4886" t="str">
            <v>1-alkenyl 2-acylglycerol 3-phosphoethanolamine plasmalogen (homo sapiens)</v>
          </cell>
        </row>
        <row r="4887">
          <cell r="A4887" t="str">
            <v>dedoldp_U_c</v>
          </cell>
          <cell r="B4887" t="str">
            <v>dedoldp_U</v>
          </cell>
          <cell r="C4887" t="str">
            <v>Dehydrodolichol diphosphate, human uterine homolog</v>
          </cell>
        </row>
        <row r="4888">
          <cell r="A4888" t="str">
            <v>dedolp__L_c</v>
          </cell>
          <cell r="B4888" t="str">
            <v>dedolp__L</v>
          </cell>
          <cell r="C4888" t="str">
            <v>Dehydrodolichol phosphate, human liver homolog</v>
          </cell>
        </row>
        <row r="4889">
          <cell r="A4889" t="str">
            <v>dmhptcoa_c</v>
          </cell>
          <cell r="B4889" t="str">
            <v>dmhptcoa</v>
          </cell>
          <cell r="C4889" t="str">
            <v>2,6 dimethylheptanoyl-CoA</v>
          </cell>
        </row>
        <row r="4890">
          <cell r="A4890" t="str">
            <v>dmnoncoa_c</v>
          </cell>
          <cell r="B4890" t="str">
            <v>dmnoncoa</v>
          </cell>
          <cell r="C4890" t="str">
            <v>4,8 dimethylnonanoyl-CoA</v>
          </cell>
        </row>
        <row r="4891">
          <cell r="A4891" t="str">
            <v>dolglcp_U_c</v>
          </cell>
          <cell r="B4891" t="str">
            <v>dolglcp_U</v>
          </cell>
          <cell r="C4891" t="str">
            <v>Dolichyl beta-D-glucosyl phosphate, human uterine homolog</v>
          </cell>
        </row>
        <row r="4892">
          <cell r="A4892" t="str">
            <v>dolichol__L_c</v>
          </cell>
          <cell r="B4892" t="str">
            <v>dolichol__L</v>
          </cell>
          <cell r="C4892" t="str">
            <v>Dolichol, human liver homolog</v>
          </cell>
        </row>
        <row r="4893">
          <cell r="A4893" t="str">
            <v>dolp_U_c</v>
          </cell>
          <cell r="B4893" t="str">
            <v>dolp_U</v>
          </cell>
          <cell r="C4893" t="str">
            <v>Dolichol phosphate, human uterine homolog</v>
          </cell>
        </row>
        <row r="4894">
          <cell r="A4894" t="str">
            <v>dopasf_c</v>
          </cell>
          <cell r="B4894" t="str">
            <v>dopasf</v>
          </cell>
          <cell r="C4894" t="str">
            <v>Dopamine 3-O-sulfate</v>
          </cell>
        </row>
        <row r="4895">
          <cell r="A4895" t="str">
            <v>eaflatoxin_c</v>
          </cell>
          <cell r="B4895" t="str">
            <v>eaflatoxin</v>
          </cell>
          <cell r="C4895" t="str">
            <v>8,9 epxoy aflatoxin B1</v>
          </cell>
        </row>
        <row r="4896">
          <cell r="A4896" t="str">
            <v>eicostetcoa_c</v>
          </cell>
          <cell r="B4896" t="str">
            <v>eicostetcoa</v>
          </cell>
          <cell r="C4896" t="str">
            <v>Eicosatetranoyl coenzyme A</v>
          </cell>
        </row>
        <row r="4897">
          <cell r="A4897" t="str">
            <v>estradiolglc_c</v>
          </cell>
          <cell r="B4897" t="str">
            <v>estradiolglc</v>
          </cell>
          <cell r="C4897" t="str">
            <v>17beta-estradiol 3-glucosiduronic acid</v>
          </cell>
        </row>
        <row r="4898">
          <cell r="A4898" t="str">
            <v>f5hoxkyn_c</v>
          </cell>
          <cell r="B4898" t="str">
            <v>f5hoxkyn</v>
          </cell>
          <cell r="C4898" t="str">
            <v>Formyl-5-hydroxykynurenamine</v>
          </cell>
        </row>
        <row r="4899">
          <cell r="A4899" t="str">
            <v>fuc13galacglcgal14acglcgalgluside_hs_c</v>
          </cell>
          <cell r="B4899" t="str">
            <v>fuc13galacglcgal14acglcgalgluside_hs</v>
          </cell>
          <cell r="C4899" t="str">
            <v>III3Fuc-nLc6Cer</v>
          </cell>
        </row>
        <row r="4900">
          <cell r="A4900" t="str">
            <v>fuc14galacglcgalgluside_hs_c</v>
          </cell>
          <cell r="B4900" t="str">
            <v>fuc14galacglcgalgluside_hs</v>
          </cell>
          <cell r="C4900" t="str">
            <v>Lea glycolipid</v>
          </cell>
        </row>
        <row r="4901">
          <cell r="A4901" t="str">
            <v>fucacgalfucgalacglcgalgluside_hs_c</v>
          </cell>
          <cell r="B4901" t="str">
            <v>fucacgalfucgalacglcgalgluside_hs</v>
          </cell>
          <cell r="C4901" t="str">
            <v>(Gal)2 (GalNAc)1 (Glc)1 (GlcNAc)1 (LFuc)2 (Cer)1</v>
          </cell>
        </row>
        <row r="4902">
          <cell r="A4902" t="str">
            <v>fucfucfucgalacglc13galacglcgal14acglcgalgluside_hs_c</v>
          </cell>
          <cell r="B4902" t="str">
            <v>fucfucfucgalacglc13galacglcgal14acglcgalgluside_hs</v>
          </cell>
          <cell r="C4902" t="str">
            <v>(Gal)4 (Glc)1 (GlcNAc)3 (LFuc)3 (Cer)1</v>
          </cell>
        </row>
        <row r="4903">
          <cell r="A4903" t="str">
            <v>galacglcgalgbside_hs_c</v>
          </cell>
          <cell r="B4903" t="str">
            <v>galacglcgalgbside_hs</v>
          </cell>
          <cell r="C4903" t="str">
            <v>Gal-GlcNAc-Gal globoside (homo sapiens)</v>
          </cell>
        </row>
        <row r="4904">
          <cell r="A4904" t="str">
            <v>galfucgalacglcgal14acglcgalgluside_hs_c</v>
          </cell>
          <cell r="B4904" t="str">
            <v>galfucgalacglcgal14acglcgalgluside_hs</v>
          </cell>
          <cell r="C4904" t="str">
            <v>(Gal)4 (Glc)1 (GlcNAc)2 (LFuc)1 (Cer)1</v>
          </cell>
        </row>
        <row r="4905">
          <cell r="A4905" t="str">
            <v>gdchola_c</v>
          </cell>
          <cell r="B4905" t="str">
            <v>gdchola</v>
          </cell>
          <cell r="C4905" t="str">
            <v>Glycochenodeoxycholate</v>
          </cell>
        </row>
        <row r="4906">
          <cell r="A4906" t="str">
            <v>glac_c</v>
          </cell>
          <cell r="B4906" t="str">
            <v>glac</v>
          </cell>
          <cell r="C4906" t="str">
            <v>D-glucurono-6,3-lactone</v>
          </cell>
        </row>
        <row r="4907">
          <cell r="A4907" t="str">
            <v>gluside_hs_c</v>
          </cell>
          <cell r="B4907" t="str">
            <v>gluside_hs</v>
          </cell>
          <cell r="C4907" t="str">
            <v>Glucocerebroside (homo sapiens)</v>
          </cell>
        </row>
        <row r="4908">
          <cell r="A4908" t="str">
            <v>glyc__S_c</v>
          </cell>
          <cell r="B4908" t="str">
            <v>glyc__S</v>
          </cell>
          <cell r="C4908" t="str">
            <v>(S)-Glycerate</v>
          </cell>
        </row>
        <row r="4909">
          <cell r="A4909" t="str">
            <v>glygn2_c</v>
          </cell>
          <cell r="B4909" t="str">
            <v>glygn2</v>
          </cell>
          <cell r="C4909" t="str">
            <v>Glycogen, structure 2 (glycogenin-1,6-{7[1,4-Glc], 4[1,4-Glc]})</v>
          </cell>
        </row>
        <row r="4910">
          <cell r="A4910" t="str">
            <v>gp1c_hs_c</v>
          </cell>
          <cell r="B4910" t="str">
            <v>gp1c_hs</v>
          </cell>
          <cell r="C4910" t="str">
            <v>GP1c (homo sapiens)</v>
          </cell>
        </row>
        <row r="4911">
          <cell r="A4911" t="str">
            <v>gp1calpha_hs_c</v>
          </cell>
          <cell r="B4911" t="str">
            <v>gp1calpha_hs</v>
          </cell>
          <cell r="C4911" t="str">
            <v>GP1c alpha  (homo sapiens)</v>
          </cell>
        </row>
        <row r="4912">
          <cell r="A4912" t="str">
            <v>gt1a_hs_c</v>
          </cell>
          <cell r="B4912" t="str">
            <v>gt1a_hs</v>
          </cell>
          <cell r="C4912" t="str">
            <v>GT1a (homo sapiens)</v>
          </cell>
        </row>
        <row r="4913">
          <cell r="A4913" t="str">
            <v>gudac_c</v>
          </cell>
          <cell r="B4913" t="str">
            <v>gudac</v>
          </cell>
          <cell r="C4913" t="str">
            <v>Guanidinoacetate</v>
          </cell>
        </row>
        <row r="4914">
          <cell r="A4914" t="str">
            <v>hcoumarin_c</v>
          </cell>
          <cell r="B4914" t="str">
            <v>hcoumarin</v>
          </cell>
          <cell r="C4914" t="str">
            <v>Umbelliferone; 7-Hydroxy-2H-1-Benzopyran-2-one</v>
          </cell>
        </row>
        <row r="4915">
          <cell r="A4915" t="str">
            <v>hdd2crn_c</v>
          </cell>
          <cell r="B4915" t="str">
            <v>hdd2crn</v>
          </cell>
          <cell r="C4915" t="str">
            <v>Trans-Hexadec-2-enoyl carnitine</v>
          </cell>
        </row>
        <row r="4916">
          <cell r="A4916" t="str">
            <v>hretn_c</v>
          </cell>
          <cell r="B4916" t="str">
            <v>hretn</v>
          </cell>
          <cell r="C4916" t="str">
            <v>4 hydroxy retinoic acid</v>
          </cell>
        </row>
        <row r="4917">
          <cell r="A4917" t="str">
            <v>htaxol_c</v>
          </cell>
          <cell r="B4917" t="str">
            <v>htaxol</v>
          </cell>
          <cell r="C4917" t="str">
            <v>Hydroxylated taxol</v>
          </cell>
        </row>
        <row r="4918">
          <cell r="A4918" t="str">
            <v>hyptaur_c</v>
          </cell>
          <cell r="B4918" t="str">
            <v>hyptaur</v>
          </cell>
          <cell r="C4918" t="str">
            <v>Hypotaurine; 2-Aminoethanesulfinic acid</v>
          </cell>
        </row>
        <row r="4919">
          <cell r="A4919" t="str">
            <v>i_c</v>
          </cell>
          <cell r="B4919" t="str">
            <v>i</v>
          </cell>
          <cell r="C4919" t="str">
            <v>I c</v>
          </cell>
        </row>
        <row r="4920">
          <cell r="A4920" t="str">
            <v>kdnp_c</v>
          </cell>
          <cell r="B4920" t="str">
            <v>kdnp</v>
          </cell>
          <cell r="C4920" t="str">
            <v>2-keto-3-deoxy-D-glycero-D-galactononic acid 9-phosphate</v>
          </cell>
        </row>
        <row r="4921">
          <cell r="A4921" t="str">
            <v>lneldc_c</v>
          </cell>
          <cell r="B4921" t="str">
            <v>lneldc</v>
          </cell>
          <cell r="C4921" t="str">
            <v>Linoelaidic acid (all trans C18:2)</v>
          </cell>
        </row>
        <row r="4922">
          <cell r="A4922" t="str">
            <v>lneldcACP_c</v>
          </cell>
          <cell r="B4922" t="str">
            <v>lneldcACP</v>
          </cell>
          <cell r="C4922" t="str">
            <v>Linoelaidic acid ACP (all trans)</v>
          </cell>
        </row>
        <row r="4923">
          <cell r="A4923" t="str">
            <v>lneldccrn_c</v>
          </cell>
          <cell r="B4923" t="str">
            <v>lneldccrn</v>
          </cell>
          <cell r="C4923" t="str">
            <v>Linoelaidyl carnitine</v>
          </cell>
        </row>
        <row r="4924">
          <cell r="A4924" t="str">
            <v>melanin_c</v>
          </cell>
          <cell r="B4924" t="str">
            <v>melanin</v>
          </cell>
          <cell r="C4924" t="str">
            <v>Melanin c</v>
          </cell>
        </row>
        <row r="4925">
          <cell r="A4925" t="str">
            <v>mhista_c</v>
          </cell>
          <cell r="B4925" t="str">
            <v>mhista</v>
          </cell>
          <cell r="C4925" t="str">
            <v>N-Methylhistamine</v>
          </cell>
        </row>
        <row r="4926">
          <cell r="A4926" t="str">
            <v>mi1345p_c</v>
          </cell>
          <cell r="B4926" t="str">
            <v>mi1345p</v>
          </cell>
          <cell r="C4926" t="str">
            <v>1D myo Inositol 1 3 4 5 tetrakisphosphate C6H8O18P4</v>
          </cell>
        </row>
        <row r="4927">
          <cell r="A4927" t="str">
            <v>mi14p_c</v>
          </cell>
          <cell r="B4927" t="str">
            <v>mi14p</v>
          </cell>
          <cell r="C4927" t="str">
            <v>1D-myo-Inositol 1,4-bisphosphate</v>
          </cell>
        </row>
        <row r="4928">
          <cell r="A4928" t="str">
            <v>mpdol_U_c</v>
          </cell>
          <cell r="B4928" t="str">
            <v>mpdol_U</v>
          </cell>
          <cell r="C4928" t="str">
            <v>Beta-D-Mannosyldiacetylchitobiosyldiphosphodolichol, human uterine homolog</v>
          </cell>
        </row>
        <row r="4929">
          <cell r="A4929" t="str">
            <v>n2m2nm_c</v>
          </cell>
          <cell r="B4929" t="str">
            <v>n2m2nm</v>
          </cell>
          <cell r="C4929" t="str">
            <v>N2m2nmasn (w/o peptide linkage)</v>
          </cell>
        </row>
        <row r="4930">
          <cell r="A4930" t="str">
            <v>naglc2p_U_c</v>
          </cell>
          <cell r="B4930" t="str">
            <v>naglc2p_U</v>
          </cell>
          <cell r="C4930" t="str">
            <v>N-Acetyl-D-glucosaminyldiphosphodolichol, human uterine homolog</v>
          </cell>
        </row>
        <row r="4931">
          <cell r="A4931" t="str">
            <v>oagt3_hs_c</v>
          </cell>
          <cell r="B4931" t="str">
            <v>oagt3_hs</v>
          </cell>
          <cell r="C4931" t="str">
            <v>9-O-Acetylated GT3 (homo sapiens)</v>
          </cell>
        </row>
        <row r="4932">
          <cell r="A4932" t="str">
            <v>onpthl_c</v>
          </cell>
          <cell r="B4932" t="str">
            <v>onpthl</v>
          </cell>
          <cell r="C4932" t="str">
            <v>Naphthalene epoxide</v>
          </cell>
        </row>
        <row r="4933">
          <cell r="A4933" t="str">
            <v>oretn_c</v>
          </cell>
          <cell r="B4933" t="str">
            <v>oretn</v>
          </cell>
          <cell r="C4933" t="str">
            <v>4-oxo-retonoic acid</v>
          </cell>
        </row>
        <row r="4934">
          <cell r="A4934" t="str">
            <v>pail3p_hs_c</v>
          </cell>
          <cell r="B4934" t="str">
            <v>pail3p_hs</v>
          </cell>
          <cell r="C4934" t="str">
            <v>1-Phosphatidyl-1D-myo-inositol 3-phosphate (Homo sapiens)</v>
          </cell>
        </row>
        <row r="4935">
          <cell r="A4935" t="str">
            <v>pail45p_hs_c</v>
          </cell>
          <cell r="B4935" t="str">
            <v>pail45p_hs</v>
          </cell>
          <cell r="C4935" t="str">
            <v>Phosphatidylinositol 4,5-bisphosphate (Homo sapiens)</v>
          </cell>
        </row>
        <row r="4936">
          <cell r="A4936" t="str">
            <v>pail5p_hs_c</v>
          </cell>
          <cell r="B4936" t="str">
            <v>pail5p_hs</v>
          </cell>
          <cell r="C4936" t="str">
            <v>1-Phosphatidyl-1D-myo-inositol 5-phosphate (Homo sapiens)</v>
          </cell>
        </row>
        <row r="4937">
          <cell r="A4937" t="str">
            <v>pcollg5hlys_c</v>
          </cell>
          <cell r="B4937" t="str">
            <v>pcollg5hlys</v>
          </cell>
          <cell r="C4937" t="str">
            <v>Procollagen 5-hydroxy-L-lysine</v>
          </cell>
        </row>
        <row r="4938">
          <cell r="A4938" t="str">
            <v>perillyl_c</v>
          </cell>
          <cell r="B4938" t="str">
            <v>perillyl</v>
          </cell>
          <cell r="C4938" t="str">
            <v>Perillyl alcohol</v>
          </cell>
        </row>
        <row r="4939">
          <cell r="A4939" t="str">
            <v>prist_c</v>
          </cell>
          <cell r="B4939" t="str">
            <v>prist</v>
          </cell>
          <cell r="C4939" t="str">
            <v>Pristanic acid</v>
          </cell>
        </row>
        <row r="4940">
          <cell r="A4940" t="str">
            <v>pristanal_c</v>
          </cell>
          <cell r="B4940" t="str">
            <v>pristanal</v>
          </cell>
          <cell r="C4940" t="str">
            <v>Pristanal c</v>
          </cell>
        </row>
        <row r="4941">
          <cell r="A4941" t="str">
            <v>pro__D_c</v>
          </cell>
          <cell r="B4941" t="str">
            <v>pro__D</v>
          </cell>
          <cell r="C4941" t="str">
            <v>D-Proline</v>
          </cell>
        </row>
        <row r="4942">
          <cell r="A4942" t="str">
            <v>prostge2_c</v>
          </cell>
          <cell r="B4942" t="str">
            <v>prostge2</v>
          </cell>
          <cell r="C4942" t="str">
            <v>Prostaglandin E2</v>
          </cell>
        </row>
        <row r="4943">
          <cell r="A4943" t="str">
            <v>prostgi2_c</v>
          </cell>
          <cell r="B4943" t="str">
            <v>prostgi2</v>
          </cell>
          <cell r="C4943" t="str">
            <v>Prostaglandin I2</v>
          </cell>
        </row>
        <row r="4944">
          <cell r="A4944" t="str">
            <v>retinal_c</v>
          </cell>
          <cell r="B4944" t="str">
            <v>retinal</v>
          </cell>
          <cell r="C4944" t="str">
            <v>All-trans-Retinal</v>
          </cell>
        </row>
        <row r="4945">
          <cell r="A4945" t="str">
            <v>retinal_cis_13_c</v>
          </cell>
          <cell r="B4945" t="str">
            <v>retinal_cis_13</v>
          </cell>
          <cell r="C4945" t="str">
            <v>Cis-13-retinal</v>
          </cell>
        </row>
        <row r="4946">
          <cell r="A4946" t="str">
            <v>retinol_c</v>
          </cell>
          <cell r="B4946" t="str">
            <v>retinol</v>
          </cell>
          <cell r="C4946" t="str">
            <v>All-trans-Retinol</v>
          </cell>
        </row>
        <row r="4947">
          <cell r="A4947" t="str">
            <v>retnglc_c</v>
          </cell>
          <cell r="B4947" t="str">
            <v>retnglc</v>
          </cell>
          <cell r="C4947" t="str">
            <v>Retinoyl glucuronide</v>
          </cell>
        </row>
        <row r="4948">
          <cell r="A4948" t="str">
            <v>seahcys_c</v>
          </cell>
          <cell r="B4948" t="str">
            <v>seahcys</v>
          </cell>
          <cell r="C4948" t="str">
            <v>Se-Adenosylselenohomocysteine</v>
          </cell>
        </row>
        <row r="4949">
          <cell r="A4949" t="str">
            <v>sgalside_hs_c</v>
          </cell>
          <cell r="B4949" t="str">
            <v>sgalside_hs</v>
          </cell>
          <cell r="C4949" t="str">
            <v>Sulfatide galactocerebroside (homo sapiens)</v>
          </cell>
        </row>
        <row r="4950">
          <cell r="A4950" t="str">
            <v>sl__L_c</v>
          </cell>
          <cell r="B4950" t="str">
            <v>sl__L</v>
          </cell>
          <cell r="C4950" t="str">
            <v>Sl  L c</v>
          </cell>
        </row>
        <row r="4951">
          <cell r="A4951" t="str">
            <v>srtn_c</v>
          </cell>
          <cell r="B4951" t="str">
            <v>srtn</v>
          </cell>
          <cell r="C4951" t="str">
            <v>Serotonin</v>
          </cell>
        </row>
        <row r="4952">
          <cell r="A4952" t="str">
            <v>stcrn_c</v>
          </cell>
          <cell r="B4952" t="str">
            <v>stcrn</v>
          </cell>
          <cell r="C4952" t="str">
            <v>Stearoylcarnitine</v>
          </cell>
        </row>
        <row r="4953">
          <cell r="A4953" t="str">
            <v>tethex3_c</v>
          </cell>
          <cell r="B4953" t="str">
            <v>tethex3</v>
          </cell>
          <cell r="C4953" t="str">
            <v>Tetracosahexaenoic acid, n-3</v>
          </cell>
        </row>
        <row r="4954">
          <cell r="A4954" t="str">
            <v>tetpent6coa_c</v>
          </cell>
          <cell r="B4954" t="str">
            <v>tetpent6coa</v>
          </cell>
          <cell r="C4954" t="str">
            <v>Tetracosapentaenoyl coenzyme A, n-6</v>
          </cell>
        </row>
        <row r="4955">
          <cell r="A4955" t="str">
            <v>tettet6crn_c</v>
          </cell>
          <cell r="B4955" t="str">
            <v>tettet6crn</v>
          </cell>
          <cell r="C4955" t="str">
            <v>Tetracosatetraenoyl carnitine</v>
          </cell>
        </row>
        <row r="4956">
          <cell r="A4956" t="str">
            <v>thcrm_hs_c</v>
          </cell>
          <cell r="B4956" t="str">
            <v>thcrm_hs</v>
          </cell>
          <cell r="C4956" t="str">
            <v>Trihexosyl ceramide (homo sapiens)</v>
          </cell>
        </row>
        <row r="4957">
          <cell r="A4957" t="str">
            <v>thcys_c</v>
          </cell>
          <cell r="B4957" t="str">
            <v>thcys</v>
          </cell>
          <cell r="C4957" t="str">
            <v>Thiocysteine</v>
          </cell>
        </row>
        <row r="4958">
          <cell r="A4958" t="str">
            <v>thyox__L_c</v>
          </cell>
          <cell r="B4958" t="str">
            <v>thyox__L</v>
          </cell>
          <cell r="C4958" t="str">
            <v>L-Thyroxine</v>
          </cell>
        </row>
        <row r="4959">
          <cell r="A4959" t="str">
            <v>tmndnccoa_c</v>
          </cell>
          <cell r="B4959" t="str">
            <v>tmndnccoa</v>
          </cell>
          <cell r="C4959" t="str">
            <v>Timnodonyl coenzyme A</v>
          </cell>
        </row>
        <row r="4960">
          <cell r="A4960" t="str">
            <v>tmndnccrn_c</v>
          </cell>
          <cell r="B4960" t="str">
            <v>tmndnccrn</v>
          </cell>
          <cell r="C4960" t="str">
            <v>Timnodonyl carnitine</v>
          </cell>
        </row>
        <row r="4961">
          <cell r="A4961" t="str">
            <v>triodthy_c</v>
          </cell>
          <cell r="B4961" t="str">
            <v>triodthy</v>
          </cell>
          <cell r="C4961" t="str">
            <v>Triiodothyronine</v>
          </cell>
        </row>
        <row r="4962">
          <cell r="A4962" t="str">
            <v>tststerones_c</v>
          </cell>
          <cell r="B4962" t="str">
            <v>tststerones</v>
          </cell>
          <cell r="C4962" t="str">
            <v>Tststerones c</v>
          </cell>
        </row>
        <row r="4963">
          <cell r="A4963" t="str">
            <v>ttc_ggdp_c</v>
          </cell>
          <cell r="B4963" t="str">
            <v>ttc_ggdp</v>
          </cell>
          <cell r="C4963" t="str">
            <v>Trans,trans,cis-Geranylgeranyl diphosphate</v>
          </cell>
        </row>
        <row r="4964">
          <cell r="A4964" t="str">
            <v>vacccrn_c</v>
          </cell>
          <cell r="B4964" t="str">
            <v>vacccrn</v>
          </cell>
          <cell r="C4964" t="str">
            <v>Vaccenyl carnitine</v>
          </cell>
        </row>
        <row r="4965">
          <cell r="A4965" t="str">
            <v>vitd3_c</v>
          </cell>
          <cell r="B4965" t="str">
            <v>vitd3</v>
          </cell>
          <cell r="C4965" t="str">
            <v>Calciol; (+)-Vitamin D3</v>
          </cell>
        </row>
        <row r="4966">
          <cell r="A4966" t="str">
            <v>whddca_c</v>
          </cell>
          <cell r="B4966" t="str">
            <v>whddca</v>
          </cell>
          <cell r="C4966" t="str">
            <v>Omega hydroxy dodecanoate (n-C12:0)</v>
          </cell>
        </row>
        <row r="4967">
          <cell r="A4967" t="str">
            <v>xol7ah2_c</v>
          </cell>
          <cell r="B4967" t="str">
            <v>xol7ah2</v>
          </cell>
          <cell r="C4967" t="str">
            <v>3alpha,7alpha-Dihydroxy-5beta-cholestane</v>
          </cell>
        </row>
        <row r="4968">
          <cell r="A4968" t="str">
            <v>xoltri24_c</v>
          </cell>
          <cell r="B4968" t="str">
            <v>xoltri24</v>
          </cell>
          <cell r="C4968" t="str">
            <v>7-alpha,24(S)-Dihydroxycholesterol</v>
          </cell>
        </row>
        <row r="4969">
          <cell r="A4969" t="str">
            <v>10fthf6glu_e</v>
          </cell>
          <cell r="B4969" t="str">
            <v>10fthf6glu</v>
          </cell>
          <cell r="C4969" t="str">
            <v>10-formyltetrahydrofolate-[Glu](6)</v>
          </cell>
        </row>
        <row r="4970">
          <cell r="A4970" t="str">
            <v>25hvitd3_e</v>
          </cell>
          <cell r="B4970" t="str">
            <v>25hvitd3</v>
          </cell>
          <cell r="C4970" t="str">
            <v>25-Hydroxyvitamin D3</v>
          </cell>
        </row>
        <row r="4971">
          <cell r="A4971" t="str">
            <v>3aib__D_e</v>
          </cell>
          <cell r="B4971" t="str">
            <v>3aib__D</v>
          </cell>
          <cell r="C4971" t="str">
            <v>D-3-Amino-isobutanoate</v>
          </cell>
        </row>
        <row r="4972">
          <cell r="A4972" t="str">
            <v>4mtolbutamide_e</v>
          </cell>
          <cell r="B4972" t="str">
            <v>4mtolbutamide</v>
          </cell>
          <cell r="C4972" t="str">
            <v>4mtolbutamide c</v>
          </cell>
        </row>
        <row r="4973">
          <cell r="A4973" t="str">
            <v>4nphsf_e</v>
          </cell>
          <cell r="B4973" t="str">
            <v>4nphsf</v>
          </cell>
          <cell r="C4973" t="str">
            <v>4-Nitrophenyl sulfate</v>
          </cell>
        </row>
        <row r="4974">
          <cell r="A4974" t="str">
            <v>5thf_e</v>
          </cell>
          <cell r="B4974" t="str">
            <v>5thf</v>
          </cell>
          <cell r="C4974" t="str">
            <v>Pentaglutamyl folate (THF)</v>
          </cell>
        </row>
        <row r="4975">
          <cell r="A4975" t="str">
            <v>Rtotal3_e</v>
          </cell>
          <cell r="B4975" t="str">
            <v>Rtotal3</v>
          </cell>
          <cell r="C4975" t="str">
            <v>R total 3 position</v>
          </cell>
        </row>
        <row r="4976">
          <cell r="A4976" t="str">
            <v>ach_e</v>
          </cell>
          <cell r="B4976" t="str">
            <v>ach</v>
          </cell>
          <cell r="C4976" t="str">
            <v>Acetylcholine</v>
          </cell>
        </row>
        <row r="4977">
          <cell r="A4977" t="str">
            <v>acngalacglcgal14acglcgalgluside_hs_e</v>
          </cell>
          <cell r="B4977" t="str">
            <v>acngalacglcgal14acglcgalgluside_hs</v>
          </cell>
          <cell r="C4977" t="str">
            <v>VI3NeuAc-nLc6Cer</v>
          </cell>
        </row>
        <row r="4978">
          <cell r="A4978" t="str">
            <v>adprbp_e</v>
          </cell>
          <cell r="B4978" t="str">
            <v>adprbp</v>
          </cell>
          <cell r="C4978" t="str">
            <v>ADPribose 2'-phosphate</v>
          </cell>
        </row>
        <row r="4979">
          <cell r="A4979" t="str">
            <v>arachd_e</v>
          </cell>
          <cell r="B4979" t="str">
            <v>arachd</v>
          </cell>
          <cell r="C4979" t="str">
            <v>Arachidonic acid</v>
          </cell>
        </row>
        <row r="4980">
          <cell r="A4980" t="str">
            <v>avite1_e</v>
          </cell>
          <cell r="B4980" t="str">
            <v>avite1</v>
          </cell>
          <cell r="C4980" t="str">
            <v>Alpha-Tocopherol</v>
          </cell>
        </row>
        <row r="4981">
          <cell r="A4981" t="str">
            <v>avite2_e</v>
          </cell>
          <cell r="B4981" t="str">
            <v>avite2</v>
          </cell>
          <cell r="C4981" t="str">
            <v>Alpha-Tocotrienol</v>
          </cell>
        </row>
        <row r="4982">
          <cell r="A4982" t="str">
            <v>bhb_e</v>
          </cell>
          <cell r="B4982" t="str">
            <v>bhb</v>
          </cell>
          <cell r="C4982" t="str">
            <v>(R)-3-Hydroxybutanoate</v>
          </cell>
        </row>
        <row r="4983">
          <cell r="A4983" t="str">
            <v>bildglcur_e</v>
          </cell>
          <cell r="B4983" t="str">
            <v>bildglcur</v>
          </cell>
          <cell r="C4983" t="str">
            <v>Bilirubin beta-diglucuronide</v>
          </cell>
        </row>
        <row r="4984">
          <cell r="A4984" t="str">
            <v>bilirub_e</v>
          </cell>
          <cell r="B4984" t="str">
            <v>bilirub</v>
          </cell>
          <cell r="C4984" t="str">
            <v>Bilirubin cytosol</v>
          </cell>
        </row>
        <row r="4985">
          <cell r="A4985" t="str">
            <v>camp_e</v>
          </cell>
          <cell r="B4985" t="str">
            <v>camp</v>
          </cell>
          <cell r="C4985" t="str">
            <v>CAMP C10H11N5O6P</v>
          </cell>
        </row>
        <row r="4986">
          <cell r="A4986" t="str">
            <v>chtn_e</v>
          </cell>
          <cell r="B4986" t="str">
            <v>chtn</v>
          </cell>
          <cell r="C4986" t="str">
            <v>Chtn c</v>
          </cell>
        </row>
        <row r="4987">
          <cell r="A4987" t="str">
            <v>crtsl_e</v>
          </cell>
          <cell r="B4987" t="str">
            <v>crtsl</v>
          </cell>
          <cell r="C4987" t="str">
            <v>Crtsl c</v>
          </cell>
        </row>
        <row r="4988">
          <cell r="A4988" t="str">
            <v>crtstrn_e</v>
          </cell>
          <cell r="B4988" t="str">
            <v>crtstrn</v>
          </cell>
          <cell r="C4988" t="str">
            <v>Corticosterone</v>
          </cell>
        </row>
        <row r="4989">
          <cell r="A4989" t="str">
            <v>cspg_c_e</v>
          </cell>
          <cell r="B4989" t="str">
            <v>cspg_c</v>
          </cell>
          <cell r="C4989" t="str">
            <v>Chondroitin sulfate C (GalNAc6S-GlcA) proteoglycan</v>
          </cell>
        </row>
        <row r="4990">
          <cell r="A4990" t="str">
            <v>cspg_d_e</v>
          </cell>
          <cell r="B4990" t="str">
            <v>cspg_d</v>
          </cell>
          <cell r="C4990" t="str">
            <v>Chondroitin sulfate D (GlcNAc6S-GlcA2S) proteoglycan</v>
          </cell>
        </row>
        <row r="4991">
          <cell r="A4991" t="str">
            <v>dad_5_e</v>
          </cell>
          <cell r="B4991" t="str">
            <v>dad_5</v>
          </cell>
          <cell r="C4991" t="str">
            <v>5'-Deoxyadenosine</v>
          </cell>
        </row>
        <row r="4992">
          <cell r="A4992" t="str">
            <v>dag_hs_e</v>
          </cell>
          <cell r="B4992" t="str">
            <v>dag_hs</v>
          </cell>
          <cell r="C4992" t="str">
            <v>Diacylglycerol (homo sapiens)</v>
          </cell>
        </row>
        <row r="4993">
          <cell r="A4993" t="str">
            <v>dcsptn1_e</v>
          </cell>
          <cell r="B4993" t="str">
            <v>dcsptn1</v>
          </cell>
          <cell r="C4993" t="str">
            <v>Docosa-4,7,10,13,16-pentaenoic acid (n-6)</v>
          </cell>
        </row>
        <row r="4994">
          <cell r="A4994" t="str">
            <v>debrisoquine_e</v>
          </cell>
          <cell r="B4994" t="str">
            <v>debrisoquine</v>
          </cell>
          <cell r="C4994" t="str">
            <v>Debrisoquine c</v>
          </cell>
        </row>
        <row r="4995">
          <cell r="A4995" t="str">
            <v>dhf_e</v>
          </cell>
          <cell r="B4995" t="str">
            <v>dhf</v>
          </cell>
          <cell r="C4995" t="str">
            <v>7,8-Dihydrofolate</v>
          </cell>
        </row>
        <row r="4996">
          <cell r="A4996" t="str">
            <v>dmantipyrine_e</v>
          </cell>
          <cell r="B4996" t="str">
            <v>dmantipyrine</v>
          </cell>
          <cell r="C4996" t="str">
            <v>Dmantipyrine c</v>
          </cell>
        </row>
        <row r="4997">
          <cell r="A4997" t="str">
            <v>dmhptcrn_e</v>
          </cell>
          <cell r="B4997" t="str">
            <v>dmhptcrn</v>
          </cell>
          <cell r="C4997" t="str">
            <v>2,6 dimethylheptanoyl carnitine</v>
          </cell>
        </row>
        <row r="4998">
          <cell r="A4998" t="str">
            <v>ebastineoh_e</v>
          </cell>
          <cell r="B4998" t="str">
            <v>ebastineoh</v>
          </cell>
          <cell r="C4998" t="str">
            <v>Hydroxylated ebastine</v>
          </cell>
        </row>
        <row r="4999">
          <cell r="A4999" t="str">
            <v>eicostet_e</v>
          </cell>
          <cell r="B4999" t="str">
            <v>eicostet</v>
          </cell>
          <cell r="C4999" t="str">
            <v>Eicosatetranoic acid</v>
          </cell>
        </row>
        <row r="5000">
          <cell r="A5000" t="str">
            <v>estrones_e</v>
          </cell>
          <cell r="B5000" t="str">
            <v>estrones</v>
          </cell>
          <cell r="C5000" t="str">
            <v>Estrone 3-sulfate</v>
          </cell>
        </row>
        <row r="5001">
          <cell r="A5001" t="str">
            <v>fol_e</v>
          </cell>
          <cell r="B5001" t="str">
            <v>fol</v>
          </cell>
          <cell r="C5001" t="str">
            <v>Folate</v>
          </cell>
        </row>
        <row r="5002">
          <cell r="A5002" t="str">
            <v>fucfuc12gal14acglcgalgluside_hs_e</v>
          </cell>
          <cell r="B5002" t="str">
            <v>fucfuc12gal14acglcgalgluside_hs</v>
          </cell>
          <cell r="C5002" t="str">
            <v>Ley glycolipid</v>
          </cell>
        </row>
        <row r="5003">
          <cell r="A5003" t="str">
            <v>gd1c_hs_e</v>
          </cell>
          <cell r="B5003" t="str">
            <v>gd1c_hs</v>
          </cell>
          <cell r="C5003" t="str">
            <v>GD1c (homo sapiens)</v>
          </cell>
        </row>
        <row r="5004">
          <cell r="A5004" t="str">
            <v>gluala_e</v>
          </cell>
          <cell r="B5004" t="str">
            <v>gluala</v>
          </cell>
          <cell r="C5004" t="str">
            <v>5 L Glutamyl L alanine C8H13N2O5</v>
          </cell>
        </row>
        <row r="5005">
          <cell r="A5005" t="str">
            <v>ha_pre1_e</v>
          </cell>
          <cell r="B5005" t="str">
            <v>ha_pre1</v>
          </cell>
          <cell r="C5005" t="str">
            <v>Hyaluronan biosynthesis, precursor 1</v>
          </cell>
        </row>
        <row r="5006">
          <cell r="A5006" t="str">
            <v>hestratriol_e</v>
          </cell>
          <cell r="B5006" t="str">
            <v>hestratriol</v>
          </cell>
          <cell r="C5006" t="str">
            <v>4,17 dihydroxy estradiol</v>
          </cell>
        </row>
        <row r="5007">
          <cell r="A5007" t="str">
            <v>ksi_e</v>
          </cell>
          <cell r="B5007" t="str">
            <v>ksi</v>
          </cell>
          <cell r="C5007" t="str">
            <v>Keratan sulfate I</v>
          </cell>
        </row>
        <row r="5008">
          <cell r="A5008" t="str">
            <v>ksii_core2_e</v>
          </cell>
          <cell r="B5008" t="str">
            <v>ksii_core2</v>
          </cell>
          <cell r="C5008" t="str">
            <v>Keratan sulfate II (core 2-linked)</v>
          </cell>
        </row>
        <row r="5009">
          <cell r="A5009" t="str">
            <v>leuktrA4_e</v>
          </cell>
          <cell r="B5009" t="str">
            <v>leuktrA4</v>
          </cell>
          <cell r="C5009" t="str">
            <v>Leukotriene A4 cytosol</v>
          </cell>
        </row>
        <row r="5010">
          <cell r="A5010" t="str">
            <v>leuktrF4_e</v>
          </cell>
          <cell r="B5010" t="str">
            <v>leuktrF4</v>
          </cell>
          <cell r="C5010" t="str">
            <v>Leukotriene F4 cytosol</v>
          </cell>
        </row>
        <row r="5011">
          <cell r="A5011" t="str">
            <v>lnlncg_e</v>
          </cell>
          <cell r="B5011" t="str">
            <v>lnlncg</v>
          </cell>
          <cell r="C5011" t="str">
            <v>Gamma-linolenic acid</v>
          </cell>
        </row>
        <row r="5012">
          <cell r="A5012" t="str">
            <v>mag_hs_e</v>
          </cell>
          <cell r="B5012" t="str">
            <v>mag_hs</v>
          </cell>
          <cell r="C5012" t="str">
            <v>Monoacylglycerol 2 (homo sapiens)</v>
          </cell>
        </row>
        <row r="5013">
          <cell r="A5013" t="str">
            <v>mepi_e</v>
          </cell>
          <cell r="B5013" t="str">
            <v>mepi</v>
          </cell>
          <cell r="C5013" t="str">
            <v>Metanephrine</v>
          </cell>
        </row>
        <row r="5014">
          <cell r="A5014" t="str">
            <v>mercplaccys_e</v>
          </cell>
          <cell r="B5014" t="str">
            <v>mercplaccys</v>
          </cell>
          <cell r="C5014" t="str">
            <v>3-mercaptolactate-cysteine disulfide</v>
          </cell>
        </row>
        <row r="5015">
          <cell r="A5015" t="str">
            <v>mthgxl_e</v>
          </cell>
          <cell r="B5015" t="str">
            <v>mthgxl</v>
          </cell>
          <cell r="C5015" t="str">
            <v>Methylglyoxal</v>
          </cell>
        </row>
        <row r="5016">
          <cell r="A5016" t="str">
            <v>n2m2nmasn_e</v>
          </cell>
          <cell r="B5016" t="str">
            <v>n2m2nmasn</v>
          </cell>
          <cell r="C5016" t="str">
            <v>N-Acetyl-beta-D-glucosaminyl-1,2-alpha-D-mannosyl-1,3-(N-acetyl-beta-D-glucosaminyl-1,2-alpha-D-mannosyl-1,6)-(N-acetyl-beta-D-glucosaminyl-1,4)-beta-D-mannosyl-1,4-N-acetyl-beta-D-glucosaminyl-R</v>
          </cell>
        </row>
        <row r="5017">
          <cell r="A5017" t="str">
            <v>nrvnc_e</v>
          </cell>
          <cell r="B5017" t="str">
            <v>nrvnc</v>
          </cell>
          <cell r="C5017" t="str">
            <v>Nervonic acid</v>
          </cell>
        </row>
        <row r="5018">
          <cell r="A5018" t="str">
            <v>oagd3_hs_e</v>
          </cell>
          <cell r="B5018" t="str">
            <v>oagd3_hs</v>
          </cell>
          <cell r="C5018" t="str">
            <v>9-O-Acetylated GD3 (homo sapiens)</v>
          </cell>
        </row>
        <row r="5019">
          <cell r="A5019" t="str">
            <v>paf_hs_e</v>
          </cell>
          <cell r="B5019" t="str">
            <v>paf_hs</v>
          </cell>
          <cell r="C5019" t="str">
            <v>1-alkyl 2-acteylglycerol 3-phosphocholine (homo sapiens)</v>
          </cell>
        </row>
        <row r="5020">
          <cell r="A5020" t="str">
            <v>pe_hs_e</v>
          </cell>
          <cell r="B5020" t="str">
            <v>pe_hs</v>
          </cell>
          <cell r="C5020" t="str">
            <v>Phosphatidylethanolamine (homo sapiens)</v>
          </cell>
        </row>
        <row r="5021">
          <cell r="A5021" t="str">
            <v>pglyc_hs_e</v>
          </cell>
          <cell r="B5021" t="str">
            <v>pglyc_hs</v>
          </cell>
          <cell r="C5021" t="str">
            <v>Phosphatidylglycerol (homo sapiens)</v>
          </cell>
        </row>
        <row r="5022">
          <cell r="A5022" t="str">
            <v>ps_hs_e</v>
          </cell>
          <cell r="B5022" t="str">
            <v>ps_hs</v>
          </cell>
          <cell r="C5022" t="str">
            <v>Phosphatidylserine (homo sapiens)</v>
          </cell>
        </row>
        <row r="5023">
          <cell r="A5023" t="str">
            <v>ptdca_e</v>
          </cell>
          <cell r="B5023" t="str">
            <v>ptdca</v>
          </cell>
          <cell r="C5023" t="str">
            <v>Pentadecanoate  C150  C15H29O2</v>
          </cell>
        </row>
        <row r="5024">
          <cell r="A5024" t="str">
            <v>retinol_9_cis_e</v>
          </cell>
          <cell r="B5024" t="str">
            <v>retinol_9_cis</v>
          </cell>
          <cell r="C5024" t="str">
            <v>9-cis-retinol</v>
          </cell>
        </row>
        <row r="5025">
          <cell r="A5025" t="str">
            <v>retn_e</v>
          </cell>
          <cell r="B5025" t="str">
            <v>retn</v>
          </cell>
          <cell r="C5025" t="str">
            <v>Retinoate</v>
          </cell>
        </row>
        <row r="5026">
          <cell r="A5026" t="str">
            <v>retpalm_SPACE_deleted_SPACE_10_09_2005_SPACE_SPACE_06_COLON_18_COLON_49_SPACE_PM_e</v>
          </cell>
          <cell r="B5026" t="str">
            <v>retpalm_SPACE_deleted_SPACE_10_09_2005_SPACE_SPACE_06_COLON_18_COLON_49_SPACE_PM</v>
          </cell>
          <cell r="C5026" t="str">
            <v>Retpalm  LSQBKT deleted 10 FSLASH 09 FSLASH 2005  06:18:49 PM RSQBKT  e</v>
          </cell>
        </row>
        <row r="5027">
          <cell r="A5027" t="str">
            <v>s2l2n2m2masn_e</v>
          </cell>
          <cell r="B5027" t="str">
            <v>s2l2n2m2masn</v>
          </cell>
          <cell r="C5027" t="str">
            <v>De-Fuc form of PA6</v>
          </cell>
        </row>
        <row r="5028">
          <cell r="A5028" t="str">
            <v>sarcs_e</v>
          </cell>
          <cell r="B5028" t="str">
            <v>sarcs</v>
          </cell>
          <cell r="C5028" t="str">
            <v>Sarcosine C3H7NO2</v>
          </cell>
        </row>
        <row r="5029">
          <cell r="A5029" t="str">
            <v>sphs1p_e</v>
          </cell>
          <cell r="B5029" t="str">
            <v>sphs1p</v>
          </cell>
          <cell r="C5029" t="str">
            <v>Sphingosine 1-phosphate</v>
          </cell>
        </row>
        <row r="5030">
          <cell r="A5030" t="str">
            <v>tchola_e</v>
          </cell>
          <cell r="B5030" t="str">
            <v>tchola</v>
          </cell>
          <cell r="C5030" t="str">
            <v>Taurocholic acid C26H45NO7S</v>
          </cell>
        </row>
        <row r="5031">
          <cell r="A5031" t="str">
            <v>tetpent6_e</v>
          </cell>
          <cell r="B5031" t="str">
            <v>tetpent6</v>
          </cell>
          <cell r="C5031" t="str">
            <v>Tetracosapentaenoic acid, n-6</v>
          </cell>
        </row>
        <row r="5032">
          <cell r="A5032" t="str">
            <v>tmndnc_e</v>
          </cell>
          <cell r="B5032" t="str">
            <v>tmndnc</v>
          </cell>
          <cell r="C5032" t="str">
            <v>Timnodonic acid C20:5, n-3</v>
          </cell>
        </row>
        <row r="5033">
          <cell r="A5033" t="str">
            <v>urate_e</v>
          </cell>
          <cell r="B5033" t="str">
            <v>urate</v>
          </cell>
          <cell r="C5033" t="str">
            <v>Urate C5H4N4O3</v>
          </cell>
        </row>
        <row r="5034">
          <cell r="A5034" t="str">
            <v>vacc_e</v>
          </cell>
          <cell r="B5034" t="str">
            <v>vacc</v>
          </cell>
          <cell r="C5034" t="str">
            <v>Vaccenic acid</v>
          </cell>
        </row>
        <row r="5035">
          <cell r="A5035" t="str">
            <v>vitd2_e</v>
          </cell>
          <cell r="B5035" t="str">
            <v>vitd2</v>
          </cell>
          <cell r="C5035" t="str">
            <v>Vitamin D2; ergocalciferol</v>
          </cell>
        </row>
        <row r="5036">
          <cell r="A5036" t="str">
            <v>xoltri25_e</v>
          </cell>
          <cell r="B5036" t="str">
            <v>xoltri25</v>
          </cell>
          <cell r="C5036" t="str">
            <v>7-alpha,25-Dihydroxycholesterol</v>
          </cell>
        </row>
        <row r="5037">
          <cell r="A5037" t="str">
            <v>gtocophe_e</v>
          </cell>
          <cell r="B5037" t="str">
            <v>gtocophe</v>
          </cell>
          <cell r="C5037" t="str">
            <v>Gamma-Tocopherol</v>
          </cell>
        </row>
        <row r="5038">
          <cell r="A5038" t="str">
            <v>accoa_g</v>
          </cell>
          <cell r="B5038" t="str">
            <v>accoa</v>
          </cell>
          <cell r="C5038" t="str">
            <v>Acetyl-CoA</v>
          </cell>
        </row>
        <row r="5039">
          <cell r="A5039" t="str">
            <v>acgagbside_hs_g</v>
          </cell>
          <cell r="B5039" t="str">
            <v>acgagbside_hs</v>
          </cell>
          <cell r="C5039" t="str">
            <v>Alpha GalNAc globoside (homo sapiens)</v>
          </cell>
        </row>
        <row r="5040">
          <cell r="A5040" t="str">
            <v>acgalfucgalacgalfuc12gal14acglcgalgluside_hs_g</v>
          </cell>
          <cell r="B5040" t="str">
            <v>acgalfucgalacgalfuc12gal14acglcgalgluside_hs</v>
          </cell>
          <cell r="C5040" t="str">
            <v>Type IIIA glycolipid</v>
          </cell>
        </row>
        <row r="5041">
          <cell r="A5041" t="str">
            <v>acgalfucgalacglcgal14acglcgalgluside_hs_g</v>
          </cell>
          <cell r="B5041" t="str">
            <v>acgalfucgalacglcgal14acglcgalgluside_hs</v>
          </cell>
          <cell r="C5041" t="str">
            <v>(Gal)3 (GalNAc)1 (Glc)1 (GlcNAc)2 (LFuc)1 (Cer)1</v>
          </cell>
        </row>
        <row r="5042">
          <cell r="A5042" t="str">
            <v>acgbgbside_hs_g</v>
          </cell>
          <cell r="B5042" t="str">
            <v>acgbgbside_hs</v>
          </cell>
          <cell r="C5042" t="str">
            <v>Beta GalNAc globoside (homo sapiens)</v>
          </cell>
        </row>
        <row r="5043">
          <cell r="A5043" t="str">
            <v>acglcgalgbside_hs_g</v>
          </cell>
          <cell r="B5043" t="str">
            <v>acglcgalgbside_hs</v>
          </cell>
          <cell r="C5043" t="str">
            <v>GlcNAc-Gal globoside (homo sapiens)</v>
          </cell>
        </row>
        <row r="5044">
          <cell r="A5044" t="str">
            <v>acglcgalgluside_hs_g</v>
          </cell>
          <cell r="B5044" t="str">
            <v>acglcgalgluside_hs</v>
          </cell>
          <cell r="C5044" t="str">
            <v>(Gal)1 (Glc)1 (GlcNAc)1 (Cer)1</v>
          </cell>
        </row>
        <row r="5045">
          <cell r="A5045" t="str">
            <v>acnacngal14acglcgalgluside_hs_g</v>
          </cell>
          <cell r="B5045" t="str">
            <v>acnacngal14acglcgalgluside_hs</v>
          </cell>
          <cell r="C5045" t="str">
            <v>3',8'-LD1</v>
          </cell>
        </row>
        <row r="5046">
          <cell r="A5046" t="str">
            <v>amp_g</v>
          </cell>
          <cell r="B5046" t="str">
            <v>amp</v>
          </cell>
          <cell r="C5046" t="str">
            <v>AMP C10H12N5O7P</v>
          </cell>
        </row>
        <row r="5047">
          <cell r="A5047" t="str">
            <v>chsterol_g</v>
          </cell>
          <cell r="B5047" t="str">
            <v>chsterol</v>
          </cell>
          <cell r="C5047" t="str">
            <v>Chsterol c</v>
          </cell>
        </row>
        <row r="5048">
          <cell r="A5048" t="str">
            <v>cmp_g</v>
          </cell>
          <cell r="B5048" t="str">
            <v>cmp</v>
          </cell>
          <cell r="C5048" t="str">
            <v>CMP C9H12N3O8P</v>
          </cell>
        </row>
        <row r="5049">
          <cell r="A5049" t="str">
            <v>coa_g</v>
          </cell>
          <cell r="B5049" t="str">
            <v>coa</v>
          </cell>
          <cell r="C5049" t="str">
            <v>Coenzyme A</v>
          </cell>
        </row>
        <row r="5050">
          <cell r="A5050" t="str">
            <v>core6_g</v>
          </cell>
          <cell r="B5050" t="str">
            <v>core6</v>
          </cell>
          <cell r="C5050" t="str">
            <v>Core6 g</v>
          </cell>
        </row>
        <row r="5051">
          <cell r="A5051" t="str">
            <v>core7_g</v>
          </cell>
          <cell r="B5051" t="str">
            <v>core7</v>
          </cell>
          <cell r="C5051" t="str">
            <v>Core7 g</v>
          </cell>
        </row>
        <row r="5052">
          <cell r="A5052" t="str">
            <v>cs_a_b_pre2_g</v>
          </cell>
          <cell r="B5052" t="str">
            <v>cs_a_b_pre2</v>
          </cell>
          <cell r="C5052" t="str">
            <v>Chondroitin sulfate A (GalNAc4S-GlcA) and B (IdoA2S-GalNAc4S), precursor 2</v>
          </cell>
        </row>
        <row r="5053">
          <cell r="A5053" t="str">
            <v>cs_a_b_pre3_g</v>
          </cell>
          <cell r="B5053" t="str">
            <v>cs_a_b_pre3</v>
          </cell>
          <cell r="C5053" t="str">
            <v>Chondroitin sulfate A (GalNAc4S-GlcA) and B (IdoA2S-GalNAc4S), precursor 3</v>
          </cell>
        </row>
        <row r="5054">
          <cell r="A5054" t="str">
            <v>cs_c_d_e_pre1_g</v>
          </cell>
          <cell r="B5054" t="str">
            <v>cs_c_d_e_pre1</v>
          </cell>
          <cell r="C5054" t="str">
            <v>Chondroitin sulfate C (GalNAc6S-GlcA) and D (GlcNAc6S-GlcA2S), precursor 1</v>
          </cell>
        </row>
        <row r="5055">
          <cell r="A5055" t="str">
            <v>cs_e_pre3_g</v>
          </cell>
          <cell r="B5055" t="str">
            <v>cs_e_pre3</v>
          </cell>
          <cell r="C5055" t="str">
            <v>Chondroitin sulfate E (GalNAc4,6diS-GlcA), precursor 3</v>
          </cell>
        </row>
        <row r="5056">
          <cell r="A5056" t="str">
            <v>digalsgalside_hs_g</v>
          </cell>
          <cell r="B5056" t="str">
            <v>digalsgalside_hs</v>
          </cell>
          <cell r="C5056" t="str">
            <v>Digalactosylceramidesulfate</v>
          </cell>
        </row>
        <row r="5057">
          <cell r="A5057" t="str">
            <v>digalside_hs_g</v>
          </cell>
          <cell r="B5057" t="str">
            <v>digalside_hs</v>
          </cell>
          <cell r="C5057" t="str">
            <v>Digalactosylceramide</v>
          </cell>
        </row>
        <row r="5058">
          <cell r="A5058" t="str">
            <v>fuc12gal14acglcgalgluside_hs_g</v>
          </cell>
          <cell r="B5058" t="str">
            <v>fuc12gal14acglcgalgluside_hs</v>
          </cell>
          <cell r="C5058" t="str">
            <v>Type IIH glycolipid</v>
          </cell>
        </row>
        <row r="5059">
          <cell r="A5059" t="str">
            <v>fucfuc132galacglcgal14acglcgalgluside_hs_g</v>
          </cell>
          <cell r="B5059" t="str">
            <v>fucfuc132galacglcgal14acglcgalgluside_hs</v>
          </cell>
          <cell r="C5059" t="str">
            <v>V3Fuc,III3Fuc-nLc6Cer</v>
          </cell>
        </row>
        <row r="5060">
          <cell r="A5060" t="str">
            <v>fucfucfucgalacglcgal14acglcgalgluside_hs_g</v>
          </cell>
          <cell r="B5060" t="str">
            <v>fucfucfucgalacglcgal14acglcgalgluside_hs</v>
          </cell>
          <cell r="C5060" t="str">
            <v>(Gal)3 (Glc)1 (GlcNAc)2 (LFuc)3 (Cer)1</v>
          </cell>
        </row>
        <row r="5061">
          <cell r="A5061" t="str">
            <v>fucgal14acglcgalgluside_hs_g</v>
          </cell>
          <cell r="B5061" t="str">
            <v>fucgal14acglcgalgluside_hs</v>
          </cell>
          <cell r="C5061" t="str">
            <v>Lacto-N-fucopentaosyl III ceramide</v>
          </cell>
        </row>
        <row r="5062">
          <cell r="A5062" t="str">
            <v>fucgalacgalfuc12gal14acglcgalgluside_hs_g</v>
          </cell>
          <cell r="B5062" t="str">
            <v>fucgalacgalfuc12gal14acglcgalgluside_hs</v>
          </cell>
          <cell r="C5062" t="str">
            <v>Type IIIH glycolipid</v>
          </cell>
        </row>
        <row r="5063">
          <cell r="A5063" t="str">
            <v>fucgalgbside_hs_g</v>
          </cell>
          <cell r="B5063" t="str">
            <v>fucgalgbside_hs</v>
          </cell>
          <cell r="C5063" t="str">
            <v>Fucosyl galactosylgloboside (homo sapiens)</v>
          </cell>
        </row>
        <row r="5064">
          <cell r="A5064" t="str">
            <v>g1m7masnB_g</v>
          </cell>
          <cell r="B5064" t="str">
            <v>g1m7masnB</v>
          </cell>
          <cell r="C5064" t="str">
            <v>Glucosyl-(alpha-D-mannosyl)7-beta-D-mannosyl-diacetylchitobiosyl-L-asparagine, isoform B (protein)</v>
          </cell>
        </row>
        <row r="5065">
          <cell r="A5065" t="str">
            <v>g1m8masn_g</v>
          </cell>
          <cell r="B5065" t="str">
            <v>g1m8masn</v>
          </cell>
          <cell r="C5065" t="str">
            <v>(alpha-D-Glucosyl)-(alpha-D-mannosyl)8-beta-D-mannosyl-diacetylchitobiosyl-L-asparagine (protein)</v>
          </cell>
        </row>
        <row r="5066">
          <cell r="A5066" t="str">
            <v>ga1_hs_g</v>
          </cell>
          <cell r="B5066" t="str">
            <v>ga1_hs</v>
          </cell>
          <cell r="C5066" t="str">
            <v>GA1 (homo sapiens)</v>
          </cell>
        </row>
        <row r="5067">
          <cell r="A5067" t="str">
            <v>ga2_hs_g</v>
          </cell>
          <cell r="B5067" t="str">
            <v>ga2_hs</v>
          </cell>
          <cell r="C5067" t="str">
            <v>GA2 (homo sapiens)</v>
          </cell>
        </row>
        <row r="5068">
          <cell r="A5068" t="str">
            <v>galacgalfuc12gal14acglcgalgluside_hs_g</v>
          </cell>
          <cell r="B5068" t="str">
            <v>galacgalfuc12gal14acglcgalgluside_hs</v>
          </cell>
          <cell r="C5068" t="str">
            <v>(Gal)3 (GalNAc)1 (Glc)1 (GlcNAc)1 (LFuc)1 (Cer)1</v>
          </cell>
        </row>
        <row r="5069">
          <cell r="A5069" t="str">
            <v>galgalthcrm_hs_g</v>
          </cell>
          <cell r="B5069" t="str">
            <v>galgalthcrm_hs</v>
          </cell>
          <cell r="C5069" t="str">
            <v>Gal-Gal-Gal-Gal-Glc-Cer (homo sapiens)</v>
          </cell>
        </row>
        <row r="5070">
          <cell r="A5070" t="str">
            <v>galgluside_hs_g</v>
          </cell>
          <cell r="B5070" t="str">
            <v>galgluside_hs</v>
          </cell>
          <cell r="C5070" t="str">
            <v>Galactosyl glucosyl ceramide</v>
          </cell>
        </row>
        <row r="5071">
          <cell r="A5071" t="str">
            <v>gbside_hs_g</v>
          </cell>
          <cell r="B5071" t="str">
            <v>gbside_hs</v>
          </cell>
          <cell r="C5071" t="str">
            <v>Globoside (homo sapiens)</v>
          </cell>
        </row>
        <row r="5072">
          <cell r="A5072" t="str">
            <v>gd1a_hs_g</v>
          </cell>
          <cell r="B5072" t="str">
            <v>gd1a_hs</v>
          </cell>
          <cell r="C5072" t="str">
            <v>GD1a (homo sapiens)</v>
          </cell>
        </row>
        <row r="5073">
          <cell r="A5073" t="str">
            <v>gd1b2_hs_g</v>
          </cell>
          <cell r="B5073" t="str">
            <v>gd1b2_hs</v>
          </cell>
          <cell r="C5073" t="str">
            <v>GD1beta (homo sapiens)</v>
          </cell>
        </row>
        <row r="5074">
          <cell r="A5074" t="str">
            <v>glc__D_g</v>
          </cell>
          <cell r="B5074" t="str">
            <v>glc__D</v>
          </cell>
          <cell r="C5074" t="str">
            <v>D-Glucose</v>
          </cell>
        </row>
        <row r="5075">
          <cell r="A5075" t="str">
            <v>glc1man_g</v>
          </cell>
          <cell r="B5075" t="str">
            <v>glc1man</v>
          </cell>
          <cell r="C5075" t="str">
            <v>Glucose-1,3-mannose oligosaccharide</v>
          </cell>
        </row>
        <row r="5076">
          <cell r="A5076" t="str">
            <v>gm1b_hs_g</v>
          </cell>
          <cell r="B5076" t="str">
            <v>gm1b_hs</v>
          </cell>
          <cell r="C5076" t="str">
            <v>GM1b (homo sapiens)</v>
          </cell>
        </row>
        <row r="5077">
          <cell r="A5077" t="str">
            <v>gm2a_hs_g</v>
          </cell>
          <cell r="B5077" t="str">
            <v>gm2a_hs</v>
          </cell>
          <cell r="C5077" t="str">
            <v>GM2alpha (homo sapiens)</v>
          </cell>
        </row>
        <row r="5078">
          <cell r="A5078" t="str">
            <v>gq1balpha_hs_g</v>
          </cell>
          <cell r="B5078" t="str">
            <v>gq1balpha_hs</v>
          </cell>
          <cell r="C5078" t="str">
            <v>GQ1balpha (homo sapiens)</v>
          </cell>
        </row>
        <row r="5079">
          <cell r="A5079" t="str">
            <v>gt3_hs_g</v>
          </cell>
          <cell r="B5079" t="str">
            <v>gt3_hs</v>
          </cell>
          <cell r="C5079" t="str">
            <v>GT3 (homo sapiens)</v>
          </cell>
        </row>
        <row r="5080">
          <cell r="A5080" t="str">
            <v>hs_pre12_g</v>
          </cell>
          <cell r="B5080" t="str">
            <v>hs_pre12</v>
          </cell>
          <cell r="C5080" t="str">
            <v>Heparan sulfate, precursor 12</v>
          </cell>
        </row>
        <row r="5081">
          <cell r="A5081" t="str">
            <v>hs_pre2_g</v>
          </cell>
          <cell r="B5081" t="str">
            <v>hs_pre2</v>
          </cell>
          <cell r="C5081" t="str">
            <v>Heparan sulfate, precursor 2</v>
          </cell>
        </row>
        <row r="5082">
          <cell r="A5082" t="str">
            <v>hs_pre3_g</v>
          </cell>
          <cell r="B5082" t="str">
            <v>hs_pre3</v>
          </cell>
          <cell r="C5082" t="str">
            <v>Heparan sulfate, precursor 3</v>
          </cell>
        </row>
        <row r="5083">
          <cell r="A5083" t="str">
            <v>hs_pre4_g</v>
          </cell>
          <cell r="B5083" t="str">
            <v>hs_pre4</v>
          </cell>
          <cell r="C5083" t="str">
            <v>Heparan sulfate, precursor 4</v>
          </cell>
        </row>
        <row r="5084">
          <cell r="A5084" t="str">
            <v>hs_pre6_g</v>
          </cell>
          <cell r="B5084" t="str">
            <v>hs_pre6</v>
          </cell>
          <cell r="C5084" t="str">
            <v>Heparan sulfate, precursor 6</v>
          </cell>
        </row>
        <row r="5085">
          <cell r="A5085" t="str">
            <v>k_g</v>
          </cell>
          <cell r="B5085" t="str">
            <v>k</v>
          </cell>
          <cell r="C5085" t="str">
            <v>Potassium</v>
          </cell>
        </row>
        <row r="5086">
          <cell r="A5086" t="str">
            <v>ksi_pre11_g</v>
          </cell>
          <cell r="B5086" t="str">
            <v>ksi_pre11</v>
          </cell>
          <cell r="C5086" t="str">
            <v>Keratan sulfate I biosynthesis, precursor 11</v>
          </cell>
        </row>
        <row r="5087">
          <cell r="A5087" t="str">
            <v>ksi_pre12_g</v>
          </cell>
          <cell r="B5087" t="str">
            <v>ksi_pre12</v>
          </cell>
          <cell r="C5087" t="str">
            <v>Keratan sulfate I biosynthesis, precursor 12</v>
          </cell>
        </row>
        <row r="5088">
          <cell r="A5088" t="str">
            <v>ksi_pre15_g</v>
          </cell>
          <cell r="B5088" t="str">
            <v>ksi_pre15</v>
          </cell>
          <cell r="C5088" t="str">
            <v>Keratan sulfate I biosynthesis, precursor 15</v>
          </cell>
        </row>
        <row r="5089">
          <cell r="A5089" t="str">
            <v>ksi_pre16_g</v>
          </cell>
          <cell r="B5089" t="str">
            <v>ksi_pre16</v>
          </cell>
          <cell r="C5089" t="str">
            <v>Keratan sulfate I biosynthesis, precursor 16</v>
          </cell>
        </row>
        <row r="5090">
          <cell r="A5090" t="str">
            <v>ksi_pre18_g</v>
          </cell>
          <cell r="B5090" t="str">
            <v>ksi_pre18</v>
          </cell>
          <cell r="C5090" t="str">
            <v>Keratan sulfate I biosynthesis, precursor 18</v>
          </cell>
        </row>
        <row r="5091">
          <cell r="A5091" t="str">
            <v>ksi_pre19_g</v>
          </cell>
          <cell r="B5091" t="str">
            <v>ksi_pre19</v>
          </cell>
          <cell r="C5091" t="str">
            <v>Keratan sulfate I biosynthesis, precursor 19</v>
          </cell>
        </row>
        <row r="5092">
          <cell r="A5092" t="str">
            <v>ksi_pre2_g</v>
          </cell>
          <cell r="B5092" t="str">
            <v>ksi_pre2</v>
          </cell>
          <cell r="C5092" t="str">
            <v>Keratan sulfate I biosynthesis, precursor 2</v>
          </cell>
        </row>
        <row r="5093">
          <cell r="A5093" t="str">
            <v>ksi_pre21_g</v>
          </cell>
          <cell r="B5093" t="str">
            <v>ksi_pre21</v>
          </cell>
          <cell r="C5093" t="str">
            <v>Keratan sulfate I biosynthesis, precursor 21</v>
          </cell>
        </row>
        <row r="5094">
          <cell r="A5094" t="str">
            <v>ksi_pre23_g</v>
          </cell>
          <cell r="B5094" t="str">
            <v>ksi_pre23</v>
          </cell>
          <cell r="C5094" t="str">
            <v>Keratan sulfate I biosynthesis, precursor 23</v>
          </cell>
        </row>
        <row r="5095">
          <cell r="A5095" t="str">
            <v>ksi_pre27_g</v>
          </cell>
          <cell r="B5095" t="str">
            <v>ksi_pre27</v>
          </cell>
          <cell r="C5095" t="str">
            <v>Keratan sulfate I biosynthesis, precursor 27</v>
          </cell>
        </row>
        <row r="5096">
          <cell r="A5096" t="str">
            <v>ksi_pre32_g</v>
          </cell>
          <cell r="B5096" t="str">
            <v>ksi_pre32</v>
          </cell>
          <cell r="C5096" t="str">
            <v>Keratan sulfate I biosynthesis, precursor 32</v>
          </cell>
        </row>
        <row r="5097">
          <cell r="A5097" t="str">
            <v>ksi_pre33_g</v>
          </cell>
          <cell r="B5097" t="str">
            <v>ksi_pre33</v>
          </cell>
          <cell r="C5097" t="str">
            <v>Keratan sulfate I biosynthesis, precursor 33</v>
          </cell>
        </row>
        <row r="5098">
          <cell r="A5098" t="str">
            <v>ksi_pre34_g</v>
          </cell>
          <cell r="B5098" t="str">
            <v>ksi_pre34</v>
          </cell>
          <cell r="C5098" t="str">
            <v>Keratan sulfate I biosynthesis, precursor 34</v>
          </cell>
        </row>
        <row r="5099">
          <cell r="A5099" t="str">
            <v>ksi_pre36_g</v>
          </cell>
          <cell r="B5099" t="str">
            <v>ksi_pre36</v>
          </cell>
          <cell r="C5099" t="str">
            <v>Keratan sulfate I biosynthesis, precursor 36</v>
          </cell>
        </row>
        <row r="5100">
          <cell r="A5100" t="str">
            <v>ksi_pre4_g</v>
          </cell>
          <cell r="B5100" t="str">
            <v>ksi_pre4</v>
          </cell>
          <cell r="C5100" t="str">
            <v>Keratan sulfate I biosynthesis, precursor 4</v>
          </cell>
        </row>
        <row r="5101">
          <cell r="A5101" t="str">
            <v>ksi_pre6_g</v>
          </cell>
          <cell r="B5101" t="str">
            <v>ksi_pre6</v>
          </cell>
          <cell r="C5101" t="str">
            <v>Keratan sulfate I biosynthesis, precursor 6</v>
          </cell>
        </row>
        <row r="5102">
          <cell r="A5102" t="str">
            <v>ksii_core2_pre5_g</v>
          </cell>
          <cell r="B5102" t="str">
            <v>ksii_core2_pre5</v>
          </cell>
          <cell r="C5102" t="str">
            <v>Keratan sulfate II biosynthesis, precursor 5</v>
          </cell>
        </row>
        <row r="5103">
          <cell r="A5103" t="str">
            <v>ksii_core2_pre8_g</v>
          </cell>
          <cell r="B5103" t="str">
            <v>ksii_core2_pre8</v>
          </cell>
          <cell r="C5103" t="str">
            <v>Keratan sulfate II biosynthesis, precursor 8</v>
          </cell>
        </row>
        <row r="5104">
          <cell r="A5104" t="str">
            <v>ksii_core2_pre9_g</v>
          </cell>
          <cell r="B5104" t="str">
            <v>ksii_core2_pre9</v>
          </cell>
          <cell r="C5104" t="str">
            <v>Keratan sulfate II biosynthesis, precursor 9</v>
          </cell>
        </row>
        <row r="5105">
          <cell r="A5105" t="str">
            <v>ksii_core4_pre1_g</v>
          </cell>
          <cell r="B5105" t="str">
            <v>ksii_core4_pre1</v>
          </cell>
          <cell r="C5105" t="str">
            <v>Keratan sulfate II biosynthesis, precursor 1</v>
          </cell>
        </row>
        <row r="5106">
          <cell r="A5106" t="str">
            <v>ksii_core4_pre3_g</v>
          </cell>
          <cell r="B5106" t="str">
            <v>ksii_core4_pre3</v>
          </cell>
          <cell r="C5106" t="str">
            <v>Keratan sulfate II biosynthesis, precursor 3</v>
          </cell>
        </row>
        <row r="5107">
          <cell r="A5107" t="str">
            <v>m4masn_g</v>
          </cell>
          <cell r="B5107" t="str">
            <v>m4masn</v>
          </cell>
          <cell r="C5107" t="str">
            <v>(alpha-D-mannosyl)4-beta-D-mannosyl-diacetylchitobiosyl-L-asparagine (protein)</v>
          </cell>
        </row>
        <row r="5108">
          <cell r="A5108" t="str">
            <v>m5masnB2_g</v>
          </cell>
          <cell r="B5108" t="str">
            <v>m5masnB2</v>
          </cell>
          <cell r="C5108" t="str">
            <v>(alpha-D-mannosyl)5-beta-D-mannosyl-diacetylchitobiosyl-L-asparagine (protein)</v>
          </cell>
        </row>
        <row r="5109">
          <cell r="A5109" t="str">
            <v>m6masnB1_g</v>
          </cell>
          <cell r="B5109" t="str">
            <v>m6masnB1</v>
          </cell>
          <cell r="C5109" t="str">
            <v>(alpha-D-mannosyl)6-beta-D-mannosyl-diacetylchitobiosyl-L-asparagine (protein)</v>
          </cell>
        </row>
        <row r="5110">
          <cell r="A5110" t="str">
            <v>pa_hs_g</v>
          </cell>
          <cell r="B5110" t="str">
            <v>pa_hs</v>
          </cell>
          <cell r="C5110" t="str">
            <v>Phosphatidic acid (homo sapiens)</v>
          </cell>
        </row>
        <row r="5111">
          <cell r="A5111" t="str">
            <v>paps_g</v>
          </cell>
          <cell r="B5111" t="str">
            <v>paps</v>
          </cell>
          <cell r="C5111" t="str">
            <v>3'-Phosphoadenylyl sulfate</v>
          </cell>
        </row>
        <row r="5112">
          <cell r="A5112" t="str">
            <v>sTn_antigen_g</v>
          </cell>
          <cell r="B5112" t="str">
            <v>sTn_antigen</v>
          </cell>
          <cell r="C5112" t="str">
            <v>STn antigen g</v>
          </cell>
        </row>
        <row r="5113">
          <cell r="A5113" t="str">
            <v>sphmyln_hs_g</v>
          </cell>
          <cell r="B5113" t="str">
            <v>sphmyln_hs</v>
          </cell>
          <cell r="C5113" t="str">
            <v>Sphingomyelin (homo sapiens)</v>
          </cell>
        </row>
        <row r="5114">
          <cell r="A5114" t="str">
            <v>udp_g</v>
          </cell>
          <cell r="B5114" t="str">
            <v>udp</v>
          </cell>
          <cell r="C5114" t="str">
            <v>UDP C9H11N2O12P2</v>
          </cell>
        </row>
        <row r="5115">
          <cell r="A5115" t="str">
            <v>udpacgal_g</v>
          </cell>
          <cell r="B5115" t="str">
            <v>udpacgal</v>
          </cell>
          <cell r="C5115" t="str">
            <v>UDP-N-acetyl-D-galactosamine</v>
          </cell>
        </row>
        <row r="5116">
          <cell r="A5116" t="str">
            <v>udpg_g</v>
          </cell>
          <cell r="B5116" t="str">
            <v>udpg</v>
          </cell>
          <cell r="C5116" t="str">
            <v>UDPglucose</v>
          </cell>
        </row>
        <row r="5117">
          <cell r="A5117" t="str">
            <v>udpxyl_g</v>
          </cell>
          <cell r="B5117" t="str">
            <v>udpxyl</v>
          </cell>
          <cell r="C5117" t="str">
            <v>UDP-D-xylose</v>
          </cell>
        </row>
        <row r="5118">
          <cell r="A5118" t="str">
            <v>3amp_l</v>
          </cell>
          <cell r="B5118" t="str">
            <v>3amp</v>
          </cell>
          <cell r="C5118" t="str">
            <v>3  AMP C10H12N5O7P</v>
          </cell>
        </row>
        <row r="5119">
          <cell r="A5119" t="str">
            <v>5dhf_l</v>
          </cell>
          <cell r="B5119" t="str">
            <v>5dhf</v>
          </cell>
          <cell r="C5119" t="str">
            <v>Pentaglutamyl folate (DHF)</v>
          </cell>
        </row>
        <row r="5120">
          <cell r="A5120" t="str">
            <v>6thf_l</v>
          </cell>
          <cell r="B5120" t="str">
            <v>6thf</v>
          </cell>
          <cell r="C5120" t="str">
            <v>Hexaglutamyl folate  (THF)</v>
          </cell>
        </row>
        <row r="5121">
          <cell r="A5121" t="str">
            <v>Ser_Gly_Ala_X_Gly_l</v>
          </cell>
          <cell r="B5121" t="str">
            <v>Ser_Gly_Ala_X_Gly</v>
          </cell>
          <cell r="C5121" t="str">
            <v>Protein-linked serine residue (glycosaminoglycan attachment site)</v>
          </cell>
        </row>
        <row r="5122">
          <cell r="A5122" t="str">
            <v>Ser_Thr_l</v>
          </cell>
          <cell r="B5122" t="str">
            <v>Ser_Thr</v>
          </cell>
          <cell r="C5122" t="str">
            <v>Ser FSLASH Thr g</v>
          </cell>
        </row>
        <row r="5123">
          <cell r="A5123" t="str">
            <v>Tn_antigen_l</v>
          </cell>
          <cell r="B5123" t="str">
            <v>Tn_antigen</v>
          </cell>
          <cell r="C5123" t="str">
            <v>Tn antigen g</v>
          </cell>
        </row>
        <row r="5124">
          <cell r="A5124" t="str">
            <v>acgal_l</v>
          </cell>
          <cell r="B5124" t="str">
            <v>acgal</v>
          </cell>
          <cell r="C5124" t="str">
            <v>N-Acetyl-D-galactosamine</v>
          </cell>
        </row>
        <row r="5125">
          <cell r="A5125" t="str">
            <v>ala__L_l</v>
          </cell>
          <cell r="B5125" t="str">
            <v>ala__L</v>
          </cell>
          <cell r="C5125" t="str">
            <v>L-Alanine</v>
          </cell>
        </row>
        <row r="5126">
          <cell r="A5126" t="str">
            <v>crm_hs_l</v>
          </cell>
          <cell r="B5126" t="str">
            <v>crm_hs</v>
          </cell>
          <cell r="C5126" t="str">
            <v>Ceramide (homo sapiens)</v>
          </cell>
        </row>
        <row r="5127">
          <cell r="A5127" t="str">
            <v>cs_a_l</v>
          </cell>
          <cell r="B5127" t="str">
            <v>cs_a</v>
          </cell>
          <cell r="C5127" t="str">
            <v>Chondroitin sulfate A (GalNAc4S-GlcA), free chain</v>
          </cell>
        </row>
        <row r="5128">
          <cell r="A5128" t="str">
            <v>cs_b_l</v>
          </cell>
          <cell r="B5128" t="str">
            <v>cs_b</v>
          </cell>
          <cell r="C5128" t="str">
            <v>Chondroitin sulfate B / dermatan sulfate (IdoA2S-GalNAc4S), free chain</v>
          </cell>
        </row>
        <row r="5129">
          <cell r="A5129" t="str">
            <v>cs_c_deg1_l</v>
          </cell>
          <cell r="B5129" t="str">
            <v>cs_c_deg1</v>
          </cell>
          <cell r="C5129" t="str">
            <v>Chondroitin sulfate C (GalNAc6S-GlcA), degradation product 1</v>
          </cell>
        </row>
        <row r="5130">
          <cell r="A5130" t="str">
            <v>cs_c_deg2_l</v>
          </cell>
          <cell r="B5130" t="str">
            <v>cs_c_deg2</v>
          </cell>
          <cell r="C5130" t="str">
            <v>Chondroitin sulfate C (GalNAc6S-GlcA), degradation product 2</v>
          </cell>
        </row>
        <row r="5131">
          <cell r="A5131" t="str">
            <v>cs_c_deg5_l</v>
          </cell>
          <cell r="B5131" t="str">
            <v>cs_c_deg5</v>
          </cell>
          <cell r="C5131" t="str">
            <v>Chondroitin sulfate C (GalNAc6S-GlcA), degradation product 5</v>
          </cell>
        </row>
        <row r="5132">
          <cell r="A5132" t="str">
            <v>cs_d_deg5_l</v>
          </cell>
          <cell r="B5132" t="str">
            <v>cs_d_deg5</v>
          </cell>
          <cell r="C5132" t="str">
            <v>Chondroitin sulfate D (GlcNAc6S-GlcA2S), degradation product 5</v>
          </cell>
        </row>
        <row r="5133">
          <cell r="A5133" t="str">
            <v>cs_e_l</v>
          </cell>
          <cell r="B5133" t="str">
            <v>cs_e</v>
          </cell>
          <cell r="C5133" t="str">
            <v>Chondroitin sulfate E (GalNAc4,6diS-GlcA), free chain</v>
          </cell>
        </row>
        <row r="5134">
          <cell r="A5134" t="str">
            <v>cs_e_deg7_l</v>
          </cell>
          <cell r="B5134" t="str">
            <v>cs_e_deg7</v>
          </cell>
          <cell r="C5134" t="str">
            <v>Chondroitin sulfate E (GalNAc4,6diS-GlcA), degradation product 7</v>
          </cell>
        </row>
        <row r="5135">
          <cell r="A5135" t="str">
            <v>cspg_e_l</v>
          </cell>
          <cell r="B5135" t="str">
            <v>cspg_e</v>
          </cell>
          <cell r="C5135" t="str">
            <v>Chondroitin sulfate E (GalNAc4,6diS-GlcA) proteoglycan</v>
          </cell>
        </row>
        <row r="5136">
          <cell r="A5136" t="str">
            <v>cytd_l</v>
          </cell>
          <cell r="B5136" t="str">
            <v>cytd</v>
          </cell>
          <cell r="C5136" t="str">
            <v>Cytidine</v>
          </cell>
        </row>
        <row r="5137">
          <cell r="A5137" t="str">
            <v>fuc__L_l</v>
          </cell>
          <cell r="B5137" t="str">
            <v>fuc__L</v>
          </cell>
          <cell r="C5137" t="str">
            <v>L-Fucose</v>
          </cell>
        </row>
        <row r="5138">
          <cell r="A5138" t="str">
            <v>h_l</v>
          </cell>
          <cell r="B5138" t="str">
            <v>h</v>
          </cell>
          <cell r="C5138" t="str">
            <v>H+</v>
          </cell>
        </row>
        <row r="5139">
          <cell r="A5139" t="str">
            <v>h2o_l</v>
          </cell>
          <cell r="B5139" t="str">
            <v>h2o</v>
          </cell>
          <cell r="C5139" t="str">
            <v>H2O H2O</v>
          </cell>
        </row>
        <row r="5140">
          <cell r="A5140" t="str">
            <v>hs_deg17_l</v>
          </cell>
          <cell r="B5140" t="str">
            <v>hs_deg17</v>
          </cell>
          <cell r="C5140" t="str">
            <v>Heparan sulfate, degradation product 17</v>
          </cell>
        </row>
        <row r="5141">
          <cell r="A5141" t="str">
            <v>hs_deg21_l</v>
          </cell>
          <cell r="B5141" t="str">
            <v>hs_deg21</v>
          </cell>
          <cell r="C5141" t="str">
            <v>Heparan sulfate, degradation product 21</v>
          </cell>
        </row>
        <row r="5142">
          <cell r="A5142" t="str">
            <v>hs_deg23_l</v>
          </cell>
          <cell r="B5142" t="str">
            <v>hs_deg23</v>
          </cell>
          <cell r="C5142" t="str">
            <v>Heparan sulfate, degradation product 23</v>
          </cell>
        </row>
        <row r="5143">
          <cell r="A5143" t="str">
            <v>hs_deg25_l</v>
          </cell>
          <cell r="B5143" t="str">
            <v>hs_deg25</v>
          </cell>
          <cell r="C5143" t="str">
            <v>Heparan sulfate, degradation product 25</v>
          </cell>
        </row>
        <row r="5144">
          <cell r="A5144" t="str">
            <v>hxan_l</v>
          </cell>
          <cell r="B5144" t="str">
            <v>hxan</v>
          </cell>
          <cell r="C5144" t="str">
            <v>Hypoxanthine</v>
          </cell>
        </row>
        <row r="5145">
          <cell r="A5145" t="str">
            <v>idour_l</v>
          </cell>
          <cell r="B5145" t="str">
            <v>idour</v>
          </cell>
          <cell r="C5145" t="str">
            <v>L-Iduronate</v>
          </cell>
        </row>
        <row r="5146">
          <cell r="A5146" t="str">
            <v>ksi_deg10_l</v>
          </cell>
          <cell r="B5146" t="str">
            <v>ksi_deg10</v>
          </cell>
          <cell r="C5146" t="str">
            <v>Keratan sulfate I, degradation product 10</v>
          </cell>
        </row>
        <row r="5147">
          <cell r="A5147" t="str">
            <v>ksi_deg13_l</v>
          </cell>
          <cell r="B5147" t="str">
            <v>ksi_deg13</v>
          </cell>
          <cell r="C5147" t="str">
            <v>Keratan sulfate I, degradation product 13</v>
          </cell>
        </row>
        <row r="5148">
          <cell r="A5148" t="str">
            <v>ksi_deg16_l</v>
          </cell>
          <cell r="B5148" t="str">
            <v>ksi_deg16</v>
          </cell>
          <cell r="C5148" t="str">
            <v>Keratan sulfate I, degradation product 16</v>
          </cell>
        </row>
        <row r="5149">
          <cell r="A5149" t="str">
            <v>ksi_deg25_l</v>
          </cell>
          <cell r="B5149" t="str">
            <v>ksi_deg25</v>
          </cell>
          <cell r="C5149" t="str">
            <v>Keratan sulfate I, degradation product 25</v>
          </cell>
        </row>
        <row r="5150">
          <cell r="A5150" t="str">
            <v>ksi_deg26_l</v>
          </cell>
          <cell r="B5150" t="str">
            <v>ksi_deg26</v>
          </cell>
          <cell r="C5150" t="str">
            <v>Keratan sulfate I, degradation product 26</v>
          </cell>
        </row>
        <row r="5151">
          <cell r="A5151" t="str">
            <v>ksi_deg27_l</v>
          </cell>
          <cell r="B5151" t="str">
            <v>ksi_deg27</v>
          </cell>
          <cell r="C5151" t="str">
            <v>Keratan sulfate I, degradation product 27</v>
          </cell>
        </row>
        <row r="5152">
          <cell r="A5152" t="str">
            <v>ksi_deg29_l</v>
          </cell>
          <cell r="B5152" t="str">
            <v>ksi_deg29</v>
          </cell>
          <cell r="C5152" t="str">
            <v>Keratan sulfate I, degradation product 29</v>
          </cell>
        </row>
        <row r="5153">
          <cell r="A5153" t="str">
            <v>ksi_deg33_l</v>
          </cell>
          <cell r="B5153" t="str">
            <v>ksi_deg33</v>
          </cell>
          <cell r="C5153" t="str">
            <v>Keratan sulfate I, degradation product 33</v>
          </cell>
        </row>
        <row r="5154">
          <cell r="A5154" t="str">
            <v>ksi_deg34_l</v>
          </cell>
          <cell r="B5154" t="str">
            <v>ksi_deg34</v>
          </cell>
          <cell r="C5154" t="str">
            <v>Keratan sulfate I, degradation product 34</v>
          </cell>
        </row>
        <row r="5155">
          <cell r="A5155" t="str">
            <v>ksi_deg41_l</v>
          </cell>
          <cell r="B5155" t="str">
            <v>ksi_deg41</v>
          </cell>
          <cell r="C5155" t="str">
            <v>Keratan sulfate I, degradation product 41</v>
          </cell>
        </row>
        <row r="5156">
          <cell r="A5156" t="str">
            <v>ksii_core4_deg2_l</v>
          </cell>
          <cell r="B5156" t="str">
            <v>ksii_core4_deg2</v>
          </cell>
          <cell r="C5156" t="str">
            <v>Keratan sulfate II (core 4-linked), degradation product 2</v>
          </cell>
        </row>
        <row r="5157">
          <cell r="A5157" t="str">
            <v>l2n2m2mn_l</v>
          </cell>
          <cell r="B5157" t="str">
            <v>l2n2m2mn</v>
          </cell>
          <cell r="C5157" t="str">
            <v>De-Fuc, reducing GlcNAc removed, de-Sia form of PA6 (w/o peptide linkage)</v>
          </cell>
        </row>
        <row r="5158">
          <cell r="A5158" t="str">
            <v>lcts_l</v>
          </cell>
          <cell r="B5158" t="str">
            <v>lcts</v>
          </cell>
          <cell r="C5158" t="str">
            <v>Lactose C12H22O11</v>
          </cell>
        </row>
        <row r="5159">
          <cell r="A5159" t="str">
            <v>malt_l</v>
          </cell>
          <cell r="B5159" t="str">
            <v>malt</v>
          </cell>
          <cell r="C5159" t="str">
            <v>Maltose C12H22O11</v>
          </cell>
        </row>
        <row r="5160">
          <cell r="A5160" t="str">
            <v>mn_l</v>
          </cell>
          <cell r="B5160" t="str">
            <v>mn</v>
          </cell>
          <cell r="C5160" t="str">
            <v>Beta-1,4-mannose-N-acetylglucosamine</v>
          </cell>
        </row>
        <row r="5161">
          <cell r="A5161" t="str">
            <v>s2l2fn2m2masn_l</v>
          </cell>
          <cell r="B5161" t="str">
            <v>s2l2fn2m2masn</v>
          </cell>
          <cell r="C5161" t="str">
            <v>PA6</v>
          </cell>
        </row>
        <row r="5162">
          <cell r="A5162" t="str">
            <v>s2l2n2m2mn_l</v>
          </cell>
          <cell r="B5162" t="str">
            <v>s2l2n2m2mn</v>
          </cell>
          <cell r="C5162" t="str">
            <v>De-Fuc, reducing GlcNAc removed form of PA6 (w/o peptide linkage)</v>
          </cell>
        </row>
        <row r="5163">
          <cell r="A5163" t="str">
            <v>thymd_l</v>
          </cell>
          <cell r="B5163" t="str">
            <v>thymd</v>
          </cell>
          <cell r="C5163" t="str">
            <v>Thymidine C10H14N2O5</v>
          </cell>
        </row>
        <row r="5164">
          <cell r="A5164" t="str">
            <v>ump_l</v>
          </cell>
          <cell r="B5164" t="str">
            <v>ump</v>
          </cell>
          <cell r="C5164" t="str">
            <v>UMP C9H11N2O9P</v>
          </cell>
        </row>
        <row r="5165">
          <cell r="A5165" t="str">
            <v>1a25dhvitd3_m</v>
          </cell>
          <cell r="B5165" t="str">
            <v>1a25dhvitd3</v>
          </cell>
          <cell r="C5165" t="str">
            <v>1-alpha,25-Dihydroxyvitamin D3</v>
          </cell>
        </row>
        <row r="5166">
          <cell r="A5166" t="str">
            <v>2425dhvitd3_m</v>
          </cell>
          <cell r="B5166" t="str">
            <v>2425dhvitd3</v>
          </cell>
          <cell r="C5166" t="str">
            <v>24R,25-Dihydroxyvitamin D3</v>
          </cell>
        </row>
        <row r="5167">
          <cell r="A5167" t="str">
            <v>25hvitd2_m</v>
          </cell>
          <cell r="B5167" t="str">
            <v>25hvitd2</v>
          </cell>
          <cell r="C5167" t="str">
            <v>25-Hydroxyvitamin D2</v>
          </cell>
        </row>
        <row r="5168">
          <cell r="A5168" t="str">
            <v>2aobut_m</v>
          </cell>
          <cell r="B5168" t="str">
            <v>2aobut</v>
          </cell>
          <cell r="C5168" t="str">
            <v>L-2-Amino-3-oxobutanoate</v>
          </cell>
        </row>
        <row r="5169">
          <cell r="A5169" t="str">
            <v>2mb2coa_m</v>
          </cell>
          <cell r="B5169" t="str">
            <v>2mb2coa</v>
          </cell>
          <cell r="C5169" t="str">
            <v>Trans-2-Methylbut-2-enoyl-CoA</v>
          </cell>
        </row>
        <row r="5170">
          <cell r="A5170" t="str">
            <v>2mp2coa_m</v>
          </cell>
          <cell r="B5170" t="str">
            <v>2mp2coa</v>
          </cell>
          <cell r="C5170" t="str">
            <v>2-Methylprop-2-enoyl-CoA</v>
          </cell>
        </row>
        <row r="5171">
          <cell r="A5171" t="str">
            <v>3dpdhb_me_m</v>
          </cell>
          <cell r="B5171" t="str">
            <v>3dpdhb_me</v>
          </cell>
          <cell r="C5171" t="str">
            <v>3-Decaprenyl-4-hydroxy-5-methoxybenzoate</v>
          </cell>
        </row>
        <row r="5172">
          <cell r="A5172" t="str">
            <v>3h26dm5coa_m</v>
          </cell>
          <cell r="B5172" t="str">
            <v>3h26dm5coa</v>
          </cell>
          <cell r="C5172" t="str">
            <v>3-Hydroxy-2,6-dimethyl-5-methylene-heptanoyl-CoA</v>
          </cell>
        </row>
        <row r="5173">
          <cell r="A5173" t="str">
            <v>3hpcoa_m</v>
          </cell>
          <cell r="B5173" t="str">
            <v>3hpcoa</v>
          </cell>
          <cell r="C5173" t="str">
            <v>3-Hydroxypropionyl-CoA</v>
          </cell>
        </row>
        <row r="5174">
          <cell r="A5174" t="str">
            <v>3htmelys_m</v>
          </cell>
          <cell r="B5174" t="str">
            <v>3htmelys</v>
          </cell>
          <cell r="C5174" t="str">
            <v>3-Hydroxy-N6,N6,N6-trimethyl-L-lysine</v>
          </cell>
        </row>
        <row r="5175">
          <cell r="A5175" t="str">
            <v>4aabutn_m</v>
          </cell>
          <cell r="B5175" t="str">
            <v>4aabutn</v>
          </cell>
          <cell r="C5175" t="str">
            <v>4 Acetamidobutanoate C6H10NO3</v>
          </cell>
        </row>
        <row r="5176">
          <cell r="A5176" t="str">
            <v>5dhf_m</v>
          </cell>
          <cell r="B5176" t="str">
            <v>5dhf</v>
          </cell>
          <cell r="C5176" t="str">
            <v>Pentaglutamyl folate (DHF)</v>
          </cell>
        </row>
        <row r="5177">
          <cell r="A5177" t="str">
            <v>6thf_m</v>
          </cell>
          <cell r="B5177" t="str">
            <v>6thf</v>
          </cell>
          <cell r="C5177" t="str">
            <v>Hexaglutamyl folate  (THF)</v>
          </cell>
        </row>
        <row r="5178">
          <cell r="A5178" t="str">
            <v>L2aadp6sa_m</v>
          </cell>
          <cell r="B5178" t="str">
            <v>L2aadp6sa</v>
          </cell>
          <cell r="C5178" t="str">
            <v>L 2 Aminoadipate 6 semialdehyde C6H11NO3</v>
          </cell>
        </row>
        <row r="5179">
          <cell r="A5179" t="str">
            <v>Lcyst_m</v>
          </cell>
          <cell r="B5179" t="str">
            <v>Lcyst</v>
          </cell>
          <cell r="C5179" t="str">
            <v>L-Cysteate</v>
          </cell>
        </row>
        <row r="5180">
          <cell r="A5180" t="str">
            <v>Rtotalcrn_m</v>
          </cell>
          <cell r="B5180" t="str">
            <v>Rtotalcrn</v>
          </cell>
          <cell r="C5180" t="str">
            <v>Rtotalcrn c</v>
          </cell>
        </row>
        <row r="5181">
          <cell r="A5181" t="str">
            <v>acetone_m</v>
          </cell>
          <cell r="B5181" t="str">
            <v>acetone</v>
          </cell>
          <cell r="C5181" t="str">
            <v>Acetone</v>
          </cell>
        </row>
        <row r="5182">
          <cell r="A5182" t="str">
            <v>ala_B_m</v>
          </cell>
          <cell r="B5182" t="str">
            <v>ala_B</v>
          </cell>
          <cell r="C5182" t="str">
            <v>Beta-Alanine</v>
          </cell>
        </row>
        <row r="5183">
          <cell r="A5183" t="str">
            <v>apoC_Lys_m</v>
          </cell>
          <cell r="B5183" t="str">
            <v>apoC_Lys</v>
          </cell>
          <cell r="C5183" t="str">
            <v>Apocarboxylase (Lys residue)</v>
          </cell>
        </row>
        <row r="5184">
          <cell r="A5184" t="str">
            <v>arachdcrn_m</v>
          </cell>
          <cell r="B5184" t="str">
            <v>arachdcrn</v>
          </cell>
          <cell r="C5184" t="str">
            <v>C20:4 carnitine</v>
          </cell>
        </row>
        <row r="5185">
          <cell r="A5185" t="str">
            <v>btcoa_m</v>
          </cell>
          <cell r="B5185" t="str">
            <v>btcoa</v>
          </cell>
          <cell r="C5185" t="str">
            <v>Butanoyl-CoA</v>
          </cell>
        </row>
        <row r="5186">
          <cell r="A5186" t="str">
            <v>btn_m</v>
          </cell>
          <cell r="B5186" t="str">
            <v>btn</v>
          </cell>
          <cell r="C5186" t="str">
            <v>Biotin</v>
          </cell>
        </row>
        <row r="5187">
          <cell r="A5187" t="str">
            <v>c226crn_m</v>
          </cell>
          <cell r="B5187" t="str">
            <v>c226crn</v>
          </cell>
          <cell r="C5187" t="str">
            <v>Cervonyl carnitine</v>
          </cell>
        </row>
        <row r="5188">
          <cell r="A5188" t="str">
            <v>cca_d3_m</v>
          </cell>
          <cell r="B5188" t="str">
            <v>cca_d3</v>
          </cell>
          <cell r="C5188" t="str">
            <v>Calcitroic acid (D3)</v>
          </cell>
        </row>
        <row r="5189">
          <cell r="A5189" t="str">
            <v>cys__L_m</v>
          </cell>
          <cell r="B5189" t="str">
            <v>cys__L</v>
          </cell>
          <cell r="C5189" t="str">
            <v>L-Cysteine</v>
          </cell>
        </row>
        <row r="5190">
          <cell r="A5190" t="str">
            <v>cytd_m</v>
          </cell>
          <cell r="B5190" t="str">
            <v>cytd</v>
          </cell>
          <cell r="C5190" t="str">
            <v>Cytidine</v>
          </cell>
        </row>
        <row r="5191">
          <cell r="A5191" t="str">
            <v>datp_m</v>
          </cell>
          <cell r="B5191" t="str">
            <v>datp</v>
          </cell>
          <cell r="C5191" t="str">
            <v>DATP C10H12N5O12P3</v>
          </cell>
        </row>
        <row r="5192">
          <cell r="A5192" t="str">
            <v>dd3coa_m</v>
          </cell>
          <cell r="B5192" t="str">
            <v>dd3coa</v>
          </cell>
          <cell r="C5192" t="str">
            <v>3-dodecenoyl CoA</v>
          </cell>
        </row>
        <row r="5193">
          <cell r="A5193" t="str">
            <v>dgdp_m</v>
          </cell>
          <cell r="B5193" t="str">
            <v>dgdp</v>
          </cell>
          <cell r="C5193" t="str">
            <v>DGDP C10H12N5O10P2</v>
          </cell>
        </row>
        <row r="5194">
          <cell r="A5194" t="str">
            <v>dgtp_m</v>
          </cell>
          <cell r="B5194" t="str">
            <v>dgtp</v>
          </cell>
          <cell r="C5194" t="str">
            <v>DGTP C10H12N5O13P3</v>
          </cell>
        </row>
        <row r="5195">
          <cell r="A5195" t="str">
            <v>dmnoncrn_m</v>
          </cell>
          <cell r="B5195" t="str">
            <v>dmnoncrn</v>
          </cell>
          <cell r="C5195" t="str">
            <v>4,8 dimethylnonanoyl carnitine</v>
          </cell>
        </row>
        <row r="5196">
          <cell r="A5196" t="str">
            <v>dttp_m</v>
          </cell>
          <cell r="B5196" t="str">
            <v>dttp</v>
          </cell>
          <cell r="C5196" t="str">
            <v>DTTP C10H13N2O14P3</v>
          </cell>
        </row>
        <row r="5197">
          <cell r="A5197" t="str">
            <v>dump_m</v>
          </cell>
          <cell r="B5197" t="str">
            <v>dump</v>
          </cell>
          <cell r="C5197" t="str">
            <v>DUMP C9H11N2O8P</v>
          </cell>
        </row>
        <row r="5198">
          <cell r="A5198" t="str">
            <v>dutp_m</v>
          </cell>
          <cell r="B5198" t="str">
            <v>dutp</v>
          </cell>
          <cell r="C5198" t="str">
            <v>DUTP C9H11N2O14P3</v>
          </cell>
        </row>
        <row r="5199">
          <cell r="A5199" t="str">
            <v>etfox_m</v>
          </cell>
          <cell r="B5199" t="str">
            <v>etfox</v>
          </cell>
          <cell r="C5199" t="str">
            <v>Electron transfer flavoprotein oxidized</v>
          </cell>
        </row>
        <row r="5200">
          <cell r="A5200" t="str">
            <v>etfrd_m</v>
          </cell>
          <cell r="B5200" t="str">
            <v>etfrd</v>
          </cell>
          <cell r="C5200" t="str">
            <v>Electron transfer flavoprotein reduced</v>
          </cell>
        </row>
        <row r="5201">
          <cell r="A5201" t="str">
            <v>ficytC_m</v>
          </cell>
          <cell r="B5201" t="str">
            <v>ficytC</v>
          </cell>
          <cell r="C5201" t="str">
            <v>Ferricytochrome c</v>
          </cell>
        </row>
        <row r="5202">
          <cell r="A5202" t="str">
            <v>focytC_m</v>
          </cell>
          <cell r="B5202" t="str">
            <v>focytC</v>
          </cell>
          <cell r="C5202" t="str">
            <v>Ferrocytochrome C</v>
          </cell>
        </row>
        <row r="5203">
          <cell r="A5203" t="str">
            <v>glutcoa_m</v>
          </cell>
          <cell r="B5203" t="str">
            <v>glutcoa</v>
          </cell>
          <cell r="C5203" t="str">
            <v>Glutaryl-CoA mitochondria</v>
          </cell>
        </row>
        <row r="5204">
          <cell r="A5204" t="str">
            <v>glyclt_m</v>
          </cell>
          <cell r="B5204" t="str">
            <v>glyclt</v>
          </cell>
          <cell r="C5204" t="str">
            <v>Glycolate C2H3O3</v>
          </cell>
        </row>
        <row r="5205">
          <cell r="A5205" t="str">
            <v>hdcecrn_m</v>
          </cell>
          <cell r="B5205" t="str">
            <v>hdcecrn</v>
          </cell>
          <cell r="C5205" t="str">
            <v>Hexadecenoyl carnitine</v>
          </cell>
        </row>
        <row r="5206">
          <cell r="A5206" t="str">
            <v>hdd2coa_m</v>
          </cell>
          <cell r="B5206" t="str">
            <v>hdd2coa</v>
          </cell>
          <cell r="C5206" t="str">
            <v>Trans-Hexadec-2-enoyl-CoA</v>
          </cell>
        </row>
        <row r="5207">
          <cell r="A5207" t="str">
            <v>hexccoa_m</v>
          </cell>
          <cell r="B5207" t="str">
            <v>hexccoa</v>
          </cell>
          <cell r="C5207" t="str">
            <v>Hexacosanoyl CoA  n C260CoA  C47H82N7O17P3S</v>
          </cell>
        </row>
        <row r="5208">
          <cell r="A5208" t="str">
            <v>hpdcacoa_m</v>
          </cell>
          <cell r="B5208" t="str">
            <v>hpdcacoa</v>
          </cell>
          <cell r="C5208" t="str">
            <v>Heptadecanoyl coa</v>
          </cell>
        </row>
        <row r="5209">
          <cell r="A5209" t="str">
            <v>imp_m</v>
          </cell>
          <cell r="B5209" t="str">
            <v>imp</v>
          </cell>
          <cell r="C5209" t="str">
            <v>IMP C10H11N4O8P</v>
          </cell>
        </row>
        <row r="5210">
          <cell r="A5210" t="str">
            <v>lneldccoa_m</v>
          </cell>
          <cell r="B5210" t="str">
            <v>lneldccoa</v>
          </cell>
          <cell r="C5210" t="str">
            <v>Linoelaidyl coenzyme A</v>
          </cell>
        </row>
        <row r="5211">
          <cell r="A5211" t="str">
            <v>lnlccoa_m</v>
          </cell>
          <cell r="B5211" t="str">
            <v>lnlccoa</v>
          </cell>
          <cell r="C5211" t="str">
            <v>Linoleic coenzyme A</v>
          </cell>
        </row>
        <row r="5212">
          <cell r="A5212" t="str">
            <v>lnlncacoa_m</v>
          </cell>
          <cell r="B5212" t="str">
            <v>lnlncacoa</v>
          </cell>
          <cell r="C5212" t="str">
            <v>Alpha-Linolenoyl-CoA</v>
          </cell>
        </row>
        <row r="5213">
          <cell r="A5213" t="str">
            <v>lnlncgcoa_m</v>
          </cell>
          <cell r="B5213" t="str">
            <v>lnlncgcoa</v>
          </cell>
          <cell r="C5213" t="str">
            <v>Gamma-linolenoyl-CoA</v>
          </cell>
        </row>
        <row r="5214">
          <cell r="A5214" t="str">
            <v>mercppyr_m</v>
          </cell>
          <cell r="B5214" t="str">
            <v>mercppyr</v>
          </cell>
          <cell r="C5214" t="str">
            <v>Mercaptopyruvate</v>
          </cell>
        </row>
        <row r="5215">
          <cell r="A5215" t="str">
            <v>mescoa_m</v>
          </cell>
          <cell r="B5215" t="str">
            <v>mescoa</v>
          </cell>
          <cell r="C5215" t="str">
            <v>Mesaconyl-CoA</v>
          </cell>
        </row>
        <row r="5216">
          <cell r="A5216" t="str">
            <v>mmcoa__R_m</v>
          </cell>
          <cell r="B5216" t="str">
            <v>mmcoa__R</v>
          </cell>
          <cell r="C5216" t="str">
            <v>(R)-Methylmalonyl-CoA</v>
          </cell>
        </row>
        <row r="5217">
          <cell r="A5217" t="str">
            <v>msa_m</v>
          </cell>
          <cell r="B5217" t="str">
            <v>msa</v>
          </cell>
          <cell r="C5217" t="str">
            <v>Malonate semialdehyde</v>
          </cell>
        </row>
        <row r="5218">
          <cell r="A5218" t="str">
            <v>odecoa_m</v>
          </cell>
          <cell r="B5218" t="str">
            <v>odecoa</v>
          </cell>
          <cell r="C5218" t="str">
            <v>Octadecenoyl-CoA (n-C18:1CoA)</v>
          </cell>
        </row>
        <row r="5219">
          <cell r="A5219" t="str">
            <v>odecrn_m</v>
          </cell>
          <cell r="B5219" t="str">
            <v>odecrn</v>
          </cell>
          <cell r="C5219" t="str">
            <v>Octadecenoyl carnitine</v>
          </cell>
        </row>
        <row r="5220">
          <cell r="A5220" t="str">
            <v>pchol_hs_m</v>
          </cell>
          <cell r="B5220" t="str">
            <v>pchol_hs</v>
          </cell>
          <cell r="C5220" t="str">
            <v>Phosphatidylcholine (homo sapiens)</v>
          </cell>
        </row>
        <row r="5221">
          <cell r="A5221" t="str">
            <v>pcrn_m</v>
          </cell>
          <cell r="B5221" t="str">
            <v>pcrn</v>
          </cell>
          <cell r="C5221" t="str">
            <v>Propionyl-carnitine</v>
          </cell>
        </row>
        <row r="5222">
          <cell r="A5222" t="str">
            <v>peracd_m</v>
          </cell>
          <cell r="B5222" t="str">
            <v>peracd</v>
          </cell>
          <cell r="C5222" t="str">
            <v>Perillic acid</v>
          </cell>
        </row>
        <row r="5223">
          <cell r="A5223" t="str">
            <v>pmtcrn_m</v>
          </cell>
          <cell r="B5223" t="str">
            <v>pmtcrn</v>
          </cell>
          <cell r="C5223" t="str">
            <v>L-Palmitoylcarnitine</v>
          </cell>
        </row>
        <row r="5224">
          <cell r="A5224" t="str">
            <v>prgnlone_m</v>
          </cell>
          <cell r="B5224" t="str">
            <v>prgnlone</v>
          </cell>
          <cell r="C5224" t="str">
            <v>Prgnlone c</v>
          </cell>
        </row>
        <row r="5225">
          <cell r="A5225" t="str">
            <v>prpncoa_m</v>
          </cell>
          <cell r="B5225" t="str">
            <v>prpncoa</v>
          </cell>
          <cell r="C5225" t="str">
            <v>Propenoyl-CoA</v>
          </cell>
        </row>
        <row r="5226">
          <cell r="A5226" t="str">
            <v>pydx5p_m</v>
          </cell>
          <cell r="B5226" t="str">
            <v>pydx5p</v>
          </cell>
          <cell r="C5226" t="str">
            <v>Pyridoxal 5'-phosphate</v>
          </cell>
        </row>
        <row r="5227">
          <cell r="A5227" t="str">
            <v>r5p_m</v>
          </cell>
          <cell r="B5227" t="str">
            <v>r5p</v>
          </cell>
          <cell r="C5227" t="str">
            <v>Alpha-D-Ribose 5-phosphate</v>
          </cell>
        </row>
        <row r="5228">
          <cell r="A5228" t="str">
            <v>saccrp__L_m</v>
          </cell>
          <cell r="B5228" t="str">
            <v>saccrp__L</v>
          </cell>
          <cell r="C5228" t="str">
            <v>L Saccharopine C11H19N2O6</v>
          </cell>
        </row>
        <row r="5229">
          <cell r="A5229" t="str">
            <v>tetpent3crn_m</v>
          </cell>
          <cell r="B5229" t="str">
            <v>tetpent3crn</v>
          </cell>
          <cell r="C5229" t="str">
            <v>Tetracosapentaenoyl carnitine</v>
          </cell>
        </row>
        <row r="5230">
          <cell r="A5230" t="str">
            <v>thcholstoic_m</v>
          </cell>
          <cell r="B5230" t="str">
            <v>thcholstoic</v>
          </cell>
          <cell r="C5230" t="str">
            <v>3alpha,7alpha,12alpha-Trihydroxy-5beta-cholestanoate</v>
          </cell>
        </row>
        <row r="5231">
          <cell r="A5231" t="str">
            <v>thymd_m</v>
          </cell>
          <cell r="B5231" t="str">
            <v>thymd</v>
          </cell>
          <cell r="C5231" t="str">
            <v>Thymidine C10H14N2O5</v>
          </cell>
        </row>
        <row r="5232">
          <cell r="A5232" t="str">
            <v>urea_m</v>
          </cell>
          <cell r="B5232" t="str">
            <v>urea</v>
          </cell>
          <cell r="C5232" t="str">
            <v>Urea CH4N2O</v>
          </cell>
        </row>
        <row r="5233">
          <cell r="A5233" t="str">
            <v>xol27oh_m</v>
          </cell>
          <cell r="B5233" t="str">
            <v>xol27oh</v>
          </cell>
          <cell r="C5233" t="str">
            <v>27-Hydroxycholesterol</v>
          </cell>
        </row>
        <row r="5234">
          <cell r="A5234" t="str">
            <v>xoltetrol_m</v>
          </cell>
          <cell r="B5234" t="str">
            <v>xoltetrol</v>
          </cell>
          <cell r="C5234" t="str">
            <v>3alpha,7alpha,12alpha,26-Tetrahydroxy-5beta-cholestane</v>
          </cell>
        </row>
        <row r="5235">
          <cell r="A5235" t="str">
            <v>Ntmelys_n</v>
          </cell>
          <cell r="B5235" t="str">
            <v>Ntmelys</v>
          </cell>
          <cell r="C5235" t="str">
            <v>Protein N6,N6,N6-trimethyl-L-lysine</v>
          </cell>
        </row>
        <row r="5236">
          <cell r="A5236" t="str">
            <v>acnam_n</v>
          </cell>
          <cell r="B5236" t="str">
            <v>acnam</v>
          </cell>
          <cell r="C5236" t="str">
            <v>N-Acetylneuraminate</v>
          </cell>
        </row>
        <row r="5237">
          <cell r="A5237" t="str">
            <v>biocyt_n</v>
          </cell>
          <cell r="B5237" t="str">
            <v>biocyt</v>
          </cell>
          <cell r="C5237" t="str">
            <v>Biocyt c</v>
          </cell>
        </row>
        <row r="5238">
          <cell r="A5238" t="str">
            <v>cmp_n</v>
          </cell>
          <cell r="B5238" t="str">
            <v>cmp</v>
          </cell>
          <cell r="C5238" t="str">
            <v>CMP C9H12N3O8P</v>
          </cell>
        </row>
        <row r="5239">
          <cell r="A5239" t="str">
            <v>ctp_n</v>
          </cell>
          <cell r="B5239" t="str">
            <v>ctp</v>
          </cell>
          <cell r="C5239" t="str">
            <v>CTP C9H12N3O14P3</v>
          </cell>
        </row>
        <row r="5240">
          <cell r="A5240" t="str">
            <v>dcyt_n</v>
          </cell>
          <cell r="B5240" t="str">
            <v>dcyt</v>
          </cell>
          <cell r="C5240" t="str">
            <v>Deoxycytidine</v>
          </cell>
        </row>
        <row r="5241">
          <cell r="A5241" t="str">
            <v>ditp_n</v>
          </cell>
          <cell r="B5241" t="str">
            <v>ditp</v>
          </cell>
          <cell r="C5241" t="str">
            <v>DITP(4-)</v>
          </cell>
        </row>
        <row r="5242">
          <cell r="A5242" t="str">
            <v>dna5mtc_n</v>
          </cell>
          <cell r="B5242" t="str">
            <v>dna5mtc</v>
          </cell>
          <cell r="C5242" t="str">
            <v>DNA 5-methylcytosine</v>
          </cell>
        </row>
        <row r="5243">
          <cell r="A5243" t="str">
            <v>duri_n</v>
          </cell>
          <cell r="B5243" t="str">
            <v>duri</v>
          </cell>
          <cell r="C5243" t="str">
            <v>Deoxyuridine</v>
          </cell>
        </row>
        <row r="5244">
          <cell r="A5244" t="str">
            <v>idp_n</v>
          </cell>
          <cell r="B5244" t="str">
            <v>idp</v>
          </cell>
          <cell r="C5244" t="str">
            <v>IDP C10H11N4O11P2</v>
          </cell>
        </row>
        <row r="5245">
          <cell r="A5245" t="str">
            <v>itp_n</v>
          </cell>
          <cell r="B5245" t="str">
            <v>itp</v>
          </cell>
          <cell r="C5245" t="str">
            <v>ITP C10H11N4O14P3</v>
          </cell>
        </row>
        <row r="5246">
          <cell r="A5246" t="str">
            <v>mi1p__D_n</v>
          </cell>
          <cell r="B5246" t="str">
            <v>mi1p__D</v>
          </cell>
          <cell r="C5246" t="str">
            <v>1D-myo-Inositol 1-phosphate</v>
          </cell>
        </row>
        <row r="5247">
          <cell r="A5247" t="str">
            <v>o2s_n</v>
          </cell>
          <cell r="B5247" t="str">
            <v>o2s</v>
          </cell>
          <cell r="C5247" t="str">
            <v>Superoxide anion</v>
          </cell>
        </row>
        <row r="5248">
          <cell r="A5248" t="str">
            <v>pa_hs_n</v>
          </cell>
          <cell r="B5248" t="str">
            <v>pa_hs</v>
          </cell>
          <cell r="C5248" t="str">
            <v>Phosphatidic acid (homo sapiens)</v>
          </cell>
        </row>
        <row r="5249">
          <cell r="A5249" t="str">
            <v>pail345p_hs_n</v>
          </cell>
          <cell r="B5249" t="str">
            <v>pail345p_hs</v>
          </cell>
          <cell r="C5249" t="str">
            <v>Phosphatidylinositol-3,4,5-trisphosphate (Homo sapiens)</v>
          </cell>
        </row>
        <row r="5250">
          <cell r="A5250" t="str">
            <v>pail34p_hs_n</v>
          </cell>
          <cell r="B5250" t="str">
            <v>pail34p_hs</v>
          </cell>
          <cell r="C5250" t="str">
            <v>Phosphatidylinositol-3,4-bisphosphate (Homo sapiens)</v>
          </cell>
        </row>
        <row r="5251">
          <cell r="A5251" t="str">
            <v>pail4p_hs_n</v>
          </cell>
          <cell r="B5251" t="str">
            <v>pail4p_hs</v>
          </cell>
          <cell r="C5251" t="str">
            <v>1-Phosphatidyl-1D-myo-inositol 4-phosphate (Homo sapiens)</v>
          </cell>
        </row>
        <row r="5252">
          <cell r="A5252" t="str">
            <v>pail_hs_n</v>
          </cell>
          <cell r="B5252" t="str">
            <v>pail_hs</v>
          </cell>
          <cell r="C5252" t="str">
            <v>Phosphatidylinositol (homo sapiens)</v>
          </cell>
        </row>
        <row r="5253">
          <cell r="A5253" t="str">
            <v>peplys_n</v>
          </cell>
          <cell r="B5253" t="str">
            <v>peplys</v>
          </cell>
          <cell r="C5253" t="str">
            <v>Peptidyl-L-lysine</v>
          </cell>
        </row>
        <row r="5254">
          <cell r="A5254" t="str">
            <v>pppi_n</v>
          </cell>
          <cell r="B5254" t="str">
            <v>pppi</v>
          </cell>
          <cell r="C5254" t="str">
            <v>Inorganic triphosphate</v>
          </cell>
        </row>
        <row r="5255">
          <cell r="A5255" t="str">
            <v>uri_n</v>
          </cell>
          <cell r="B5255" t="str">
            <v>uri</v>
          </cell>
          <cell r="C5255" t="str">
            <v>Uridine</v>
          </cell>
        </row>
        <row r="5256">
          <cell r="A5256" t="str">
            <v>utp_n</v>
          </cell>
          <cell r="B5256" t="str">
            <v>utp</v>
          </cell>
          <cell r="C5256" t="str">
            <v>UTP C9H11N2O15P3</v>
          </cell>
        </row>
        <row r="5257">
          <cell r="A5257" t="str">
            <v>11docrtsl_r</v>
          </cell>
          <cell r="B5257" t="str">
            <v>11docrtsl</v>
          </cell>
          <cell r="C5257" t="str">
            <v>11docrtsl c</v>
          </cell>
        </row>
        <row r="5258">
          <cell r="A5258" t="str">
            <v>13_cis_retn_r</v>
          </cell>
          <cell r="B5258" t="str">
            <v>13_cis_retn</v>
          </cell>
          <cell r="C5258" t="str">
            <v>13-cis-retinoate</v>
          </cell>
        </row>
        <row r="5259">
          <cell r="A5259" t="str">
            <v>17ahprgstrn_r</v>
          </cell>
          <cell r="B5259" t="str">
            <v>17ahprgstrn</v>
          </cell>
          <cell r="C5259" t="str">
            <v>17alpha-Hydroxyprogesterone</v>
          </cell>
        </row>
        <row r="5260">
          <cell r="A5260" t="str">
            <v>6htststerone_r</v>
          </cell>
          <cell r="B5260" t="str">
            <v>6htststerone</v>
          </cell>
          <cell r="C5260" t="str">
            <v>6 beta hydroxy testosterone</v>
          </cell>
        </row>
        <row r="5261">
          <cell r="A5261" t="str">
            <v>7dhchsterol_r</v>
          </cell>
          <cell r="B5261" t="str">
            <v>7dhchsterol</v>
          </cell>
          <cell r="C5261" t="str">
            <v>Cholesta-5,7-dien-3beta-ol</v>
          </cell>
        </row>
        <row r="5262">
          <cell r="A5262" t="str">
            <v>Asn_X_Ser_Thr_r</v>
          </cell>
          <cell r="B5262" t="str">
            <v>Asn_X_Ser_Thr</v>
          </cell>
          <cell r="C5262" t="str">
            <v>Asn  X  Ser FSLASH Thr l</v>
          </cell>
        </row>
        <row r="5263">
          <cell r="A5263" t="str">
            <v>R1coa_hs_r</v>
          </cell>
          <cell r="B5263" t="str">
            <v>R1coa_hs</v>
          </cell>
          <cell r="C5263" t="str">
            <v>R group 1 Coenzyme A homo sapiens</v>
          </cell>
        </row>
        <row r="5264">
          <cell r="A5264" t="str">
            <v>acrn_r</v>
          </cell>
          <cell r="B5264" t="str">
            <v>acrn</v>
          </cell>
          <cell r="C5264" t="str">
            <v>O Acetylcarnitine C9H17NO4</v>
          </cell>
        </row>
        <row r="5265">
          <cell r="A5265" t="str">
            <v>andrstrnglc_r</v>
          </cell>
          <cell r="B5265" t="str">
            <v>andrstrnglc</v>
          </cell>
          <cell r="C5265" t="str">
            <v>Androsterone glucuronide</v>
          </cell>
        </row>
        <row r="5266">
          <cell r="A5266" t="str">
            <v>bz_r</v>
          </cell>
          <cell r="B5266" t="str">
            <v>bz</v>
          </cell>
          <cell r="C5266" t="str">
            <v>Benzoate</v>
          </cell>
        </row>
        <row r="5267">
          <cell r="A5267" t="str">
            <v>chol_r</v>
          </cell>
          <cell r="B5267" t="str">
            <v>chol</v>
          </cell>
          <cell r="C5267" t="str">
            <v>Choline C5H14NO</v>
          </cell>
        </row>
        <row r="5268">
          <cell r="A5268" t="str">
            <v>cholcoar_r</v>
          </cell>
          <cell r="B5268" t="str">
            <v>cholcoar</v>
          </cell>
          <cell r="C5268" t="str">
            <v>3alpha,7alpha,12alpha-Trihydroxy-5beta-cholestanoyl-CoA</v>
          </cell>
        </row>
        <row r="5269">
          <cell r="A5269" t="str">
            <v>co2_r</v>
          </cell>
          <cell r="B5269" t="str">
            <v>co2</v>
          </cell>
          <cell r="C5269" t="str">
            <v>CO2 CO2</v>
          </cell>
        </row>
        <row r="5270">
          <cell r="A5270" t="str">
            <v>ddsmsterol_r</v>
          </cell>
          <cell r="B5270" t="str">
            <v>ddsmsterol</v>
          </cell>
          <cell r="C5270" t="str">
            <v>7-Dehydrodesmosterol</v>
          </cell>
        </row>
        <row r="5271">
          <cell r="A5271" t="str">
            <v>dgpi_prot_hs_r</v>
          </cell>
          <cell r="B5271" t="str">
            <v>dgpi_prot_hs</v>
          </cell>
          <cell r="C5271" t="str">
            <v>Deacylated-glycophosphatidylinositol (GPI)-anchored protein</v>
          </cell>
        </row>
        <row r="5272">
          <cell r="A5272" t="str">
            <v>dhcholestanate_r</v>
          </cell>
          <cell r="B5272" t="str">
            <v>dhcholestanate</v>
          </cell>
          <cell r="C5272" t="str">
            <v>3alpha,7alpha-Dihydroxy-5beta-cholestanate</v>
          </cell>
        </row>
        <row r="5273">
          <cell r="A5273" t="str">
            <v>dolglcp_U_r</v>
          </cell>
          <cell r="B5273" t="str">
            <v>dolglcp_U</v>
          </cell>
          <cell r="C5273" t="str">
            <v>Dolichyl beta-D-glucosyl phosphate, human uterine homolog</v>
          </cell>
        </row>
        <row r="5274">
          <cell r="A5274" t="str">
            <v>dolichol__L_r</v>
          </cell>
          <cell r="B5274" t="str">
            <v>dolichol__L</v>
          </cell>
          <cell r="C5274" t="str">
            <v>Dolichol, human liver homolog</v>
          </cell>
        </row>
        <row r="5275">
          <cell r="A5275" t="str">
            <v>dolp_U_r</v>
          </cell>
          <cell r="B5275" t="str">
            <v>dolp_U</v>
          </cell>
          <cell r="C5275" t="str">
            <v>Dolichol phosphate, human uterine homolog</v>
          </cell>
        </row>
        <row r="5276">
          <cell r="A5276" t="str">
            <v>eandrstrn_r</v>
          </cell>
          <cell r="B5276" t="str">
            <v>eandrstrn</v>
          </cell>
          <cell r="C5276" t="str">
            <v>16alpha-hydroxydehydroepiandrosterone</v>
          </cell>
        </row>
        <row r="5277">
          <cell r="A5277" t="str">
            <v>egme_r</v>
          </cell>
          <cell r="B5277" t="str">
            <v>egme</v>
          </cell>
          <cell r="C5277" t="str">
            <v>Ecgonine methyl ester</v>
          </cell>
        </row>
        <row r="5278">
          <cell r="A5278" t="str">
            <v>emem2gacpail_hs_r</v>
          </cell>
          <cell r="B5278" t="str">
            <v>emem2gacpail_hs</v>
          </cell>
          <cell r="C5278" t="str">
            <v>(phosphoethanolaminyl-mannosyl),(phosphoethanolaminyl)-dimannosyl-glucosaminyl-acylphosphatidylinositol (H7')</v>
          </cell>
        </row>
        <row r="5279">
          <cell r="A5279" t="str">
            <v>estradiolglc_r</v>
          </cell>
          <cell r="B5279" t="str">
            <v>estradiolglc</v>
          </cell>
          <cell r="C5279" t="str">
            <v>17beta-estradiol 3-glucosiduronic acid</v>
          </cell>
        </row>
        <row r="5280">
          <cell r="A5280" t="str">
            <v>g1m7masnC_r</v>
          </cell>
          <cell r="B5280" t="str">
            <v>g1m7masnC</v>
          </cell>
          <cell r="C5280" t="str">
            <v>Glucosyl-(alpha-D-mannosyl)7-beta-D-mannosyl-diacetylchitobiosyl-L-asparagine, isoform C (protein)</v>
          </cell>
        </row>
        <row r="5281">
          <cell r="A5281" t="str">
            <v>g1m8mpdol_U_r</v>
          </cell>
          <cell r="B5281" t="str">
            <v>g1m8mpdol_U</v>
          </cell>
          <cell r="C5281" t="str">
            <v>Alpha-D-Glucosyl-(alpha-D-mannosyl)8-beta-D-mannosyl-diacetylchitobiosyldiphosphodolichol, human uterine homolog</v>
          </cell>
        </row>
        <row r="5282">
          <cell r="A5282" t="str">
            <v>glac_r</v>
          </cell>
          <cell r="B5282" t="str">
            <v>glac</v>
          </cell>
          <cell r="C5282" t="str">
            <v>D-glucurono-6,3-lactone</v>
          </cell>
        </row>
        <row r="5283">
          <cell r="A5283" t="str">
            <v>gluside_hs_r</v>
          </cell>
          <cell r="B5283" t="str">
            <v>gluside_hs</v>
          </cell>
          <cell r="C5283" t="str">
            <v>Glucocerebroside (homo sapiens)</v>
          </cell>
        </row>
        <row r="5284">
          <cell r="A5284" t="str">
            <v>gpi_hs_r</v>
          </cell>
          <cell r="B5284" t="str">
            <v>gpi_hs</v>
          </cell>
          <cell r="C5284" t="str">
            <v>Glycophosphatidylinositol (GPI) anchor precursor (3-(phosphoethanolaminyl-mannosyl)-glucosaminyl-acylphosphatidylinositol) (H8)</v>
          </cell>
        </row>
        <row r="5285">
          <cell r="A5285" t="str">
            <v>gpi_prot_hs_r</v>
          </cell>
          <cell r="B5285" t="str">
            <v>gpi_prot_hs</v>
          </cell>
          <cell r="C5285" t="str">
            <v>Glycophosphatidylinositol (GPI)-anchored protein</v>
          </cell>
        </row>
        <row r="5286">
          <cell r="A5286" t="str">
            <v>gpi_sig_r</v>
          </cell>
          <cell r="B5286" t="str">
            <v>gpi_sig</v>
          </cell>
          <cell r="C5286" t="str">
            <v>Glycophosphatidylinositol (GPI) signal sequence (C-terminal peptide)</v>
          </cell>
        </row>
        <row r="5287">
          <cell r="A5287" t="str">
            <v>gthrd_r</v>
          </cell>
          <cell r="B5287" t="str">
            <v>gthrd</v>
          </cell>
          <cell r="C5287" t="str">
            <v>Reduced glutathione</v>
          </cell>
        </row>
        <row r="5288">
          <cell r="A5288" t="str">
            <v>hxdcal_r</v>
          </cell>
          <cell r="B5288" t="str">
            <v>hxdcal</v>
          </cell>
          <cell r="C5288" t="str">
            <v>Hexadecanal C16H32O</v>
          </cell>
        </row>
        <row r="5289">
          <cell r="A5289" t="str">
            <v>ipdp_r</v>
          </cell>
          <cell r="B5289" t="str">
            <v>ipdp</v>
          </cell>
          <cell r="C5289" t="str">
            <v>Isopentenyl diphosphate</v>
          </cell>
        </row>
        <row r="5290">
          <cell r="A5290" t="str">
            <v>lanost_r</v>
          </cell>
          <cell r="B5290" t="str">
            <v>lanost</v>
          </cell>
          <cell r="C5290" t="str">
            <v>Lanosterol C30H50O</v>
          </cell>
        </row>
        <row r="5291">
          <cell r="A5291" t="str">
            <v>m2emgacpail_hs_r</v>
          </cell>
          <cell r="B5291" t="str">
            <v>m2emgacpail_hs</v>
          </cell>
          <cell r="C5291" t="str">
            <v>(dimannosyl),(phosphoethanolaminyl)-mannosyl-glucosylaminyl-acylphosphatidylinositol (H6)</v>
          </cell>
        </row>
        <row r="5292">
          <cell r="A5292" t="str">
            <v>m5mpdol__L_r</v>
          </cell>
          <cell r="B5292" t="str">
            <v>m5mpdol__L</v>
          </cell>
          <cell r="C5292" t="str">
            <v>(alpha-D-Mannosyl)5-beta-D-mannosyl-diacetylchitobiosyldiphosphodolichol, human liver homolog</v>
          </cell>
        </row>
        <row r="5293">
          <cell r="A5293" t="str">
            <v>m5mpdol_U_r</v>
          </cell>
          <cell r="B5293" t="str">
            <v>m5mpdol_U</v>
          </cell>
          <cell r="C5293" t="str">
            <v>(alpha-D-Mannosyl)5-beta-D-mannosyl-diacetylchitobiosyldiphosphodolichol, human uterine homolog</v>
          </cell>
        </row>
        <row r="5294">
          <cell r="A5294" t="str">
            <v>m6mpdol__L_r</v>
          </cell>
          <cell r="B5294" t="str">
            <v>m6mpdol__L</v>
          </cell>
          <cell r="C5294" t="str">
            <v>(alpha-D-Mannosyl)6-beta-D-mannosyl-diacetylchitobiosyldiphosphodolichol, human liver homolog</v>
          </cell>
        </row>
        <row r="5295">
          <cell r="A5295" t="str">
            <v>m7mpdol_U_r</v>
          </cell>
          <cell r="B5295" t="str">
            <v>m7mpdol_U</v>
          </cell>
          <cell r="C5295" t="str">
            <v>(alpha-D-Mannosyl)7-beta-D-mannosyl-diacetylchitobiosyldiphosphodolichol, human uterine homolog</v>
          </cell>
        </row>
        <row r="5296">
          <cell r="A5296" t="str">
            <v>man_r</v>
          </cell>
          <cell r="B5296" t="str">
            <v>man</v>
          </cell>
          <cell r="C5296" t="str">
            <v>D-Mannose</v>
          </cell>
        </row>
        <row r="5297">
          <cell r="A5297" t="str">
            <v>mgacpail_hs_r</v>
          </cell>
          <cell r="B5297" t="str">
            <v>mgacpail_hs</v>
          </cell>
          <cell r="C5297" t="str">
            <v>Mannosyl-glucosaminyl-acylphosphatidylinositiol (H2)</v>
          </cell>
        </row>
        <row r="5298">
          <cell r="A5298" t="str">
            <v>nh4_r</v>
          </cell>
          <cell r="B5298" t="str">
            <v>nh4</v>
          </cell>
          <cell r="C5298" t="str">
            <v>Ammonium</v>
          </cell>
        </row>
        <row r="5299">
          <cell r="A5299" t="str">
            <v>pail3p_hs_r</v>
          </cell>
          <cell r="B5299" t="str">
            <v>pail3p_hs</v>
          </cell>
          <cell r="C5299" t="str">
            <v>1-Phosphatidyl-1D-myo-inositol 3-phosphate (Homo sapiens)</v>
          </cell>
        </row>
        <row r="5300">
          <cell r="A5300" t="str">
            <v>pail5p_hs_r</v>
          </cell>
          <cell r="B5300" t="str">
            <v>pail5p_hs</v>
          </cell>
          <cell r="C5300" t="str">
            <v>1-Phosphatidyl-1D-myo-inositol 5-phosphate (Homo sapiens)</v>
          </cell>
        </row>
        <row r="5301">
          <cell r="A5301" t="str">
            <v>prostge2_r</v>
          </cell>
          <cell r="B5301" t="str">
            <v>prostge2</v>
          </cell>
          <cell r="C5301" t="str">
            <v>Prostaglandin E2</v>
          </cell>
        </row>
        <row r="5302">
          <cell r="A5302" t="str">
            <v>prostgi2_r</v>
          </cell>
          <cell r="B5302" t="str">
            <v>prostgi2</v>
          </cell>
          <cell r="C5302" t="str">
            <v>Prostaglandin I2</v>
          </cell>
        </row>
        <row r="5303">
          <cell r="A5303" t="str">
            <v>retnglc_r</v>
          </cell>
          <cell r="B5303" t="str">
            <v>retnglc</v>
          </cell>
          <cell r="C5303" t="str">
            <v>Retinoyl glucuronide</v>
          </cell>
        </row>
        <row r="5304">
          <cell r="A5304" t="str">
            <v>ru5p__D_r</v>
          </cell>
          <cell r="B5304" t="str">
            <v>ru5p__D</v>
          </cell>
          <cell r="C5304" t="str">
            <v>D-Ribulose 5-phosphate</v>
          </cell>
        </row>
        <row r="5305">
          <cell r="A5305" t="str">
            <v>udpglcur_r</v>
          </cell>
          <cell r="B5305" t="str">
            <v>udpglcur</v>
          </cell>
          <cell r="C5305" t="str">
            <v>UDP-D-glucuronate</v>
          </cell>
        </row>
        <row r="5306">
          <cell r="A5306" t="str">
            <v>wharachd_r</v>
          </cell>
          <cell r="B5306" t="str">
            <v>wharachd</v>
          </cell>
          <cell r="C5306" t="str">
            <v>W-hydroxyl arachidonic acid</v>
          </cell>
        </row>
        <row r="5307">
          <cell r="A5307" t="str">
            <v>xol7ah2_r</v>
          </cell>
          <cell r="B5307" t="str">
            <v>xol7ah2</v>
          </cell>
          <cell r="C5307" t="str">
            <v>3alpha,7alpha-Dihydroxy-5beta-cholestane</v>
          </cell>
        </row>
        <row r="5308">
          <cell r="A5308" t="str">
            <v>xoltri24_r</v>
          </cell>
          <cell r="B5308" t="str">
            <v>xoltri24</v>
          </cell>
          <cell r="C5308" t="str">
            <v>7-alpha,24(S)-Dihydroxycholesterol</v>
          </cell>
        </row>
        <row r="5309">
          <cell r="A5309" t="str">
            <v>xser_r</v>
          </cell>
          <cell r="B5309" t="str">
            <v>xser</v>
          </cell>
          <cell r="C5309" t="str">
            <v>Xyl-L-Ser (protein)</v>
          </cell>
        </row>
        <row r="5310">
          <cell r="A5310" t="str">
            <v>zymst_r</v>
          </cell>
          <cell r="B5310" t="str">
            <v>zymst</v>
          </cell>
          <cell r="C5310" t="str">
            <v>Zymosterol C27H44O</v>
          </cell>
        </row>
        <row r="5311">
          <cell r="A5311" t="str">
            <v>zymstnl_r</v>
          </cell>
          <cell r="B5311" t="str">
            <v>zymstnl</v>
          </cell>
          <cell r="C5311" t="str">
            <v>5alpha-cholest-8-en-3beta-ol</v>
          </cell>
        </row>
        <row r="5312">
          <cell r="A5312" t="str">
            <v>5pmev_x</v>
          </cell>
          <cell r="B5312" t="str">
            <v>5pmev</v>
          </cell>
          <cell r="C5312" t="str">
            <v xml:space="preserve"> R  5 Phosphomevalonate C6H10O7P</v>
          </cell>
        </row>
        <row r="5313">
          <cell r="A5313" t="str">
            <v>Lpipecol_x</v>
          </cell>
          <cell r="B5313" t="str">
            <v>Lpipecol</v>
          </cell>
          <cell r="C5313" t="str">
            <v>L-pipecolic acid; piperidine-2-carboxylic acid</v>
          </cell>
        </row>
        <row r="5314">
          <cell r="A5314" t="str">
            <v>acac_x</v>
          </cell>
          <cell r="B5314" t="str">
            <v>acac</v>
          </cell>
          <cell r="C5314" t="str">
            <v>Acetoacetate</v>
          </cell>
        </row>
        <row r="5315">
          <cell r="A5315" t="str">
            <v>arachdcoa_x</v>
          </cell>
          <cell r="B5315" t="str">
            <v>arachdcoa</v>
          </cell>
          <cell r="C5315" t="str">
            <v>C20:4-CoA</v>
          </cell>
        </row>
        <row r="5316">
          <cell r="A5316" t="str">
            <v>cholcoar_x</v>
          </cell>
          <cell r="B5316" t="str">
            <v>cholcoar</v>
          </cell>
          <cell r="C5316" t="str">
            <v>3alpha,7alpha,12alpha-Trihydroxy-5beta-cholestanoyl-CoA</v>
          </cell>
        </row>
        <row r="5317">
          <cell r="A5317" t="str">
            <v>dcholcoa_x</v>
          </cell>
          <cell r="B5317" t="str">
            <v>dcholcoa</v>
          </cell>
          <cell r="C5317" t="str">
            <v>Chenodeoxycholoyl coenzyme a</v>
          </cell>
        </row>
        <row r="5318">
          <cell r="A5318" t="str">
            <v>dhcholestanate_x</v>
          </cell>
          <cell r="B5318" t="str">
            <v>dhcholestanate</v>
          </cell>
          <cell r="C5318" t="str">
            <v>3alpha,7alpha-Dihydroxy-5beta-cholestanate</v>
          </cell>
        </row>
        <row r="5319">
          <cell r="A5319" t="str">
            <v>dmnoncoa_x</v>
          </cell>
          <cell r="B5319" t="str">
            <v>dmnoncoa</v>
          </cell>
          <cell r="C5319" t="str">
            <v>4,8 dimethylnonanoyl-CoA</v>
          </cell>
        </row>
        <row r="5320">
          <cell r="A5320" t="str">
            <v>gdchola_x</v>
          </cell>
          <cell r="B5320" t="str">
            <v>gdchola</v>
          </cell>
          <cell r="C5320" t="str">
            <v>Glycochenodeoxycholate</v>
          </cell>
        </row>
        <row r="5321">
          <cell r="A5321" t="str">
            <v>gly_x</v>
          </cell>
          <cell r="B5321" t="str">
            <v>gly</v>
          </cell>
          <cell r="C5321" t="str">
            <v>Glycine</v>
          </cell>
        </row>
        <row r="5322">
          <cell r="A5322" t="str">
            <v>ipdp_x</v>
          </cell>
          <cell r="B5322" t="str">
            <v>ipdp</v>
          </cell>
          <cell r="C5322" t="str">
            <v>Isopentenyl diphosphate</v>
          </cell>
        </row>
        <row r="5323">
          <cell r="A5323" t="str">
            <v>lys__L_x</v>
          </cell>
          <cell r="B5323" t="str">
            <v>lys__L</v>
          </cell>
          <cell r="C5323" t="str">
            <v>L-Lysine</v>
          </cell>
        </row>
        <row r="5324">
          <cell r="A5324" t="str">
            <v>malcoa_x</v>
          </cell>
          <cell r="B5324" t="str">
            <v>malcoa</v>
          </cell>
          <cell r="C5324" t="str">
            <v>Malonyl CoA C24H33N7O19P3S</v>
          </cell>
        </row>
        <row r="5325">
          <cell r="A5325" t="str">
            <v>phyt2ohcoa_x</v>
          </cell>
          <cell r="B5325" t="str">
            <v>phyt2ohcoa</v>
          </cell>
          <cell r="C5325" t="str">
            <v>2-Hydroxyphytanoyl-CoA</v>
          </cell>
        </row>
        <row r="5326">
          <cell r="A5326" t="str">
            <v>ppcoa_x</v>
          </cell>
          <cell r="B5326" t="str">
            <v>ppcoa</v>
          </cell>
          <cell r="C5326" t="str">
            <v>Propanoyl-CoA</v>
          </cell>
        </row>
        <row r="5327">
          <cell r="A5327" t="str">
            <v>prist_x</v>
          </cell>
          <cell r="B5327" t="str">
            <v>prist</v>
          </cell>
          <cell r="C5327" t="str">
            <v>Pristanic acid</v>
          </cell>
        </row>
        <row r="5328">
          <cell r="A5328" t="str">
            <v>pristanal_x</v>
          </cell>
          <cell r="B5328" t="str">
            <v>pristanal</v>
          </cell>
          <cell r="C5328" t="str">
            <v>Pristanal c</v>
          </cell>
        </row>
        <row r="5329">
          <cell r="A5329" t="str">
            <v>pro__D_x</v>
          </cell>
          <cell r="B5329" t="str">
            <v>pro__D</v>
          </cell>
          <cell r="C5329" t="str">
            <v>D-Proline</v>
          </cell>
        </row>
        <row r="5330">
          <cell r="A5330" t="str">
            <v>tetpent6coa_x</v>
          </cell>
          <cell r="B5330" t="str">
            <v>tetpent6coa</v>
          </cell>
          <cell r="C5330" t="str">
            <v>Tetracosapentaenoyl coenzyme A, n-6</v>
          </cell>
        </row>
        <row r="5331">
          <cell r="A5331" t="str">
            <v>thcholoylcoa_x</v>
          </cell>
          <cell r="B5331" t="str">
            <v>thcholoylcoa</v>
          </cell>
          <cell r="C5331" t="str">
            <v>3alpha,7alpha,24-Trihydroxy-5beta-cholestanoyl-CoA</v>
          </cell>
        </row>
        <row r="5332">
          <cell r="A5332" t="str">
            <v>tmndnccoa_x</v>
          </cell>
          <cell r="B5332" t="str">
            <v>tmndnccoa</v>
          </cell>
          <cell r="C5332" t="str">
            <v>Timnodonyl coenzyme A</v>
          </cell>
        </row>
        <row r="5333">
          <cell r="A5333" t="str">
            <v>unknown_rbfdeg_c</v>
          </cell>
          <cell r="B5333" t="str">
            <v>unknown_rbfdeg</v>
          </cell>
          <cell r="C5333" t="str">
            <v>Unknown riboflavin degradation product</v>
          </cell>
        </row>
        <row r="5334">
          <cell r="A5334" t="str">
            <v>adocblhbi_c</v>
          </cell>
          <cell r="B5334" t="str">
            <v>adocblhbi</v>
          </cell>
          <cell r="C5334" t="str">
            <v>Adenosylcobalamin-HBI</v>
          </cell>
        </row>
        <row r="5335">
          <cell r="A5335" t="str">
            <v>S2hglut_c</v>
          </cell>
          <cell r="B5335" t="str">
            <v>S2hglut</v>
          </cell>
          <cell r="C5335" t="str">
            <v>(S)-2-Hydroxyglutarate</v>
          </cell>
        </row>
        <row r="5336">
          <cell r="A5336" t="str">
            <v>6ax6ax_c</v>
          </cell>
          <cell r="B5336" t="str">
            <v>6ax6ax</v>
          </cell>
          <cell r="C5336" t="str">
            <v>N-(6-Aminohexanoyl)-6-aminohexanoate</v>
          </cell>
        </row>
        <row r="5337">
          <cell r="A5337" t="str">
            <v>hacon_T_c</v>
          </cell>
          <cell r="B5337" t="str">
            <v>hacon_T</v>
          </cell>
          <cell r="C5337" t="str">
            <v>Trans-homoaconitate</v>
          </cell>
        </row>
        <row r="5338">
          <cell r="A5338" t="str">
            <v>2ood_c</v>
          </cell>
          <cell r="B5338" t="str">
            <v>2ood</v>
          </cell>
          <cell r="C5338" t="str">
            <v>2-oxooctanedioic acid</v>
          </cell>
        </row>
        <row r="5339">
          <cell r="A5339" t="str">
            <v>2ppoh_c</v>
          </cell>
          <cell r="B5339" t="str">
            <v>2ppoh</v>
          </cell>
          <cell r="C5339" t="str">
            <v>2-Propanol</v>
          </cell>
        </row>
        <row r="5340">
          <cell r="A5340" t="str">
            <v>dpgpe_c</v>
          </cell>
          <cell r="B5340" t="str">
            <v>dpgpe</v>
          </cell>
          <cell r="C5340" t="str">
            <v>2,3-O-phytanyl-sn-glycero-1-phosphoethanolamine</v>
          </cell>
        </row>
        <row r="5341">
          <cell r="A5341" t="str">
            <v>cdgggp_c</v>
          </cell>
          <cell r="B5341" t="str">
            <v>cdgggp</v>
          </cell>
          <cell r="C5341" t="str">
            <v>CDP-2,3-digeranylgeranyl-sn-glycerol</v>
          </cell>
        </row>
        <row r="5342">
          <cell r="A5342" t="str">
            <v>3hdgggps_c</v>
          </cell>
          <cell r="B5342" t="str">
            <v>3hdgggps</v>
          </cell>
          <cell r="C5342" t="str">
            <v>2-O-(3'-hydroxy)geranyl-3-O-geranyl-sn-glyceroserine</v>
          </cell>
        </row>
        <row r="5343">
          <cell r="A5343" t="str">
            <v>ch4s_e</v>
          </cell>
          <cell r="B5343" t="str">
            <v>ch4s</v>
          </cell>
          <cell r="C5343" t="str">
            <v>Methanethiol CH4S</v>
          </cell>
        </row>
        <row r="5344">
          <cell r="A5344" t="str">
            <v>ch4_e</v>
          </cell>
          <cell r="B5344" t="str">
            <v>ch4</v>
          </cell>
          <cell r="C5344" t="str">
            <v>Methane</v>
          </cell>
        </row>
        <row r="5345">
          <cell r="A5345" t="str">
            <v>ihcit_T_c</v>
          </cell>
          <cell r="B5345" t="str">
            <v>ihcit_T</v>
          </cell>
          <cell r="C5345" t="str">
            <v>Threo-isohomocitrate</v>
          </cell>
        </row>
        <row r="5346">
          <cell r="A5346" t="str">
            <v>mh4spt_c</v>
          </cell>
          <cell r="B5346" t="str">
            <v>mh4spt</v>
          </cell>
          <cell r="C5346" t="str">
            <v>N5-methyl-tetrahydrosarcinapterin</v>
          </cell>
        </row>
        <row r="5347">
          <cell r="A5347" t="str">
            <v>dhrfap_c</v>
          </cell>
          <cell r="B5347" t="str">
            <v>dhrfap</v>
          </cell>
          <cell r="C5347" t="str">
            <v>7,8-dihydropterin-6-ylmethyl-4-(B-D-ribofuranosyl) aminobenzene 5'-phosphate</v>
          </cell>
        </row>
        <row r="5348">
          <cell r="A5348" t="str">
            <v>dkmp_c</v>
          </cell>
          <cell r="B5348" t="str">
            <v>dkmp</v>
          </cell>
          <cell r="C5348" t="str">
            <v>6-deoxy-5-ketomannitol 1-phosphate</v>
          </cell>
        </row>
        <row r="5349">
          <cell r="A5349" t="str">
            <v>dma_c</v>
          </cell>
          <cell r="B5349" t="str">
            <v>dma</v>
          </cell>
          <cell r="C5349" t="str">
            <v>Dimethylamine</v>
          </cell>
        </row>
        <row r="5350">
          <cell r="A5350" t="str">
            <v>mcom_c</v>
          </cell>
          <cell r="B5350" t="str">
            <v>mcom</v>
          </cell>
          <cell r="C5350" t="str">
            <v>Methylcoenzyme m</v>
          </cell>
        </row>
        <row r="5351">
          <cell r="A5351" t="str">
            <v>ddhrb_c</v>
          </cell>
          <cell r="B5351" t="str">
            <v>ddhrb</v>
          </cell>
          <cell r="C5351" t="str">
            <v>7,8-didemethyl-8-hydroxy-5-deazariboflavin</v>
          </cell>
        </row>
        <row r="5352">
          <cell r="A5352" t="str">
            <v>mma_e</v>
          </cell>
          <cell r="B5352" t="str">
            <v>mma</v>
          </cell>
          <cell r="C5352" t="str">
            <v>Methylamine</v>
          </cell>
        </row>
        <row r="5353">
          <cell r="A5353" t="str">
            <v>f430p1_c</v>
          </cell>
          <cell r="B5353" t="str">
            <v>f430p1</v>
          </cell>
          <cell r="C5353" t="str">
            <v>Coenzyme F390 precursor 1</v>
          </cell>
        </row>
        <row r="5354">
          <cell r="A5354" t="str">
            <v>mfr_b_c</v>
          </cell>
          <cell r="B5354" t="str">
            <v>mfr_b</v>
          </cell>
          <cell r="C5354" t="str">
            <v>Methanofuran b</v>
          </cell>
        </row>
        <row r="5355">
          <cell r="A5355" t="str">
            <v>formh4spt_c</v>
          </cell>
          <cell r="B5355" t="str">
            <v>formh4spt</v>
          </cell>
          <cell r="C5355" t="str">
            <v>Formyltetrahydrosarcinapterin</v>
          </cell>
        </row>
        <row r="5356">
          <cell r="A5356" t="str">
            <v>f420_4_c</v>
          </cell>
          <cell r="B5356" t="str">
            <v>f420_4</v>
          </cell>
          <cell r="C5356" t="str">
            <v>Coenzyme ferredoxin 420-4</v>
          </cell>
        </row>
        <row r="5357">
          <cell r="A5357" t="str">
            <v>dhadrdpr_c</v>
          </cell>
          <cell r="B5357" t="str">
            <v>dhadrdpr</v>
          </cell>
          <cell r="C5357" t="str">
            <v>7,8-dihydropterin-6-ylmethyl-1-(4-aminophenyl)-1-deoxy-5-[1-A-D-ribofuranosyl 5'-diphosphate]-D-ribitol</v>
          </cell>
        </row>
        <row r="5358">
          <cell r="A5358" t="str">
            <v>dmh2mpt_c</v>
          </cell>
          <cell r="B5358" t="str">
            <v>dmh2mpt</v>
          </cell>
          <cell r="C5358" t="str">
            <v>Didemethylated 7,8-dihydromethanopterin</v>
          </cell>
        </row>
        <row r="5359">
          <cell r="A5359" t="str">
            <v>3hdpgpi_c</v>
          </cell>
          <cell r="B5359" t="str">
            <v>3hdpgpi</v>
          </cell>
          <cell r="C5359" t="str">
            <v>2-O-(3'-hydroxyl)phytanyl-3-O-phytanyl-sn-glycero-1-phospho-myo-inositol</v>
          </cell>
        </row>
        <row r="5360">
          <cell r="A5360" t="str">
            <v>hsfd_c</v>
          </cell>
          <cell r="B5360" t="str">
            <v>hsfd</v>
          </cell>
          <cell r="C5360" t="str">
            <v>Heterodisulfide</v>
          </cell>
        </row>
        <row r="5361">
          <cell r="A5361" t="str">
            <v>hspmd_c</v>
          </cell>
          <cell r="B5361" t="str">
            <v>hspmd</v>
          </cell>
          <cell r="C5361" t="str">
            <v>Sym-Homospermidine</v>
          </cell>
        </row>
        <row r="5362">
          <cell r="A5362" t="str">
            <v>lppg_c</v>
          </cell>
          <cell r="B5362" t="str">
            <v>lppg</v>
          </cell>
          <cell r="C5362" t="str">
            <v>Lactyl-(2)-diphospho-(5')-guanosine</v>
          </cell>
        </row>
        <row r="5363">
          <cell r="A5363" t="str">
            <v>slp__L_c</v>
          </cell>
          <cell r="B5363" t="str">
            <v>slp__L</v>
          </cell>
          <cell r="C5363" t="str">
            <v>L-sulfolactyl phosphate</v>
          </cell>
        </row>
        <row r="5364">
          <cell r="A5364" t="str">
            <v>2saa_c</v>
          </cell>
          <cell r="B5364" t="str">
            <v>2saa</v>
          </cell>
          <cell r="C5364" t="str">
            <v>2-sulfoacetaldehyde</v>
          </cell>
        </row>
        <row r="5365">
          <cell r="A5365" t="str">
            <v>glc__aD_c</v>
          </cell>
          <cell r="B5365" t="str">
            <v>glc__aD</v>
          </cell>
          <cell r="C5365" t="str">
            <v>Alpha D-glucose</v>
          </cell>
        </row>
        <row r="5366">
          <cell r="A5366" t="str">
            <v>beheneACP_c</v>
          </cell>
          <cell r="B5366" t="str">
            <v>beheneACP</v>
          </cell>
          <cell r="C5366" t="str">
            <v>Dosa-11-enoyl-ACP (n-C20:1)</v>
          </cell>
        </row>
        <row r="5367">
          <cell r="A5367" t="str">
            <v>dmosACP_c</v>
          </cell>
          <cell r="B5367" t="str">
            <v>dmosACP</v>
          </cell>
          <cell r="C5367" t="str">
            <v>13,14-Dimethyloctacosanedioic acid ACP (C30:0 ACP)</v>
          </cell>
        </row>
        <row r="5368">
          <cell r="A5368" t="str">
            <v>dmtaACP_c</v>
          </cell>
          <cell r="B5368" t="str">
            <v>dmtaACP</v>
          </cell>
          <cell r="C5368" t="str">
            <v>15,16-Dimethyltriacontanedioic acid ACP (C32:0 ACP)</v>
          </cell>
        </row>
        <row r="5369">
          <cell r="A5369" t="str">
            <v>gal_bD_c</v>
          </cell>
          <cell r="B5369" t="str">
            <v>gal_bD</v>
          </cell>
          <cell r="C5369" t="str">
            <v>Beta D-Galactose</v>
          </cell>
        </row>
        <row r="5370">
          <cell r="A5370" t="str">
            <v>glcman4_c</v>
          </cell>
          <cell r="B5370" t="str">
            <v>glcman4</v>
          </cell>
          <cell r="C5370" t="str">
            <v>Glucomannan (n=4 repeat units, glc beta-1,4 man)</v>
          </cell>
        </row>
        <row r="5371">
          <cell r="A5371" t="str">
            <v>glucan4_c</v>
          </cell>
          <cell r="B5371" t="str">
            <v>glucan4</v>
          </cell>
          <cell r="C5371" t="str">
            <v>Beta-1,3/1,4-glucan (Barley, n=4, Glc beta1-&gt;3,4 Glc)</v>
          </cell>
        </row>
        <row r="5372">
          <cell r="A5372" t="str">
            <v>manb_c</v>
          </cell>
          <cell r="B5372" t="str">
            <v>manb</v>
          </cell>
          <cell r="C5372" t="str">
            <v>Mannobiose (beta-1,4)</v>
          </cell>
        </row>
        <row r="5373">
          <cell r="A5373" t="str">
            <v>peptido_TM_c</v>
          </cell>
          <cell r="B5373" t="str">
            <v>peptido_TM</v>
          </cell>
          <cell r="C5373" t="str">
            <v>Peptidoglycan subunit of Thermotoga maritima</v>
          </cell>
        </row>
        <row r="5374">
          <cell r="A5374" t="str">
            <v>xyl3_c</v>
          </cell>
          <cell r="B5374" t="str">
            <v>xyl3</v>
          </cell>
          <cell r="C5374" t="str">
            <v>Xylotriose</v>
          </cell>
        </row>
        <row r="5375">
          <cell r="A5375" t="str">
            <v>xylan4_c</v>
          </cell>
          <cell r="B5375" t="str">
            <v>xylan4</v>
          </cell>
          <cell r="C5375" t="str">
            <v>Xylan (4 backbone units, 1 glcur side chain)</v>
          </cell>
        </row>
        <row r="5376">
          <cell r="A5376" t="str">
            <v>cell500_e</v>
          </cell>
          <cell r="B5376" t="str">
            <v>cell500</v>
          </cell>
          <cell r="C5376" t="str">
            <v>Celluose (n=500 repeating units, beta-1,4 glc)</v>
          </cell>
        </row>
        <row r="5377">
          <cell r="A5377" t="str">
            <v>galman4_e</v>
          </cell>
          <cell r="B5377" t="str">
            <v>galman4</v>
          </cell>
          <cell r="C5377" t="str">
            <v>Galactomannan(n=4 repeat units mannose, alpha-1,4 man)</v>
          </cell>
        </row>
        <row r="5378">
          <cell r="A5378" t="str">
            <v>glcman6_e</v>
          </cell>
          <cell r="B5378" t="str">
            <v>glcman6</v>
          </cell>
          <cell r="C5378" t="str">
            <v>Glucomannan (n=6 repeat units, glc beta-1,4 man)</v>
          </cell>
        </row>
        <row r="5379">
          <cell r="A5379" t="str">
            <v>glcman600_e</v>
          </cell>
          <cell r="B5379" t="str">
            <v>glcman600</v>
          </cell>
          <cell r="C5379" t="str">
            <v>Glucomannan (n=600 repeat units, glc beta-1,4 man)</v>
          </cell>
        </row>
        <row r="5380">
          <cell r="A5380" t="str">
            <v>glucan6_e</v>
          </cell>
          <cell r="B5380" t="str">
            <v>glucan6</v>
          </cell>
          <cell r="C5380" t="str">
            <v>Beta-1,3/1,4-glucan (Barley, n=6, Glc beta1-&gt;3,4 Glc)</v>
          </cell>
        </row>
        <row r="5381">
          <cell r="A5381" t="str">
            <v>glycogen1500_e</v>
          </cell>
          <cell r="B5381" t="str">
            <v>glycogen1500</v>
          </cell>
          <cell r="C5381" t="str">
            <v>Glycogen (n=1500 repeat units) (glc alpha 1,4/6 glc)</v>
          </cell>
        </row>
        <row r="5382">
          <cell r="A5382" t="str">
            <v>xylb_e</v>
          </cell>
          <cell r="B5382" t="str">
            <v>xylb</v>
          </cell>
          <cell r="C5382" t="str">
            <v>Xylobiose</v>
          </cell>
        </row>
        <row r="5383">
          <cell r="A5383" t="str">
            <v>cfesp_c</v>
          </cell>
          <cell r="B5383" t="str">
            <v>cfesp</v>
          </cell>
          <cell r="C5383" t="str">
            <v>Corrinoid Iron sulfur protein</v>
          </cell>
        </row>
        <row r="5384">
          <cell r="A5384" t="str">
            <v>clpn160_c</v>
          </cell>
          <cell r="B5384" t="str">
            <v>clpn160</v>
          </cell>
          <cell r="C5384" t="str">
            <v>Cardiolipin (tetrahexadecanoyl, n-C16:0)</v>
          </cell>
        </row>
        <row r="5385">
          <cell r="A5385" t="str">
            <v>clpn180_c</v>
          </cell>
          <cell r="B5385" t="str">
            <v>clpn180</v>
          </cell>
          <cell r="C5385" t="str">
            <v>Cardiolipin (tetraoctadecanoyl, n-C18:0)</v>
          </cell>
        </row>
        <row r="5386">
          <cell r="A5386" t="str">
            <v>araban__L_e</v>
          </cell>
          <cell r="B5386" t="str">
            <v>araban__L</v>
          </cell>
          <cell r="C5386" t="str">
            <v>Alpha-L-Arabinan (3 subunits)</v>
          </cell>
        </row>
        <row r="5387">
          <cell r="A5387" t="str">
            <v>murein4px4px4p_e</v>
          </cell>
          <cell r="B5387" t="str">
            <v>murein4px4px4p</v>
          </cell>
          <cell r="C5387" t="str">
            <v>Three disacharide linked murein units (tetrapeptide crosslinked tetrapeptide (A2pm-&gt;D-ala) &amp; tetrapeptide corsslinked tetrapeptide (A2pm-&gt;D-ala)) (middle of chain)</v>
          </cell>
        </row>
        <row r="5388">
          <cell r="A5388" t="str">
            <v>murein5p5p_e</v>
          </cell>
          <cell r="B5388" t="str">
            <v>murein5p5p</v>
          </cell>
          <cell r="C5388" t="str">
            <v>Two linked disacharide pentapeptide murein units (uncrosslinked, middle of chain)</v>
          </cell>
        </row>
        <row r="5389">
          <cell r="A5389" t="str">
            <v>murein5px4p_e</v>
          </cell>
          <cell r="B5389" t="str">
            <v>murein5px4p</v>
          </cell>
          <cell r="C5389" t="str">
            <v>Two disacharide linked murein units, pentapeptide crosslinked tetrapeptide (A2pm-&gt;D-ala) (middle of chain)</v>
          </cell>
        </row>
        <row r="5390">
          <cell r="A5390" t="str">
            <v>12dgr1601819Z_c</v>
          </cell>
          <cell r="B5390" t="str">
            <v>12dgr1601819Z</v>
          </cell>
          <cell r="C5390" t="str">
            <v>1,2-Diacyl-sn-glycerol (1-hexadecanoyl,2-(9Z)-octadecenoyl, 16:0/18:1(9Z))</v>
          </cell>
        </row>
        <row r="5391">
          <cell r="A5391" t="str">
            <v>12dgr18111Z160_h</v>
          </cell>
          <cell r="B5391" t="str">
            <v>12dgr18111Z160</v>
          </cell>
          <cell r="C5391" t="str">
            <v>1,2-Diacyl-sn-glycerol (1-(11Z)-octadecenoyl,2-hexadecanoyl, 18:1(11Z)/16:0)</v>
          </cell>
        </row>
        <row r="5392">
          <cell r="A5392" t="str">
            <v>12dgr18111Z18111Z_c</v>
          </cell>
          <cell r="B5392" t="str">
            <v>12dgr18111Z18111Z</v>
          </cell>
          <cell r="C5392" t="str">
            <v>1,2-Diacyl-sn-glycerol (1,2-di-(11Z)-octadecenoyl, 18:1(11Z)/18:1(11Z))</v>
          </cell>
        </row>
        <row r="5393">
          <cell r="A5393" t="str">
            <v>12dgr18111Z1819Z_h</v>
          </cell>
          <cell r="B5393" t="str">
            <v>12dgr18111Z1819Z</v>
          </cell>
          <cell r="C5393" t="str">
            <v>1,2-Diacyl-sn-glycerol (1-(11Z)-octadecenoyl,2-(9Z)-octadecenoyl, 18:1(11Z)/18:1(9Z))</v>
          </cell>
        </row>
        <row r="5394">
          <cell r="A5394" t="str">
            <v>12dgr1819Z18111Z_h</v>
          </cell>
          <cell r="B5394" t="str">
            <v>12dgr1819Z18111Z</v>
          </cell>
          <cell r="C5394" t="str">
            <v>1,2-Diacyl-sn-glycerol (1-(9Z)-octadecenoyl,2-(11Z)-octadecenoyl, 18:1(9Z)/18:1(11Z))</v>
          </cell>
        </row>
        <row r="5395">
          <cell r="A5395" t="str">
            <v>12dgr1819Z1819Z_c</v>
          </cell>
          <cell r="B5395" t="str">
            <v>12dgr1819Z1819Z</v>
          </cell>
          <cell r="C5395" t="str">
            <v>1,2-Diacyl-sn-glycerol (1,2-di-(9Z)-octadecenoyl, 18:1(9Z)/18:1(9Z))</v>
          </cell>
        </row>
        <row r="5396">
          <cell r="A5396" t="str">
            <v>25dhpp_h</v>
          </cell>
          <cell r="B5396" t="str">
            <v>25dhpp</v>
          </cell>
          <cell r="C5396" t="str">
            <v>2 5 Diamino 6 hydroxy 4  5  phosphoribosylamino  pyrimidine C9H14N5O8P</v>
          </cell>
        </row>
        <row r="5397">
          <cell r="A5397" t="str">
            <v>2ahethmpp_h</v>
          </cell>
          <cell r="B5397" t="str">
            <v>2ahethmpp</v>
          </cell>
          <cell r="C5397" t="str">
            <v>2-(alpha-Hydroxyethyl)thiamine diphosphate</v>
          </cell>
        </row>
        <row r="5398">
          <cell r="A5398" t="str">
            <v>2ahethmpp_m</v>
          </cell>
          <cell r="B5398" t="str">
            <v>2ahethmpp</v>
          </cell>
          <cell r="C5398" t="str">
            <v>2-(alpha-Hydroxyethyl)thiamine diphosphate</v>
          </cell>
        </row>
        <row r="5399">
          <cell r="A5399" t="str">
            <v>2h3oppan_m</v>
          </cell>
          <cell r="B5399" t="str">
            <v>2h3oppan</v>
          </cell>
          <cell r="C5399" t="str">
            <v>2-Hydroxy-3-oxopropanoate</v>
          </cell>
        </row>
        <row r="5400">
          <cell r="A5400" t="str">
            <v>2mhop_m</v>
          </cell>
          <cell r="B5400" t="str">
            <v>2mhop</v>
          </cell>
          <cell r="C5400" t="str">
            <v>2-Methyl-1-hydroxypropyl-ThPP</v>
          </cell>
        </row>
        <row r="5401">
          <cell r="A5401" t="str">
            <v>2pglyc_h</v>
          </cell>
          <cell r="B5401" t="str">
            <v>2pglyc</v>
          </cell>
          <cell r="C5401" t="str">
            <v>2-Phosphoglycolate</v>
          </cell>
        </row>
        <row r="5402">
          <cell r="A5402" t="str">
            <v>3c3hmp_h</v>
          </cell>
          <cell r="B5402" t="str">
            <v>3c3hmp</v>
          </cell>
          <cell r="C5402" t="str">
            <v>3-Carboxy-3-hydroxy-4-methylpentanoate</v>
          </cell>
        </row>
        <row r="5403">
          <cell r="A5403" t="str">
            <v>3dhq_h</v>
          </cell>
          <cell r="B5403" t="str">
            <v>3dhq</v>
          </cell>
          <cell r="C5403" t="str">
            <v>3-Dehydroquinate</v>
          </cell>
        </row>
        <row r="5404">
          <cell r="A5404" t="str">
            <v>3hbutACP_h</v>
          </cell>
          <cell r="B5404" t="str">
            <v>3hbutACP</v>
          </cell>
          <cell r="C5404" t="str">
            <v>(R)-3-Hydroxybutanoyl-[acyl-carrier protein]</v>
          </cell>
        </row>
        <row r="5405">
          <cell r="A5405" t="str">
            <v>3hdcoa_m</v>
          </cell>
          <cell r="B5405" t="str">
            <v>3hdcoa</v>
          </cell>
          <cell r="C5405" t="str">
            <v>(S)-3-Hydroxydecanoyl-CoA</v>
          </cell>
        </row>
        <row r="5406">
          <cell r="A5406" t="str">
            <v>3hdecACP_h</v>
          </cell>
          <cell r="B5406" t="str">
            <v>3hdecACP</v>
          </cell>
          <cell r="C5406" t="str">
            <v>(R)-3-Hydroxydecanoyl-[acyl-carrier protein]</v>
          </cell>
        </row>
        <row r="5407">
          <cell r="A5407" t="str">
            <v>3hhdcoa_m</v>
          </cell>
          <cell r="B5407" t="str">
            <v>3hhdcoa</v>
          </cell>
          <cell r="C5407" t="str">
            <v>(S)-3-Hydroxyhexadecanoyl-CoA</v>
          </cell>
        </row>
        <row r="5408">
          <cell r="A5408" t="str">
            <v>3hocoa_m</v>
          </cell>
          <cell r="B5408" t="str">
            <v>3hocoa</v>
          </cell>
          <cell r="C5408" t="str">
            <v>(S)-3-Hydroxyoctanoyl-CoA</v>
          </cell>
        </row>
        <row r="5409">
          <cell r="A5409" t="str">
            <v>3hoctaACP_h</v>
          </cell>
          <cell r="B5409" t="str">
            <v>3hoctaACP</v>
          </cell>
          <cell r="C5409" t="str">
            <v>(R)-3-Hydroxyoctadecanoyl-[acyl-carrier protein]</v>
          </cell>
        </row>
        <row r="5410">
          <cell r="A5410" t="str">
            <v>3mbdhl_m</v>
          </cell>
          <cell r="B5410" t="str">
            <v>3mbdhl</v>
          </cell>
          <cell r="C5410" t="str">
            <v>S-(3-Methylbutanoyl)-dihydrolipoamide</v>
          </cell>
        </row>
        <row r="5411">
          <cell r="A5411" t="str">
            <v>3mhtpp_m</v>
          </cell>
          <cell r="B5411" t="str">
            <v>3mhtpp</v>
          </cell>
          <cell r="C5411" t="str">
            <v>3-Methyl-1-hydroxybutyl-ThPP</v>
          </cell>
        </row>
        <row r="5412">
          <cell r="A5412" t="str">
            <v>3mop_h</v>
          </cell>
          <cell r="B5412" t="str">
            <v>3mop</v>
          </cell>
          <cell r="C5412" t="str">
            <v>(S)-3-Methyl-2-oxopentanoate</v>
          </cell>
        </row>
        <row r="5413">
          <cell r="A5413" t="str">
            <v>3odcoa_m</v>
          </cell>
          <cell r="B5413" t="str">
            <v>3odcoa</v>
          </cell>
          <cell r="C5413" t="str">
            <v>3-Oxodecanoyl-CoA</v>
          </cell>
        </row>
        <row r="5414">
          <cell r="A5414" t="str">
            <v>3ohcoa_m</v>
          </cell>
          <cell r="B5414" t="str">
            <v>3ohcoa</v>
          </cell>
          <cell r="C5414" t="str">
            <v>3-Oxohexanoyl-CoA</v>
          </cell>
        </row>
        <row r="5415">
          <cell r="A5415" t="str">
            <v>3oocoa_x</v>
          </cell>
          <cell r="B5415" t="str">
            <v>3oocoa</v>
          </cell>
          <cell r="C5415" t="str">
            <v>3-Oxooctanoyl-CoA</v>
          </cell>
        </row>
        <row r="5416">
          <cell r="A5416" t="str">
            <v>3opalmACP_h</v>
          </cell>
          <cell r="B5416" t="str">
            <v>3opalmACP</v>
          </cell>
          <cell r="C5416" t="str">
            <v>3-Oxohexadecanoyl-[acyl-carrier protein]</v>
          </cell>
        </row>
        <row r="5417">
          <cell r="A5417" t="str">
            <v>3opcoa_c</v>
          </cell>
          <cell r="B5417" t="str">
            <v>3opcoa</v>
          </cell>
          <cell r="C5417" t="str">
            <v>3-oxopropionyl-CoA</v>
          </cell>
        </row>
        <row r="5418">
          <cell r="A5418" t="str">
            <v>3pg_f</v>
          </cell>
          <cell r="B5418" t="str">
            <v>3pg</v>
          </cell>
          <cell r="C5418" t="str">
            <v>3-Phospho-D-glycerate</v>
          </cell>
        </row>
        <row r="5419">
          <cell r="A5419" t="str">
            <v>3pg_h</v>
          </cell>
          <cell r="B5419" t="str">
            <v>3pg</v>
          </cell>
          <cell r="C5419" t="str">
            <v>3-Phospho-D-glycerate</v>
          </cell>
        </row>
        <row r="5420">
          <cell r="A5420" t="str">
            <v>3pg_m</v>
          </cell>
          <cell r="B5420" t="str">
            <v>3pg</v>
          </cell>
          <cell r="C5420" t="str">
            <v>3-Phospho-D-glycerate</v>
          </cell>
        </row>
        <row r="5421">
          <cell r="A5421" t="str">
            <v>4hproaraaraara_g</v>
          </cell>
          <cell r="B5421" t="str">
            <v>4hproaraaraara</v>
          </cell>
          <cell r="C5421" t="str">
            <v>Hyp(4-b1)Ara(2-b1)Ara(2-b1)Ara</v>
          </cell>
        </row>
        <row r="5422">
          <cell r="A5422" t="str">
            <v>4hproara_aragalara_gal_g</v>
          </cell>
          <cell r="B5422" t="str">
            <v>4hproara_aragalara_gal</v>
          </cell>
          <cell r="C5422" t="str">
            <v>Hyp(4-b1)Ara[(2-b1)Ara(2-a1)Gal(2-b1)Ara](3-a1)Gal</v>
          </cell>
        </row>
        <row r="5423">
          <cell r="A5423" t="str">
            <v>4hproara_aragal_galara_g</v>
          </cell>
          <cell r="B5423" t="str">
            <v>4hproara_aragal_galara</v>
          </cell>
          <cell r="C5423" t="str">
            <v>Hyp(4-b1)Ara[(2-b1)Ara(2-a1)Gal](3-a1)Gal(2-b1)Ara</v>
          </cell>
        </row>
        <row r="5424">
          <cell r="A5424" t="str">
            <v>4hproara_ara_galaragal_g</v>
          </cell>
          <cell r="B5424" t="str">
            <v>4hproara_ara_galaragal</v>
          </cell>
          <cell r="C5424" t="str">
            <v>Hyp(4-b1)Ara[(2-b1)Ara](3-a1)Gal(2-b1)Ara(2-a1)Gal</v>
          </cell>
        </row>
        <row r="5425">
          <cell r="A5425" t="str">
            <v>4ogm_c</v>
          </cell>
          <cell r="B5425" t="str">
            <v>4ogm</v>
          </cell>
          <cell r="C5425" t="str">
            <v>4-oxoglutaramate</v>
          </cell>
        </row>
        <row r="5426">
          <cell r="A5426" t="str">
            <v>56dh5flura_c</v>
          </cell>
          <cell r="B5426" t="str">
            <v>56dh5flura</v>
          </cell>
          <cell r="C5426" t="str">
            <v>5,6-Dihydro-5-fluorouracil</v>
          </cell>
        </row>
        <row r="5427">
          <cell r="A5427" t="str">
            <v>5aizc_h</v>
          </cell>
          <cell r="B5427" t="str">
            <v>5aizc</v>
          </cell>
          <cell r="C5427" t="str">
            <v>5-amino-1-(5-phospho-D-ribosyl)imidazole-4-carboxylate</v>
          </cell>
        </row>
        <row r="5428">
          <cell r="A5428" t="str">
            <v>5aop_h</v>
          </cell>
          <cell r="B5428" t="str">
            <v>5aop</v>
          </cell>
          <cell r="C5428" t="str">
            <v>5-Amino-4-oxopentanoate</v>
          </cell>
        </row>
        <row r="5429">
          <cell r="A5429" t="str">
            <v>5flura_e</v>
          </cell>
          <cell r="B5429" t="str">
            <v>5flura</v>
          </cell>
          <cell r="C5429" t="str">
            <v>5-Fluorouracil</v>
          </cell>
        </row>
        <row r="5430">
          <cell r="A5430" t="str">
            <v>5hiu_m</v>
          </cell>
          <cell r="B5430" t="str">
            <v>5hiu</v>
          </cell>
          <cell r="C5430" t="str">
            <v>5-Hydroxyisourate</v>
          </cell>
        </row>
        <row r="5431">
          <cell r="A5431" t="str">
            <v>5houdic_m</v>
          </cell>
          <cell r="B5431" t="str">
            <v>5houdic</v>
          </cell>
          <cell r="C5431" t="str">
            <v>5-Hydroxy-2-oxo-4-ureido-2,5-dihydro-1H-imidazole-5-carboxylate</v>
          </cell>
        </row>
        <row r="5432">
          <cell r="A5432" t="str">
            <v>5mta_h</v>
          </cell>
          <cell r="B5432" t="str">
            <v>5mta</v>
          </cell>
          <cell r="C5432" t="str">
            <v>5-Methylthioadenosine</v>
          </cell>
        </row>
        <row r="5433">
          <cell r="A5433" t="str">
            <v>5mta_m</v>
          </cell>
          <cell r="B5433" t="str">
            <v>5mta</v>
          </cell>
          <cell r="C5433" t="str">
            <v>5-Methylthioadenosine</v>
          </cell>
        </row>
        <row r="5434">
          <cell r="A5434" t="str">
            <v>6mpur_c</v>
          </cell>
          <cell r="B5434" t="str">
            <v>6mpur</v>
          </cell>
          <cell r="C5434" t="str">
            <v>6-Mercaptopurine</v>
          </cell>
        </row>
        <row r="5435">
          <cell r="A5435" t="str">
            <v>6pgc_h</v>
          </cell>
          <cell r="B5435" t="str">
            <v>6pgc</v>
          </cell>
          <cell r="C5435" t="str">
            <v>6-Phospho-D-gluconate</v>
          </cell>
        </row>
        <row r="5436">
          <cell r="A5436" t="str">
            <v>aact_x</v>
          </cell>
          <cell r="B5436" t="str">
            <v>aact</v>
          </cell>
          <cell r="C5436" t="str">
            <v>Aminoacetone</v>
          </cell>
        </row>
        <row r="5437">
          <cell r="A5437" t="str">
            <v>ac_s</v>
          </cell>
          <cell r="B5437" t="str">
            <v>ac</v>
          </cell>
          <cell r="C5437" t="str">
            <v>Acetate</v>
          </cell>
        </row>
        <row r="5438">
          <cell r="A5438" t="str">
            <v>acald_h</v>
          </cell>
          <cell r="B5438" t="str">
            <v>acald</v>
          </cell>
          <cell r="C5438" t="str">
            <v>Acetaldehyde</v>
          </cell>
        </row>
        <row r="5439">
          <cell r="A5439" t="str">
            <v>acaro_h</v>
          </cell>
          <cell r="B5439" t="str">
            <v>acaro</v>
          </cell>
          <cell r="C5439" t="str">
            <v>Alpha-Carotene</v>
          </cell>
        </row>
        <row r="5440">
          <cell r="A5440" t="str">
            <v>acser_h</v>
          </cell>
          <cell r="B5440" t="str">
            <v>acser</v>
          </cell>
          <cell r="C5440" t="str">
            <v>O-Acetyl-L-serine</v>
          </cell>
        </row>
        <row r="5441">
          <cell r="A5441" t="str">
            <v>acser_m</v>
          </cell>
          <cell r="B5441" t="str">
            <v>acser</v>
          </cell>
          <cell r="C5441" t="str">
            <v>O-Acetyl-L-serine</v>
          </cell>
        </row>
        <row r="5442">
          <cell r="A5442" t="str">
            <v>actp_h</v>
          </cell>
          <cell r="B5442" t="str">
            <v>actp</v>
          </cell>
          <cell r="C5442" t="str">
            <v>Acetyl phosphate</v>
          </cell>
        </row>
        <row r="5443">
          <cell r="A5443" t="str">
            <v>actp_m</v>
          </cell>
          <cell r="B5443" t="str">
            <v>actp</v>
          </cell>
          <cell r="C5443" t="str">
            <v>Acetyl phosphate</v>
          </cell>
        </row>
        <row r="5444">
          <cell r="A5444" t="str">
            <v>adp_f</v>
          </cell>
          <cell r="B5444" t="str">
            <v>adp</v>
          </cell>
          <cell r="C5444" t="str">
            <v>ADP C10H12N5O10P2</v>
          </cell>
        </row>
        <row r="5445">
          <cell r="A5445" t="str">
            <v>adp_h</v>
          </cell>
          <cell r="B5445" t="str">
            <v>adp</v>
          </cell>
          <cell r="C5445" t="str">
            <v>ADP C10H12N5O10P2</v>
          </cell>
        </row>
        <row r="5446">
          <cell r="A5446" t="str">
            <v>aflbala_c</v>
          </cell>
          <cell r="B5446" t="str">
            <v>aflbala</v>
          </cell>
          <cell r="C5446" t="str">
            <v>Alpha-Fluoro-beta-alanine</v>
          </cell>
        </row>
        <row r="5447">
          <cell r="A5447" t="str">
            <v>agm_n</v>
          </cell>
          <cell r="B5447" t="str">
            <v>agm</v>
          </cell>
          <cell r="C5447" t="str">
            <v>Agmatine</v>
          </cell>
        </row>
        <row r="5448">
          <cell r="A5448" t="str">
            <v>akg_h</v>
          </cell>
          <cell r="B5448" t="str">
            <v>akg</v>
          </cell>
          <cell r="C5448" t="str">
            <v>2-Oxoglutarate</v>
          </cell>
        </row>
        <row r="5449">
          <cell r="A5449" t="str">
            <v>ala_B_h</v>
          </cell>
          <cell r="B5449" t="str">
            <v>ala_B</v>
          </cell>
          <cell r="C5449" t="str">
            <v>Beta-Alanine</v>
          </cell>
        </row>
        <row r="5450">
          <cell r="A5450" t="str">
            <v>amet_h</v>
          </cell>
          <cell r="B5450" t="str">
            <v>amet</v>
          </cell>
          <cell r="C5450" t="str">
            <v>S-Adenosyl-L-methionine</v>
          </cell>
        </row>
        <row r="5451">
          <cell r="A5451" t="str">
            <v>ametam_h</v>
          </cell>
          <cell r="B5451" t="str">
            <v>ametam</v>
          </cell>
          <cell r="C5451" t="str">
            <v>S-Adenosylmethioninamine</v>
          </cell>
        </row>
        <row r="5452">
          <cell r="A5452" t="str">
            <v>ametam_m</v>
          </cell>
          <cell r="B5452" t="str">
            <v>ametam</v>
          </cell>
          <cell r="C5452" t="str">
            <v>S-Adenosylmethioninamine</v>
          </cell>
        </row>
        <row r="5453">
          <cell r="A5453" t="str">
            <v>anxan_u</v>
          </cell>
          <cell r="B5453" t="str">
            <v>anxan</v>
          </cell>
          <cell r="C5453" t="str">
            <v>Antheraxanthin</v>
          </cell>
        </row>
        <row r="5454">
          <cell r="A5454" t="str">
            <v>ap4a_n</v>
          </cell>
          <cell r="B5454" t="str">
            <v>ap4a</v>
          </cell>
          <cell r="C5454" t="str">
            <v>P1,P4-Bis(5'-adenosyl) tetraphosphate</v>
          </cell>
        </row>
        <row r="5455">
          <cell r="A5455" t="str">
            <v>apofetn_h</v>
          </cell>
          <cell r="B5455" t="str">
            <v>apofetn</v>
          </cell>
          <cell r="C5455" t="str">
            <v>Apoferritin</v>
          </cell>
        </row>
        <row r="5456">
          <cell r="A5456" t="str">
            <v>apotfen_h</v>
          </cell>
          <cell r="B5456" t="str">
            <v>apotfen</v>
          </cell>
          <cell r="C5456" t="str">
            <v>Apotransferrin</v>
          </cell>
        </row>
        <row r="5457">
          <cell r="A5457" t="str">
            <v>apppa_n</v>
          </cell>
          <cell r="B5457" t="str">
            <v>apppa</v>
          </cell>
          <cell r="C5457" t="str">
            <v>P1,P3-Bis(5'-adenosyl) triphosphate</v>
          </cell>
        </row>
        <row r="5458">
          <cell r="A5458" t="str">
            <v>arso4_c</v>
          </cell>
          <cell r="B5458" t="str">
            <v>arso4</v>
          </cell>
          <cell r="C5458" t="str">
            <v>Aryl sulfate</v>
          </cell>
        </row>
        <row r="5459">
          <cell r="A5459" t="str">
            <v>ascb__L_u</v>
          </cell>
          <cell r="B5459" t="str">
            <v>ascb__L</v>
          </cell>
          <cell r="C5459" t="str">
            <v>L-Ascorbate</v>
          </cell>
        </row>
        <row r="5460">
          <cell r="A5460" t="str">
            <v>asnglcnacglcnacman_man_manman_manman_manmanman_c</v>
          </cell>
          <cell r="B5460" t="str">
            <v>asnglcnacglcnacman_man_manman_manman_manmanman</v>
          </cell>
          <cell r="C5460" t="str">
            <v>Asn(-b1)GlcNAc(4-b1)GlcNAc(4-b1)Man[(6-a1)Man[(6-a1)Man(2-a1)Man](3-a1)Man(2-a1)Man](3-a1)Man(2-a1)Man(2-a1)Man</v>
          </cell>
        </row>
        <row r="5461">
          <cell r="A5461" t="str">
            <v>asnglcnacglcnacman_man_manman_man_man_man_manman_c</v>
          </cell>
          <cell r="B5461" t="str">
            <v>asnglcnacglcnacman_man_manman_man_man_man_manman</v>
          </cell>
          <cell r="C5461" t="str">
            <v>Asn(-b1)GlcNAc(4-b1)GlcNAc(4-b1)Man[(6-a1)Man[(6-a1)Man(2-a1)Man](3-a1)Man](3-a1)Man[(6-a1)Man](2-a1)Man(2-a1)Man</v>
          </cell>
        </row>
        <row r="5462">
          <cell r="A5462" t="str">
            <v>asnglcnacglcnacman_man_manman_man_manmanman_c</v>
          </cell>
          <cell r="B5462" t="str">
            <v>asnglcnacglcnacman_man_manman_man_manmanman</v>
          </cell>
          <cell r="C5462" t="str">
            <v>Asn(-b1)GlcNAc(4-b1)GlcNAc(4-b1)Man[(6-a1)Man[(6-a1)Man(2-a1)Man](3-a1)Man](3-a1)Man(2-a1)Man(2-a1)Man</v>
          </cell>
        </row>
        <row r="5463">
          <cell r="A5463" t="str">
            <v>Asn_X_Ser_Thr_c</v>
          </cell>
          <cell r="B5463" t="str">
            <v>Asn_X_Ser_Thr</v>
          </cell>
          <cell r="C5463" t="str">
            <v>Asn  X  Ser FSLASH Thr l</v>
          </cell>
        </row>
        <row r="5464">
          <cell r="A5464" t="str">
            <v>asqdca18111Z160_c</v>
          </cell>
          <cell r="B5464" t="str">
            <v>asqdca18111Z160</v>
          </cell>
          <cell r="C5464" t="str">
            <v>2'-O-all-cis-5,9,12,15-octadecatetraenoyl-sulfoquinovosyldiacylglycerol (2'-18:4(5,9,12,15)/18:1(11Z)/16:0)</v>
          </cell>
        </row>
        <row r="5465">
          <cell r="A5465" t="str">
            <v>asqdca1819Z160_c</v>
          </cell>
          <cell r="B5465" t="str">
            <v>asqdca1819Z160</v>
          </cell>
          <cell r="C5465" t="str">
            <v>2'-O-all-cis-5,9,12,15-octadecatetraenoyl-sulfoquinovosyldiacylglycerol (2'-18:4(5,9,12,15)/18:1(9Z)/16:0)</v>
          </cell>
        </row>
        <row r="5466">
          <cell r="A5466" t="str">
            <v>asqdpa18111Z160_c</v>
          </cell>
          <cell r="B5466" t="str">
            <v>asqdpa18111Z160</v>
          </cell>
          <cell r="C5466" t="str">
            <v>2'-O-all-cis-5,9,12-octadecatrienoyl-sulfoquinovosyldiacylglycerol (2'-18:3(5,9,12)/18:1(11Z)/16:0)</v>
          </cell>
        </row>
        <row r="5467">
          <cell r="A5467" t="str">
            <v>asqdpa1839Z12Z15Z160_c</v>
          </cell>
          <cell r="B5467" t="str">
            <v>asqdpa1839Z12Z15Z160</v>
          </cell>
          <cell r="C5467" t="str">
            <v>2'-O-all-cis-5,9,12-octadecatrienoyl-sulfoquinovosyldiacylglycerol (2'-18:3(5,9,12)/18:3(9Z,12Z,15Z)/16:0)</v>
          </cell>
        </row>
        <row r="5468">
          <cell r="A5468" t="str">
            <v>B_ara1p_c</v>
          </cell>
          <cell r="B5468" t="str">
            <v>B_ara1p</v>
          </cell>
          <cell r="C5468" t="str">
            <v>Beta-L-Arabinose 1-phosphate</v>
          </cell>
        </row>
        <row r="5469">
          <cell r="A5469" t="str">
            <v>biliverd_h</v>
          </cell>
          <cell r="B5469" t="str">
            <v>biliverd</v>
          </cell>
          <cell r="C5469" t="str">
            <v>Biliverdin cytosol</v>
          </cell>
        </row>
        <row r="5470">
          <cell r="A5470" t="str">
            <v>btal_h</v>
          </cell>
          <cell r="B5470" t="str">
            <v>btal</v>
          </cell>
          <cell r="C5470" t="str">
            <v>Butanal C4H8O</v>
          </cell>
        </row>
        <row r="5471">
          <cell r="A5471" t="str">
            <v>btcoa_h</v>
          </cell>
          <cell r="B5471" t="str">
            <v>btcoa</v>
          </cell>
          <cell r="C5471" t="str">
            <v>Butanoyl-CoA</v>
          </cell>
        </row>
        <row r="5472">
          <cell r="A5472" t="str">
            <v>bvite_h</v>
          </cell>
          <cell r="B5472" t="str">
            <v>bvite</v>
          </cell>
          <cell r="C5472" t="str">
            <v>Beta-Tocopherol</v>
          </cell>
        </row>
        <row r="5473">
          <cell r="A5473" t="str">
            <v>ca_c</v>
          </cell>
          <cell r="B5473" t="str">
            <v>ca</v>
          </cell>
          <cell r="C5473" t="str">
            <v>Coniferonic acid (18:4(5Z,9Z,12Z,15Z))</v>
          </cell>
        </row>
        <row r="5474">
          <cell r="A5474" t="str">
            <v>carn_h</v>
          </cell>
          <cell r="B5474" t="str">
            <v>carn</v>
          </cell>
          <cell r="C5474" t="str">
            <v>L-Carnosine</v>
          </cell>
        </row>
        <row r="5475">
          <cell r="A5475" t="str">
            <v>caro_h</v>
          </cell>
          <cell r="B5475" t="str">
            <v>caro</v>
          </cell>
          <cell r="C5475" t="str">
            <v>Beta-Carotene</v>
          </cell>
        </row>
        <row r="5476">
          <cell r="A5476" t="str">
            <v>cbasp_m</v>
          </cell>
          <cell r="B5476" t="str">
            <v>cbasp</v>
          </cell>
          <cell r="C5476" t="str">
            <v>N-Carbamoyl-L-aspartate</v>
          </cell>
        </row>
        <row r="5477">
          <cell r="A5477" t="str">
            <v>Ncbmpts_m</v>
          </cell>
          <cell r="B5477" t="str">
            <v>Ncbmpts</v>
          </cell>
          <cell r="C5477" t="str">
            <v>N-Carbamoylputrescine</v>
          </cell>
        </row>
        <row r="5478">
          <cell r="A5478" t="str">
            <v>cdp12dgr18111Z160_c</v>
          </cell>
          <cell r="B5478" t="str">
            <v>cdp12dgr18111Z160</v>
          </cell>
          <cell r="C5478" t="str">
            <v>CDP-1-(9Z)-octadecenoyl,2-hexadecanoyl-sn-glycerol</v>
          </cell>
        </row>
        <row r="5479">
          <cell r="A5479" t="str">
            <v>chldb_u</v>
          </cell>
          <cell r="B5479" t="str">
            <v>chldb</v>
          </cell>
          <cell r="C5479" t="str">
            <v>Chlorophyllide b</v>
          </cell>
        </row>
        <row r="5480">
          <cell r="A5480" t="str">
            <v>cyart_c</v>
          </cell>
          <cell r="B5480" t="str">
            <v>cyart</v>
          </cell>
          <cell r="C5480" t="str">
            <v>Cycloartenol</v>
          </cell>
        </row>
        <row r="5481">
          <cell r="A5481" t="str">
            <v>cyeuol_c</v>
          </cell>
          <cell r="B5481" t="str">
            <v>cyeuol</v>
          </cell>
          <cell r="C5481" t="str">
            <v>Cycloeucalenol</v>
          </cell>
        </row>
        <row r="5482">
          <cell r="A5482" t="str">
            <v>cys__L_h</v>
          </cell>
          <cell r="B5482" t="str">
            <v>cys__L</v>
          </cell>
          <cell r="C5482" t="str">
            <v>L-Cysteine</v>
          </cell>
        </row>
        <row r="5483">
          <cell r="A5483" t="str">
            <v>cyst__L_h</v>
          </cell>
          <cell r="B5483" t="str">
            <v>cyst__L</v>
          </cell>
          <cell r="C5483" t="str">
            <v>L-Cystathionine</v>
          </cell>
        </row>
        <row r="5484">
          <cell r="A5484" t="str">
            <v>cytP450o_c</v>
          </cell>
          <cell r="B5484" t="str">
            <v>cytP450o</v>
          </cell>
          <cell r="C5484" t="str">
            <v>Oxidized flavoprotein (cytochrome P-450)</v>
          </cell>
        </row>
        <row r="5485">
          <cell r="A5485" t="str">
            <v>dcamp_h</v>
          </cell>
          <cell r="B5485" t="str">
            <v>dcamp</v>
          </cell>
          <cell r="C5485" t="str">
            <v>N6-(1,2-Dicarboxyethyl)-AMP</v>
          </cell>
        </row>
        <row r="5486">
          <cell r="A5486" t="str">
            <v>ddca_h</v>
          </cell>
          <cell r="B5486" t="str">
            <v>ddca</v>
          </cell>
          <cell r="C5486" t="str">
            <v>Dodecanoate (n-C12:0)</v>
          </cell>
        </row>
        <row r="5487">
          <cell r="A5487" t="str">
            <v>ddsmsterol_c</v>
          </cell>
          <cell r="B5487" t="str">
            <v>ddsmsterol</v>
          </cell>
          <cell r="C5487" t="str">
            <v>7-Dehydrodesmosterol</v>
          </cell>
        </row>
        <row r="5488">
          <cell r="A5488" t="str">
            <v>dgdg1819Z160_h</v>
          </cell>
          <cell r="B5488" t="str">
            <v>dgdg1819Z160</v>
          </cell>
          <cell r="C5488" t="str">
            <v>Digalactosyldiacylglycerol (1-(9Z)-octadecenoyl,2-hexadecanoyl, 18:1(9Z)/16:0)</v>
          </cell>
        </row>
        <row r="5489">
          <cell r="A5489" t="str">
            <v>dgdg1819Z1619Z_h</v>
          </cell>
          <cell r="B5489" t="str">
            <v>dgdg1819Z1619Z</v>
          </cell>
          <cell r="C5489" t="str">
            <v>Digalactosyldiacylglycerol (1-(9Z)-octadecenoyl,2-(9Z)-hexadecenoyl, 18:1(9Z)/16:1(9Z))</v>
          </cell>
        </row>
        <row r="5490">
          <cell r="A5490" t="str">
            <v>dgdg1829Z12Z1617Z_h</v>
          </cell>
          <cell r="B5490" t="str">
            <v>dgdg1829Z12Z1617Z</v>
          </cell>
          <cell r="C5490" t="str">
            <v>Digalactosyldiacylglycerol (1-(9Z,12Z)-octadecadienoyl,2-(7Z)-hexadecenoyl, 18:2(9Z,12Z)/16:1(7Z))</v>
          </cell>
        </row>
        <row r="5491">
          <cell r="A5491" t="str">
            <v>dgdg1839Z12Z15Z160_h</v>
          </cell>
          <cell r="B5491" t="str">
            <v>dgdg1839Z12Z15Z160</v>
          </cell>
          <cell r="C5491" t="str">
            <v>Digalactosyldiacylglycerol (1-(9Z,12Z,15Z)-octadecatrienoyl,2-hexadecanoyl, 18:3(9Z,12Z,15Z)/16:0)</v>
          </cell>
        </row>
        <row r="5492">
          <cell r="A5492" t="str">
            <v>dgdg1839Z12Z15Z1634Z7Z10Z_h</v>
          </cell>
          <cell r="B5492" t="str">
            <v>dgdg1839Z12Z15Z1634Z7Z10Z</v>
          </cell>
          <cell r="C5492" t="str">
            <v>Digalactosyldiacylglycerol (1-(9Z,12Z,15Z)-octadecatrienoyl,2-(4Z,7Z,10Z)-hexadecatrienoyl, 18:3(9Z,12Z,15Z)/16:3(4Z,7Z,10Z))</v>
          </cell>
        </row>
        <row r="5493">
          <cell r="A5493" t="str">
            <v>dgdg1839Z12Z15Z1644Z7Z10Z13Z_h</v>
          </cell>
          <cell r="B5493" t="str">
            <v>dgdg1839Z12Z15Z1644Z7Z10Z13Z</v>
          </cell>
          <cell r="C5493" t="str">
            <v>Digalactosyldiacylglycerol (1-(9Z,12Z,15Z)-octadecatrienoyl,2-(4Z,7Z,10Z,13Z)-hexadecatetraenoyl, 18:3(9Z,12Z,15Z)/16:4(4Z,7Z,10Z,13Z))</v>
          </cell>
        </row>
        <row r="5494">
          <cell r="A5494" t="str">
            <v>dghs1819Z1819Z_c</v>
          </cell>
          <cell r="B5494" t="str">
            <v>dghs1819Z1819Z</v>
          </cell>
          <cell r="C5494" t="str">
            <v>Diacylglycerolhomoserine (18:1(9Z)/18:1(9Z))</v>
          </cell>
        </row>
        <row r="5495">
          <cell r="A5495" t="str">
            <v>dgts16018111Z_c</v>
          </cell>
          <cell r="B5495" t="str">
            <v>dgts16018111Z</v>
          </cell>
          <cell r="C5495" t="str">
            <v>Diacylglyceryl-N,N,N-trimethylhomoserine (16:0/18:1(11Z))</v>
          </cell>
        </row>
        <row r="5496">
          <cell r="A5496" t="str">
            <v>dgts18111Z1835Z9Z12Z_c</v>
          </cell>
          <cell r="B5496" t="str">
            <v>dgts18111Z1835Z9Z12Z</v>
          </cell>
          <cell r="C5496" t="str">
            <v>Diacylglyceryl-N,N,N-trimethylhomoserine (18:1(11Z)/18:3(5Z,9Z,12Z))</v>
          </cell>
        </row>
        <row r="5497">
          <cell r="A5497" t="str">
            <v>dgts18111Z1845Z9Z12Z15Z_c</v>
          </cell>
          <cell r="B5497" t="str">
            <v>dgts18111Z1845Z9Z12Z15Z</v>
          </cell>
          <cell r="C5497" t="str">
            <v>Diacylglyceryl-N,N,N-trimethylhomoserine (18:1(11Z)/18:4(5Z,9Z,12Z,15Z))</v>
          </cell>
        </row>
        <row r="5498">
          <cell r="A5498" t="str">
            <v>dgts1819Z18111Z_c</v>
          </cell>
          <cell r="B5498" t="str">
            <v>dgts1819Z18111Z</v>
          </cell>
          <cell r="C5498" t="str">
            <v>Diacylglyceryl-N,N,N-trimethylhomoserine (18:1(9Z)/18:1(11Z))</v>
          </cell>
        </row>
        <row r="5499">
          <cell r="A5499" t="str">
            <v>dgts1829Z12Z1835Z9Z12Z_c</v>
          </cell>
          <cell r="B5499" t="str">
            <v>dgts1829Z12Z1835Z9Z12Z</v>
          </cell>
          <cell r="C5499" t="str">
            <v>Diacylglyceryl-N,N,N-trimethylhomoserine (18:2(9Z,12Z)/18:3(5Z,9Z,12Z))</v>
          </cell>
        </row>
        <row r="5500">
          <cell r="A5500" t="str">
            <v>dgts1839Z12Z15Z18111Z_c</v>
          </cell>
          <cell r="B5500" t="str">
            <v>dgts1839Z12Z15Z18111Z</v>
          </cell>
          <cell r="C5500" t="str">
            <v>Diacylglyceryl-N,N,N-trimethylhomoserine (18:3(9Z,12Z,15Z)/18:1(11Z))</v>
          </cell>
        </row>
        <row r="5501">
          <cell r="A5501" t="str">
            <v>dgts1839Z12Z15Z1845Z9Z12Z15Z_c</v>
          </cell>
          <cell r="B5501" t="str">
            <v>dgts1839Z12Z15Z1845Z9Z12Z15Z</v>
          </cell>
          <cell r="C5501" t="str">
            <v>Diacylglyceryl-N,N,N-trimethylhomoserine (18:3(9Z,12Z,15Z)/18:4(5Z,9Z,12Z,15Z))</v>
          </cell>
        </row>
        <row r="5502">
          <cell r="A5502" t="str">
            <v>dhretinol_s</v>
          </cell>
          <cell r="B5502" t="str">
            <v>dhretinol</v>
          </cell>
          <cell r="C5502" t="str">
            <v>All-trans-13,14-Dihydroretinol</v>
          </cell>
        </row>
        <row r="5503">
          <cell r="A5503" t="str">
            <v>dmpp_h</v>
          </cell>
          <cell r="B5503" t="str">
            <v>dmpp</v>
          </cell>
          <cell r="C5503" t="str">
            <v>Dimethylallyl diphosphate</v>
          </cell>
        </row>
        <row r="5504">
          <cell r="A5504" t="str">
            <v>doldpglcnac_c</v>
          </cell>
          <cell r="B5504" t="str">
            <v>doldpglcnac</v>
          </cell>
          <cell r="C5504" t="str">
            <v>PP-Dol(-a1)GlcNAc</v>
          </cell>
        </row>
        <row r="5505">
          <cell r="A5505" t="str">
            <v>doldpglcnacglcnacman_man_manman_manman_manmanman_c</v>
          </cell>
          <cell r="B5505" t="str">
            <v>doldpglcnacglcnacman_man_manman_manman_manmanman</v>
          </cell>
          <cell r="C5505" t="str">
            <v>PP-Dol(-a1)GlcNAc(4-b1)GlcNAc(4-b1)Man[(6-a1)Man[(6-a1)Man(2-a1)Man](3-a1)Man(2-a1)Man](3-a1)Man(2-a1)Man(2-a1)Man</v>
          </cell>
        </row>
        <row r="5506">
          <cell r="A5506" t="str">
            <v>doldpglcnacglcnacman_man_man_manman_manmanman_c</v>
          </cell>
          <cell r="B5506" t="str">
            <v>doldpglcnacglcnacman_man_man_manman_manmanman</v>
          </cell>
          <cell r="C5506" t="str">
            <v>PP-Dol(-a1)GlcNAc(4-b1)GlcNAc(4-b1)Man[(6-a1)Man[(6-a1)Man](3-a1)Man(2-a1)Man](3-a1)Man(2-a1)Man(2-a1)Man</v>
          </cell>
        </row>
        <row r="5507">
          <cell r="A5507" t="str">
            <v>doldpglcnacglcnacman_manman_manmanman_c</v>
          </cell>
          <cell r="B5507" t="str">
            <v>doldpglcnacglcnacman_manman_manmanman</v>
          </cell>
          <cell r="C5507" t="str">
            <v>PP-Dol(-a1)GlcNAc(4-b1)GlcNAc(4-b1)Man[(6-a1)Man(3-a1)Man](3-a1)Man(2-a1)Man(2-a1)Man</v>
          </cell>
        </row>
        <row r="5508">
          <cell r="A5508" t="str">
            <v>doldpglcnacglcnacmanman_c</v>
          </cell>
          <cell r="B5508" t="str">
            <v>doldpglcnacglcnacmanman</v>
          </cell>
          <cell r="C5508" t="str">
            <v>PP-Dol(-a1)GlcNAc(4-b1)GlcNAc(4-b1)Man(3-a1)Man</v>
          </cell>
        </row>
        <row r="5509">
          <cell r="A5509" t="str">
            <v>egly_e</v>
          </cell>
          <cell r="B5509" t="str">
            <v>egly</v>
          </cell>
          <cell r="C5509" t="str">
            <v>N-Ethylglycine</v>
          </cell>
        </row>
        <row r="5510">
          <cell r="A5510" t="str">
            <v>eig3p_h</v>
          </cell>
          <cell r="B5510" t="str">
            <v>eig3p</v>
          </cell>
          <cell r="C5510" t="str">
            <v>D-erythro-1-(Imidazol-4-yl)glycerol 3-phosphate</v>
          </cell>
        </row>
        <row r="5511">
          <cell r="A5511" t="str">
            <v>f1p_h</v>
          </cell>
          <cell r="B5511" t="str">
            <v>f1p</v>
          </cell>
          <cell r="C5511" t="str">
            <v>D-Fructose 1-phosphate</v>
          </cell>
        </row>
        <row r="5512">
          <cell r="A5512" t="str">
            <v>f6p_B_h</v>
          </cell>
          <cell r="B5512" t="str">
            <v>f6p_B</v>
          </cell>
          <cell r="C5512" t="str">
            <v>Beta-D-Fructose 6-phosphate</v>
          </cell>
        </row>
        <row r="5513">
          <cell r="A5513" t="str">
            <v>fad_h</v>
          </cell>
          <cell r="B5513" t="str">
            <v>fad</v>
          </cell>
          <cell r="C5513" t="str">
            <v>Flavin adenine dinucleotide oxidized</v>
          </cell>
        </row>
        <row r="5514">
          <cell r="A5514" t="str">
            <v>fdxox_h</v>
          </cell>
          <cell r="B5514" t="str">
            <v>fdxox</v>
          </cell>
          <cell r="C5514" t="str">
            <v>Oxidized ferredoxin</v>
          </cell>
        </row>
        <row r="5515">
          <cell r="A5515" t="str">
            <v>fdxox_m</v>
          </cell>
          <cell r="B5515" t="str">
            <v>fdxox</v>
          </cell>
          <cell r="C5515" t="str">
            <v>Oxidized ferredoxin</v>
          </cell>
        </row>
        <row r="5516">
          <cell r="A5516" t="str">
            <v>fe2_h</v>
          </cell>
          <cell r="B5516" t="str">
            <v>fe2</v>
          </cell>
          <cell r="C5516" t="str">
            <v>Fe2+ mitochondria</v>
          </cell>
        </row>
        <row r="5517">
          <cell r="A5517" t="str">
            <v>ficytb5_c</v>
          </cell>
          <cell r="B5517" t="str">
            <v>ficytb5</v>
          </cell>
          <cell r="C5517" t="str">
            <v>Ferricytochrome b5</v>
          </cell>
        </row>
        <row r="5518">
          <cell r="A5518" t="str">
            <v>focytc_x</v>
          </cell>
          <cell r="B5518" t="str">
            <v>focytc</v>
          </cell>
          <cell r="C5518" t="str">
            <v>Ferrocytochrome c C42H53FeN8O6S2</v>
          </cell>
        </row>
        <row r="5519">
          <cell r="A5519" t="str">
            <v>frdp_h</v>
          </cell>
          <cell r="B5519" t="str">
            <v>frdp</v>
          </cell>
          <cell r="C5519" t="str">
            <v>Farnesyl diphosphate</v>
          </cell>
        </row>
        <row r="5520">
          <cell r="A5520" t="str">
            <v>g6p_A_n</v>
          </cell>
          <cell r="B5520" t="str">
            <v>g6p_A</v>
          </cell>
          <cell r="C5520" t="str">
            <v>Alpha-D-glucose 6 phosphate</v>
          </cell>
        </row>
        <row r="5521">
          <cell r="A5521" t="str">
            <v>g6p_B_h</v>
          </cell>
          <cell r="B5521" t="str">
            <v>g6p_B</v>
          </cell>
          <cell r="C5521" t="str">
            <v>Beta D glucose 6 phosphate C6H11O9P</v>
          </cell>
        </row>
        <row r="5522">
          <cell r="A5522" t="str">
            <v>ggchlda_u</v>
          </cell>
          <cell r="B5522" t="str">
            <v>ggchlda</v>
          </cell>
          <cell r="C5522" t="str">
            <v>Geranylgeranyl-Chlorophyllide a</v>
          </cell>
        </row>
        <row r="5523">
          <cell r="A5523" t="str">
            <v>glcn_h</v>
          </cell>
          <cell r="B5523" t="str">
            <v>glcn</v>
          </cell>
          <cell r="C5523" t="str">
            <v>D-Gluconate</v>
          </cell>
        </row>
        <row r="5524">
          <cell r="A5524" t="str">
            <v>glu5sa_x</v>
          </cell>
          <cell r="B5524" t="str">
            <v>glu5sa</v>
          </cell>
          <cell r="C5524" t="str">
            <v>L-Glutamate 5-semialdehyde</v>
          </cell>
        </row>
        <row r="5525">
          <cell r="A5525" t="str">
            <v>glyclt_h</v>
          </cell>
          <cell r="B5525" t="str">
            <v>glyclt</v>
          </cell>
          <cell r="C5525" t="str">
            <v>Glycolate C2H3O3</v>
          </cell>
        </row>
        <row r="5526">
          <cell r="A5526" t="str">
            <v>glyc__R_h</v>
          </cell>
          <cell r="B5526" t="str">
            <v>glyc__R</v>
          </cell>
          <cell r="C5526" t="str">
            <v>(R)-Glycerate</v>
          </cell>
        </row>
        <row r="5527">
          <cell r="A5527" t="str">
            <v>glyc__R_m</v>
          </cell>
          <cell r="B5527" t="str">
            <v>glyc__R</v>
          </cell>
          <cell r="C5527" t="str">
            <v>(R)-Glycerate</v>
          </cell>
        </row>
        <row r="5528">
          <cell r="A5528" t="str">
            <v>grdp_h</v>
          </cell>
          <cell r="B5528" t="str">
            <v>grdp</v>
          </cell>
          <cell r="C5528" t="str">
            <v>Geranyl diphosphate</v>
          </cell>
        </row>
        <row r="5529">
          <cell r="A5529" t="str">
            <v>h_f</v>
          </cell>
          <cell r="B5529" t="str">
            <v>h</v>
          </cell>
          <cell r="C5529" t="str">
            <v>H+</v>
          </cell>
        </row>
        <row r="5530">
          <cell r="A5530" t="str">
            <v>h_h</v>
          </cell>
          <cell r="B5530" t="str">
            <v>h</v>
          </cell>
          <cell r="C5530" t="str">
            <v>H+</v>
          </cell>
        </row>
        <row r="5531">
          <cell r="A5531" t="str">
            <v>h2_h</v>
          </cell>
          <cell r="B5531" t="str">
            <v>h2</v>
          </cell>
          <cell r="C5531" t="str">
            <v>Hydrogen</v>
          </cell>
        </row>
        <row r="5532">
          <cell r="A5532" t="str">
            <v>h2_m</v>
          </cell>
          <cell r="B5532" t="str">
            <v>h2</v>
          </cell>
          <cell r="C5532" t="str">
            <v>Hydrogen</v>
          </cell>
        </row>
        <row r="5533">
          <cell r="A5533" t="str">
            <v>h2o_f</v>
          </cell>
          <cell r="B5533" t="str">
            <v>h2o</v>
          </cell>
          <cell r="C5533" t="str">
            <v>H2O H2O</v>
          </cell>
        </row>
        <row r="5534">
          <cell r="A5534" t="str">
            <v>h2o_h</v>
          </cell>
          <cell r="B5534" t="str">
            <v>h2o</v>
          </cell>
          <cell r="C5534" t="str">
            <v>H2O H2O</v>
          </cell>
        </row>
        <row r="5535">
          <cell r="A5535" t="str">
            <v>hcys__L_h</v>
          </cell>
          <cell r="B5535" t="str">
            <v>hcys__L</v>
          </cell>
          <cell r="C5535" t="str">
            <v>L-Homocysteine</v>
          </cell>
        </row>
        <row r="5536">
          <cell r="A5536" t="str">
            <v>hcys__L_m</v>
          </cell>
          <cell r="B5536" t="str">
            <v>hcys__L</v>
          </cell>
          <cell r="C5536" t="str">
            <v>L-Homocysteine</v>
          </cell>
        </row>
        <row r="5537">
          <cell r="A5537" t="str">
            <v>hdca_h</v>
          </cell>
          <cell r="B5537" t="str">
            <v>hdca</v>
          </cell>
          <cell r="C5537" t="str">
            <v>Hexadecanoate (n-C16:0)</v>
          </cell>
        </row>
        <row r="5538">
          <cell r="A5538" t="str">
            <v>his__L_h</v>
          </cell>
          <cell r="B5538" t="str">
            <v>his__L</v>
          </cell>
          <cell r="C5538" t="str">
            <v>L-Histidine</v>
          </cell>
        </row>
        <row r="5539">
          <cell r="A5539" t="str">
            <v>hmppp9_h</v>
          </cell>
          <cell r="B5539" t="str">
            <v>hmppp9</v>
          </cell>
          <cell r="C5539" t="str">
            <v xml:space="preserve"> 13(1)-Hydroxy-magnesium-protoporphyrin IX 13-monomethyl ester</v>
          </cell>
        </row>
        <row r="5540">
          <cell r="A5540" t="str">
            <v>hom__L_h</v>
          </cell>
          <cell r="B5540" t="str">
            <v>hom__L</v>
          </cell>
          <cell r="C5540" t="str">
            <v>L-Homoserine</v>
          </cell>
        </row>
        <row r="5541">
          <cell r="A5541" t="str">
            <v>hxdceal_c</v>
          </cell>
          <cell r="B5541" t="str">
            <v>hxdceal</v>
          </cell>
          <cell r="C5541" t="str">
            <v>Hexadecenal</v>
          </cell>
        </row>
        <row r="5542">
          <cell r="A5542" t="str">
            <v>imp_h</v>
          </cell>
          <cell r="B5542" t="str">
            <v>imp</v>
          </cell>
          <cell r="C5542" t="str">
            <v>IMP C10H11N4O8P</v>
          </cell>
        </row>
        <row r="5543">
          <cell r="A5543" t="str">
            <v>indole_h</v>
          </cell>
          <cell r="B5543" t="str">
            <v>indole</v>
          </cell>
          <cell r="C5543" t="str">
            <v>Indole</v>
          </cell>
        </row>
        <row r="5544">
          <cell r="A5544" t="str">
            <v>lcts_h</v>
          </cell>
          <cell r="B5544" t="str">
            <v>lcts</v>
          </cell>
          <cell r="C5544" t="str">
            <v>Lactose C12H22O11</v>
          </cell>
        </row>
        <row r="5545">
          <cell r="A5545" t="str">
            <v>Lcyst_h</v>
          </cell>
          <cell r="B5545" t="str">
            <v>Lcyst</v>
          </cell>
          <cell r="C5545" t="str">
            <v>L-Cysteate</v>
          </cell>
        </row>
        <row r="5546">
          <cell r="A5546" t="str">
            <v>lido_c</v>
          </cell>
          <cell r="B5546" t="str">
            <v>lido</v>
          </cell>
          <cell r="C5546" t="str">
            <v>Lidocaine</v>
          </cell>
        </row>
        <row r="5547">
          <cell r="A5547" t="str">
            <v>lnlc_h</v>
          </cell>
          <cell r="B5547" t="str">
            <v>lnlc</v>
          </cell>
          <cell r="C5547" t="str">
            <v>Linoleic acid (all cis C18:2) n-6</v>
          </cell>
        </row>
        <row r="5548">
          <cell r="A5548" t="str">
            <v>mag160_c</v>
          </cell>
          <cell r="B5548" t="str">
            <v>mag160</v>
          </cell>
          <cell r="C5548" t="str">
            <v>1-monoacylglycerol (16:0)</v>
          </cell>
        </row>
        <row r="5549">
          <cell r="A5549" t="str">
            <v>mag180_c</v>
          </cell>
          <cell r="B5549" t="str">
            <v>mag180</v>
          </cell>
          <cell r="C5549" t="str">
            <v>1-monoacylglycerol (18:0)</v>
          </cell>
        </row>
        <row r="5550">
          <cell r="A5550" t="str">
            <v>mag18111Z_c</v>
          </cell>
          <cell r="B5550" t="str">
            <v>mag18111Z</v>
          </cell>
          <cell r="C5550" t="str">
            <v>1-monoacylglycerol (18:1(11Z))</v>
          </cell>
        </row>
        <row r="5551">
          <cell r="A5551" t="str">
            <v>meglyxyl_e</v>
          </cell>
          <cell r="B5551" t="str">
            <v>meglyxyl</v>
          </cell>
          <cell r="C5551" t="str">
            <v>Monoethylglycinexylidide</v>
          </cell>
        </row>
        <row r="5552">
          <cell r="A5552" t="str">
            <v>menecyart_c</v>
          </cell>
          <cell r="B5552" t="str">
            <v>menecyart</v>
          </cell>
          <cell r="C5552" t="str">
            <v>24-Methylenecycloartanol</v>
          </cell>
        </row>
        <row r="5553">
          <cell r="A5553" t="str">
            <v>mercppyr_h</v>
          </cell>
          <cell r="B5553" t="str">
            <v>mercppyr</v>
          </cell>
          <cell r="C5553" t="str">
            <v>Mercaptopyruvate</v>
          </cell>
        </row>
        <row r="5554">
          <cell r="A5554" t="str">
            <v>mergtrol_c</v>
          </cell>
          <cell r="B5554" t="str">
            <v>mergtrol</v>
          </cell>
          <cell r="C5554" t="str">
            <v>4alpha-Methyl-5alpha-ergosta-8,14,24(28)-trien-3beta-ol</v>
          </cell>
        </row>
        <row r="5555">
          <cell r="A5555" t="str">
            <v>mgdg1819Z1619Z_h</v>
          </cell>
          <cell r="B5555" t="str">
            <v>mgdg1819Z1619Z</v>
          </cell>
          <cell r="C5555" t="str">
            <v>Monogalactosyldiacylglycerol (1-(9Z)-octadecenoyl,2-(9Z)-hexadecenoyl, 18:1(9Z)/16:1(9Z))</v>
          </cell>
        </row>
        <row r="5556">
          <cell r="A5556" t="str">
            <v>mgdg1829Z12Z160_h</v>
          </cell>
          <cell r="B5556" t="str">
            <v>mgdg1829Z12Z160</v>
          </cell>
          <cell r="C5556" t="str">
            <v>Monogalactosyldiacylglycerol (1-(9Z,12Z)-octadecadienoyl,2-hexadecanoyl, 18:2(9Z,12Z)/16:0)</v>
          </cell>
        </row>
        <row r="5557">
          <cell r="A5557" t="str">
            <v>mgdg1829Z12Z1634Z7Z10Z_h</v>
          </cell>
          <cell r="B5557" t="str">
            <v>mgdg1829Z12Z1634Z7Z10Z</v>
          </cell>
          <cell r="C5557" t="str">
            <v>Monogalactosyldiacylglycerol (1-(9Z,12Z)-octadecadienoyl,2-(4Z,7Z,10Z)-hexadecatrienoyl, 18:2(9Z,12Z)/16:3(4Z,7Z,10Z))</v>
          </cell>
        </row>
        <row r="5558">
          <cell r="A5558" t="str">
            <v>mgdg1839Z12Z15Z160_h</v>
          </cell>
          <cell r="B5558" t="str">
            <v>mgdg1839Z12Z15Z160</v>
          </cell>
          <cell r="C5558" t="str">
            <v>Monogalactosyldiacylglycerol (1-(9Z,12Z,15Z)-octadecatrienoyl,2-hexadecanoyl, 18:3(9Z,12Z,15Z)/16:0)</v>
          </cell>
        </row>
        <row r="5559">
          <cell r="A5559" t="str">
            <v>mgdg1839Z12Z15Z1634Z7Z10Z_h</v>
          </cell>
          <cell r="B5559" t="str">
            <v>mgdg1839Z12Z15Z1634Z7Z10Z</v>
          </cell>
          <cell r="C5559" t="str">
            <v>Monogalactosyldiacylglycerol (1-(9Z,12Z,15Z)-octadecatrienoyl,2-(4Z,7Z,10Z)-hexadecatrienoyl, 18:3(9Z,12Z,15Z)/16:3(4Z,7Z,10Z))</v>
          </cell>
        </row>
        <row r="5560">
          <cell r="A5560" t="str">
            <v>mgdg1839Z12Z15Z1637Z10Z13Z_h</v>
          </cell>
          <cell r="B5560" t="str">
            <v>mgdg1839Z12Z15Z1637Z10Z13Z</v>
          </cell>
          <cell r="C5560" t="str">
            <v>Monogalactosyldiacylglycerol (1-(9Z,12Z,15Z)-octadecatrienoyl,2-(7Z,10Z,13Z)-hexadecatrienoyl, 18:3(9Z,12Z,15Z)/16:3(7Z,10Z,13Z))</v>
          </cell>
        </row>
        <row r="5561">
          <cell r="A5561" t="str">
            <v>mhpglu_m</v>
          </cell>
          <cell r="B5561" t="str">
            <v>mhpglu</v>
          </cell>
          <cell r="C5561" t="str">
            <v>5 Methyltetrahydropteroyltri L glutamate C25H36N8O12</v>
          </cell>
        </row>
        <row r="5562">
          <cell r="A5562" t="str">
            <v>mi134p_n</v>
          </cell>
          <cell r="B5562" t="str">
            <v>mi134p</v>
          </cell>
          <cell r="C5562" t="str">
            <v>1D-myo-Inositol 1,3,4-trisphosphate</v>
          </cell>
        </row>
        <row r="5563">
          <cell r="A5563" t="str">
            <v>myrsACP_h</v>
          </cell>
          <cell r="B5563" t="str">
            <v>myrsACP</v>
          </cell>
          <cell r="C5563" t="str">
            <v>Myristoyl-ACP (n-C14:0ACP)</v>
          </cell>
        </row>
        <row r="5564">
          <cell r="A5564" t="str">
            <v>nad_f</v>
          </cell>
          <cell r="B5564" t="str">
            <v>nad</v>
          </cell>
          <cell r="C5564" t="str">
            <v>Nicotinamide adenine dinucleotide</v>
          </cell>
        </row>
        <row r="5565">
          <cell r="A5565" t="str">
            <v>nad_h</v>
          </cell>
          <cell r="B5565" t="str">
            <v>nad</v>
          </cell>
          <cell r="C5565" t="str">
            <v>Nicotinamide adenine dinucleotide</v>
          </cell>
        </row>
        <row r="5566">
          <cell r="A5566" t="str">
            <v>nadph_s</v>
          </cell>
          <cell r="B5566" t="str">
            <v>nadph</v>
          </cell>
          <cell r="C5566" t="str">
            <v>Nicotinamide adenine dinucleotide phosphate - reduced</v>
          </cell>
        </row>
        <row r="5567">
          <cell r="A5567" t="str">
            <v>nadph_u</v>
          </cell>
          <cell r="B5567" t="str">
            <v>nadph</v>
          </cell>
          <cell r="C5567" t="str">
            <v>Nicotinamide adenine dinucleotide phosphate - reduced</v>
          </cell>
        </row>
        <row r="5568">
          <cell r="A5568" t="str">
            <v>neuspn_h</v>
          </cell>
          <cell r="B5568" t="str">
            <v>neuspn</v>
          </cell>
          <cell r="C5568" t="str">
            <v>Neurosporene</v>
          </cell>
        </row>
        <row r="5569">
          <cell r="A5569" t="str">
            <v>oaa_f</v>
          </cell>
          <cell r="B5569" t="str">
            <v>oaa</v>
          </cell>
          <cell r="C5569" t="str">
            <v>Oxaloacetate</v>
          </cell>
        </row>
        <row r="5570">
          <cell r="A5570" t="str">
            <v>oaa_h</v>
          </cell>
          <cell r="B5570" t="str">
            <v>oaa</v>
          </cell>
          <cell r="C5570" t="str">
            <v>Oxaloacetate</v>
          </cell>
        </row>
        <row r="5571">
          <cell r="A5571" t="str">
            <v>ocdce9coa_c</v>
          </cell>
          <cell r="B5571" t="str">
            <v>ocdce9coa</v>
          </cell>
          <cell r="C5571" t="str">
            <v>(9Z)-octadecenoyl-coa</v>
          </cell>
        </row>
        <row r="5572">
          <cell r="A5572" t="str">
            <v>ocdcea_h</v>
          </cell>
          <cell r="B5572" t="str">
            <v>ocdcea</v>
          </cell>
          <cell r="C5572" t="str">
            <v>Octadecenoate (n-C18:1)</v>
          </cell>
        </row>
        <row r="5573">
          <cell r="A5573" t="str">
            <v>ocdcecoa_c</v>
          </cell>
          <cell r="B5573" t="str">
            <v>ocdcecoa</v>
          </cell>
          <cell r="C5573" t="str">
            <v>(11Z)-octadecenoyl-coa</v>
          </cell>
        </row>
        <row r="5574">
          <cell r="A5574" t="str">
            <v>pa16018111Z_c</v>
          </cell>
          <cell r="B5574" t="str">
            <v>pa16018111Z</v>
          </cell>
          <cell r="C5574" t="str">
            <v>1-hexadecanoyl,2-(11Z)-octadecenoyl-sn-glycerol 3-phosphate</v>
          </cell>
        </row>
        <row r="5575">
          <cell r="A5575" t="str">
            <v>pa1601819Z_h</v>
          </cell>
          <cell r="B5575" t="str">
            <v>pa1601819Z</v>
          </cell>
          <cell r="C5575" t="str">
            <v>1-hexadecanoyl,2-(9Z)-octadecenoyl-sn-glycerol 3-phosphate</v>
          </cell>
        </row>
        <row r="5576">
          <cell r="A5576" t="str">
            <v>pa18111Z1819Z_c</v>
          </cell>
          <cell r="B5576" t="str">
            <v>pa18111Z1819Z</v>
          </cell>
          <cell r="C5576" t="str">
            <v>1-(11Z)-octadecenoyl,2-(9Z)-octadecenoyl-sn-glycerol 3-phosphate</v>
          </cell>
        </row>
        <row r="5577">
          <cell r="A5577" t="str">
            <v>pa1819Z160_c</v>
          </cell>
          <cell r="B5577" t="str">
            <v>pa1819Z160</v>
          </cell>
          <cell r="C5577" t="str">
            <v>1-(9Z)-octadecenoyl,2-hexadecanoyl-sn-glycerol 3-phosphate</v>
          </cell>
        </row>
        <row r="5578">
          <cell r="A5578" t="str">
            <v>pa1819Z1619Z_h</v>
          </cell>
          <cell r="B5578" t="str">
            <v>pa1819Z1619Z</v>
          </cell>
          <cell r="C5578" t="str">
            <v>1-(9Z)-octadecenoyl,2-(9Z)-hexadecenoyl-sn-glycerol 3-phosphate</v>
          </cell>
        </row>
        <row r="5579">
          <cell r="A5579" t="str">
            <v>pa1819Z18111Z_h</v>
          </cell>
          <cell r="B5579" t="str">
            <v>pa1819Z18111Z</v>
          </cell>
          <cell r="C5579" t="str">
            <v>1-(9Z)-octadecenoyl,2-(11Z)-octadecenoyl-sn-glycerol 3-phosphate</v>
          </cell>
        </row>
        <row r="5580">
          <cell r="A5580" t="str">
            <v>pa1819Z1819Z_h</v>
          </cell>
          <cell r="B5580" t="str">
            <v>pa1819Z1819Z</v>
          </cell>
          <cell r="C5580" t="str">
            <v>1,2-di-(9Z)-octadecenoyl-sn-glycerol 3-phosphate</v>
          </cell>
        </row>
        <row r="5581">
          <cell r="A5581" t="str">
            <v>pa1819Z1845Z9Z12Z15Z_c</v>
          </cell>
          <cell r="B5581" t="str">
            <v>pa1819Z1845Z9Z12Z15Z</v>
          </cell>
          <cell r="C5581" t="str">
            <v>1-(9Z)-octadecenoyl,2-(5Z,9Z,12Z,15Z)-octadecatetraenoyl-sn-glycerol 3-phosphate</v>
          </cell>
        </row>
        <row r="5582">
          <cell r="A5582" t="str">
            <v>pa1829Z12Z1835Z9Z12Z_c</v>
          </cell>
          <cell r="B5582" t="str">
            <v>pa1829Z12Z1835Z9Z12Z</v>
          </cell>
          <cell r="C5582" t="str">
            <v>1-(9Z,12Z)-octadecadienoyl,2-(5Z,9Z,12Z)-octadecatrienoyl-sn-glycerol 3-phosphate</v>
          </cell>
        </row>
        <row r="5583">
          <cell r="A5583" t="str">
            <v>pail18111Z160_c</v>
          </cell>
          <cell r="B5583" t="str">
            <v>pail18111Z160</v>
          </cell>
          <cell r="C5583" t="str">
            <v>1-Phosphatidyl-D-myo-inositol (1-(11Z)-octadecenoyl,2-hexadecanoyl, 18:1(11Z)/16:0)</v>
          </cell>
        </row>
        <row r="5584">
          <cell r="A5584" t="str">
            <v>phdp_h</v>
          </cell>
          <cell r="B5584" t="str">
            <v>phdp</v>
          </cell>
          <cell r="C5584" t="str">
            <v>Phytyl diphosphate</v>
          </cell>
        </row>
        <row r="5585">
          <cell r="A5585" t="str">
            <v>pe1801835Z9Z12Z_e</v>
          </cell>
          <cell r="B5585" t="str">
            <v>pe1801835Z9Z12Z</v>
          </cell>
          <cell r="C5585" t="str">
            <v>Phosphatidylethanolamine (18:0/18:3(5Z,9Z,12Z))</v>
          </cell>
        </row>
        <row r="5586">
          <cell r="A5586" t="str">
            <v>pe18111Z1829Z12Z_c</v>
          </cell>
          <cell r="B5586" t="str">
            <v>pe18111Z1829Z12Z</v>
          </cell>
          <cell r="C5586" t="str">
            <v>Phosphatidylethanolamine (18:1(11Z)/18:2(9Z,12Z))</v>
          </cell>
        </row>
        <row r="5587">
          <cell r="A5587" t="str">
            <v>pe18111Z1835Z9Z12Z_c</v>
          </cell>
          <cell r="B5587" t="str">
            <v>pe18111Z1835Z9Z12Z</v>
          </cell>
          <cell r="C5587" t="str">
            <v>Phosphatidylethanolamine (18:1(11Z)/18:3(5Z,9Z,12Z))</v>
          </cell>
        </row>
        <row r="5588">
          <cell r="A5588" t="str">
            <v>pe18111Z1845Z9Z12Z15Z_c</v>
          </cell>
          <cell r="B5588" t="str">
            <v>pe18111Z1845Z9Z12Z15Z</v>
          </cell>
          <cell r="C5588" t="str">
            <v>Phosphatidylethanolamine (18:1(11Z)/18:4(5Z,9Z,12Z,15Z))</v>
          </cell>
        </row>
        <row r="5589">
          <cell r="A5589" t="str">
            <v>pe1819Z1845Z9Z12Z15Z_e</v>
          </cell>
          <cell r="B5589" t="str">
            <v>pe1819Z1845Z9Z12Z15Z</v>
          </cell>
          <cell r="C5589" t="str">
            <v>Phosphatidylethanolamine (18:1(9Z)/18:4(5Z,9Z,12Z,15Z))</v>
          </cell>
        </row>
        <row r="5590">
          <cell r="A5590" t="str">
            <v>pe1829Z12Z1835Z9Z12Z_e</v>
          </cell>
          <cell r="B5590" t="str">
            <v>pe1829Z12Z1835Z9Z12Z</v>
          </cell>
          <cell r="C5590" t="str">
            <v>Phosphatidylethanolamine (18:2(9Z,12Z)/18:3(5Z,9Z,12Z))</v>
          </cell>
        </row>
        <row r="5591">
          <cell r="A5591" t="str">
            <v>pg18111Z160_e</v>
          </cell>
          <cell r="B5591" t="str">
            <v>pg18111Z160</v>
          </cell>
          <cell r="C5591" t="str">
            <v>Phosphatidylglycerol (1-(11Z)-octadecenoyl,2-hexadecanoyl, 18:1(11Z)/16:0)</v>
          </cell>
        </row>
        <row r="5592">
          <cell r="A5592" t="str">
            <v>pg1819Z160_e</v>
          </cell>
          <cell r="B5592" t="str">
            <v>pg1819Z160</v>
          </cell>
          <cell r="C5592" t="str">
            <v>Phosphatidylglycerol (1-(9Z)-octadecenoyl,2-hexadecanoyl, 18:1(9Z)/16:0)</v>
          </cell>
        </row>
        <row r="5593">
          <cell r="A5593" t="str">
            <v>pg1829Z12Z1613E_h</v>
          </cell>
          <cell r="B5593" t="str">
            <v>pg1829Z12Z1613E</v>
          </cell>
          <cell r="C5593" t="str">
            <v>Phosphatidylglycerol (1-(9Z,12Z)-octadecadienoyl,2-(3E)-hexadecenoyl, 18:2(9Z,12Z)/16:1(3E))</v>
          </cell>
        </row>
        <row r="5594">
          <cell r="A5594" t="str">
            <v>pg1839Z12Z15Z1613E_h</v>
          </cell>
          <cell r="B5594" t="str">
            <v>pg1839Z12Z15Z1613E</v>
          </cell>
          <cell r="C5594" t="str">
            <v>Phosphatidylglycerol (1-(9Z,12Z,15Z)-octadecatrienoyl,2-(3E)-hexadecenoyl, 18:3(9Z,12Z,15Z)/16:1(3E))</v>
          </cell>
        </row>
        <row r="5595">
          <cell r="A5595" t="str">
            <v>pgp18111Z160_c</v>
          </cell>
          <cell r="B5595" t="str">
            <v>pgp18111Z160</v>
          </cell>
          <cell r="C5595" t="str">
            <v>Phosphatidylglycerophosphate (1-(11Z)-octadecenoyl,2-hexadecanoyl, 18:1(11Z)/16:0)</v>
          </cell>
        </row>
        <row r="5596">
          <cell r="A5596" t="str">
            <v>phe__L_h</v>
          </cell>
          <cell r="B5596" t="str">
            <v>phe__L</v>
          </cell>
          <cell r="C5596" t="str">
            <v>L-Phenylalanine</v>
          </cell>
        </row>
        <row r="5597">
          <cell r="A5597" t="str">
            <v>photon646_h</v>
          </cell>
          <cell r="B5597" t="str">
            <v>photon646</v>
          </cell>
          <cell r="C5597" t="str">
            <v>Photon (608 to 666 nm, orange/red)</v>
          </cell>
        </row>
        <row r="5598">
          <cell r="A5598" t="str">
            <v>photon673_u</v>
          </cell>
          <cell r="B5598" t="str">
            <v>photon673</v>
          </cell>
          <cell r="C5598" t="str">
            <v>Photon (659 to 684 nm, red)</v>
          </cell>
        </row>
        <row r="5599">
          <cell r="A5599" t="str">
            <v>phytfl_h</v>
          </cell>
          <cell r="B5599" t="str">
            <v>phytfl</v>
          </cell>
          <cell r="C5599" t="str">
            <v>All-trans-Phytofluene</v>
          </cell>
        </row>
        <row r="5600">
          <cell r="A5600" t="str">
            <v>ppap_h</v>
          </cell>
          <cell r="B5600" t="str">
            <v>ppap</v>
          </cell>
          <cell r="C5600" t="str">
            <v>Propanoyl phosphate</v>
          </cell>
        </row>
        <row r="5601">
          <cell r="A5601" t="str">
            <v>ppap_m</v>
          </cell>
          <cell r="B5601" t="str">
            <v>ppap</v>
          </cell>
          <cell r="C5601" t="str">
            <v>Propanoyl phosphate</v>
          </cell>
        </row>
        <row r="5602">
          <cell r="A5602" t="str">
            <v>ppbng_h</v>
          </cell>
          <cell r="B5602" t="str">
            <v>ppbng</v>
          </cell>
          <cell r="C5602" t="str">
            <v>Porphobilinogen</v>
          </cell>
        </row>
        <row r="5603">
          <cell r="A5603" t="str">
            <v>ppi_u</v>
          </cell>
          <cell r="B5603" t="str">
            <v>ppi</v>
          </cell>
          <cell r="C5603" t="str">
            <v>Diphosphate</v>
          </cell>
        </row>
        <row r="5604">
          <cell r="A5604" t="str">
            <v>ppp9_h</v>
          </cell>
          <cell r="B5604" t="str">
            <v>ppp9</v>
          </cell>
          <cell r="C5604" t="str">
            <v>Protoporphyrin</v>
          </cell>
        </row>
        <row r="5605">
          <cell r="A5605" t="str">
            <v>pppg9_h</v>
          </cell>
          <cell r="B5605" t="str">
            <v>pppg9</v>
          </cell>
          <cell r="C5605" t="str">
            <v>Protoporphyrinogen IX</v>
          </cell>
        </row>
        <row r="5606">
          <cell r="A5606" t="str">
            <v>pq_h</v>
          </cell>
          <cell r="B5606" t="str">
            <v>pq</v>
          </cell>
          <cell r="C5606" t="str">
            <v>Plastoquinone</v>
          </cell>
        </row>
        <row r="5607">
          <cell r="A5607" t="str">
            <v>pqh2_h</v>
          </cell>
          <cell r="B5607" t="str">
            <v>pqh2</v>
          </cell>
          <cell r="C5607" t="str">
            <v>Plastoquinol</v>
          </cell>
        </row>
        <row r="5608">
          <cell r="A5608" t="str">
            <v>prlp_h</v>
          </cell>
          <cell r="B5608" t="str">
            <v>prlp</v>
          </cell>
          <cell r="C5608" t="str">
            <v>5-[(5-phospho-1-deoxyribulos-1-ylamino)methylideneamino]-1-(5-phosphoribosyl)imidazole-4-carboxamide</v>
          </cell>
        </row>
        <row r="5609">
          <cell r="A5609" t="str">
            <v>prpp_h</v>
          </cell>
          <cell r="B5609" t="str">
            <v>prpp</v>
          </cell>
          <cell r="C5609" t="str">
            <v>5-Phospho-alpha-D-ribose 1-diphosphate</v>
          </cell>
        </row>
        <row r="5610">
          <cell r="A5610" t="str">
            <v>pser__L_h</v>
          </cell>
          <cell r="B5610" t="str">
            <v>pser__L</v>
          </cell>
          <cell r="C5610" t="str">
            <v>O-Phospho-L-serine</v>
          </cell>
        </row>
        <row r="5611">
          <cell r="A5611" t="str">
            <v>q8h2_m</v>
          </cell>
          <cell r="B5611" t="str">
            <v>q8h2</v>
          </cell>
          <cell r="C5611" t="str">
            <v>Ubiquinol-8</v>
          </cell>
        </row>
        <row r="5612">
          <cell r="A5612" t="str">
            <v>r1p_h</v>
          </cell>
          <cell r="B5612" t="str">
            <v>r1p</v>
          </cell>
          <cell r="C5612" t="str">
            <v>Alpha-D-Ribose 1-phosphate</v>
          </cell>
        </row>
        <row r="5613">
          <cell r="A5613" t="str">
            <v>r5p_h</v>
          </cell>
          <cell r="B5613" t="str">
            <v>r5p</v>
          </cell>
          <cell r="C5613" t="str">
            <v>Alpha-D-Ribose 5-phosphate</v>
          </cell>
        </row>
        <row r="5614">
          <cell r="A5614" t="str">
            <v>retac_s</v>
          </cell>
          <cell r="B5614" t="str">
            <v>retac</v>
          </cell>
          <cell r="C5614" t="str">
            <v>All-trans-Retinyl acetate</v>
          </cell>
        </row>
        <row r="5615">
          <cell r="A5615" t="str">
            <v>retinal_11_cis_s</v>
          </cell>
          <cell r="B5615" t="str">
            <v>retinal_11_cis</v>
          </cell>
          <cell r="C5615" t="str">
            <v>11-cis-Retinal</v>
          </cell>
        </row>
        <row r="5616">
          <cell r="A5616" t="str">
            <v>ribflv_h</v>
          </cell>
          <cell r="B5616" t="str">
            <v>ribflv</v>
          </cell>
          <cell r="C5616" t="str">
            <v>Riboflavin C17H20N4O6</v>
          </cell>
        </row>
        <row r="5617">
          <cell r="A5617" t="str">
            <v>s7p_h</v>
          </cell>
          <cell r="B5617" t="str">
            <v>s7p</v>
          </cell>
          <cell r="C5617" t="str">
            <v>Sedoheptulose 7-phosphate</v>
          </cell>
        </row>
        <row r="5618">
          <cell r="A5618" t="str">
            <v>scys__L_h</v>
          </cell>
          <cell r="B5618" t="str">
            <v>scys__L</v>
          </cell>
          <cell r="C5618" t="str">
            <v>S-Sulfo-L-cysteine</v>
          </cell>
        </row>
        <row r="5619">
          <cell r="A5619" t="str">
            <v>scys__L_m</v>
          </cell>
          <cell r="B5619" t="str">
            <v>scys__L</v>
          </cell>
          <cell r="C5619" t="str">
            <v>S-Sulfo-L-cysteine</v>
          </cell>
        </row>
        <row r="5620">
          <cell r="A5620" t="str">
            <v>selhcys_h</v>
          </cell>
          <cell r="B5620" t="str">
            <v>selhcys</v>
          </cell>
          <cell r="C5620" t="str">
            <v>Selenohomocysteine</v>
          </cell>
        </row>
        <row r="5621">
          <cell r="A5621" t="str">
            <v>selnp_m</v>
          </cell>
          <cell r="B5621" t="str">
            <v>selnp</v>
          </cell>
          <cell r="C5621" t="str">
            <v>Selenophosphate</v>
          </cell>
        </row>
        <row r="5622">
          <cell r="A5622" t="str">
            <v>so4_n</v>
          </cell>
          <cell r="B5622" t="str">
            <v>so4</v>
          </cell>
          <cell r="C5622" t="str">
            <v>Sulfate</v>
          </cell>
        </row>
        <row r="5623">
          <cell r="A5623" t="str">
            <v>sqdg1819Z160_c</v>
          </cell>
          <cell r="B5623" t="str">
            <v>sqdg1819Z160</v>
          </cell>
          <cell r="C5623" t="str">
            <v>Sulfoquinovosyldiacylglycerol (1-(9Z)-octadecenoyl,2-hexadecanoyl, 18:1(9Z)/16:0)</v>
          </cell>
        </row>
        <row r="5624">
          <cell r="A5624" t="str">
            <v>sqdg1829Z12Z160_h</v>
          </cell>
          <cell r="B5624" t="str">
            <v>sqdg1829Z12Z160</v>
          </cell>
          <cell r="C5624" t="str">
            <v>Sulfoquinovosyldiacylglycerol (1-(9Z,12Z)-octadecadienoyl,2-hexadecanoyl, 18:2(9Z,12Z)/16:0)</v>
          </cell>
        </row>
        <row r="5625">
          <cell r="A5625" t="str">
            <v>starch300_h</v>
          </cell>
          <cell r="B5625" t="str">
            <v>starch300</v>
          </cell>
          <cell r="C5625" t="str">
            <v>Starch n=300 repeat units (80 repeat units amylose, 220 repeat units amylopectin, corresponds to maize starch)</v>
          </cell>
        </row>
        <row r="5626">
          <cell r="A5626" t="str">
            <v>succ_h</v>
          </cell>
          <cell r="B5626" t="str">
            <v>succ</v>
          </cell>
          <cell r="C5626" t="str">
            <v>Succinate</v>
          </cell>
        </row>
        <row r="5627">
          <cell r="A5627" t="str">
            <v>sucr_h</v>
          </cell>
          <cell r="B5627" t="str">
            <v>sucr</v>
          </cell>
          <cell r="C5627" t="str">
            <v>Sucrose C12H22O11</v>
          </cell>
        </row>
        <row r="5628">
          <cell r="A5628" t="str">
            <v>tag16018111Z160_c</v>
          </cell>
          <cell r="B5628" t="str">
            <v>tag16018111Z160</v>
          </cell>
          <cell r="C5628" t="str">
            <v>Triacylglycerol (16:0/18:1(11Z)/16:0)</v>
          </cell>
        </row>
        <row r="5629">
          <cell r="A5629" t="str">
            <v>tag16018111Z18111Z_c</v>
          </cell>
          <cell r="B5629" t="str">
            <v>tag16018111Z18111Z</v>
          </cell>
          <cell r="C5629" t="str">
            <v>Triacylglycerol (16:0/18:1(11Z)/18:1(11Z))</v>
          </cell>
        </row>
        <row r="5630">
          <cell r="A5630" t="str">
            <v>tag16018111Z1845Z9Z12Z15Z_c</v>
          </cell>
          <cell r="B5630" t="str">
            <v>tag16018111Z1845Z9Z12Z15Z</v>
          </cell>
          <cell r="C5630" t="str">
            <v>Triacylglycerol (16:0/18:1(11Z)/18:4(5Z,9Z,12Z,15Z))</v>
          </cell>
        </row>
        <row r="5631">
          <cell r="A5631" t="str">
            <v>tag1601819Z180_c</v>
          </cell>
          <cell r="B5631" t="str">
            <v>tag1601819Z180</v>
          </cell>
          <cell r="C5631" t="str">
            <v>Triacylglycerol (16:0/18:1(9Z)/18:0)</v>
          </cell>
        </row>
        <row r="5632">
          <cell r="A5632" t="str">
            <v>tag1601819Z1835Z9Z12Z_c</v>
          </cell>
          <cell r="B5632" t="str">
            <v>tag1601819Z1835Z9Z12Z</v>
          </cell>
          <cell r="C5632" t="str">
            <v>Triacylglycerol (16:0/18:1(9Z)/18:3(5Z,9Z,12Z))</v>
          </cell>
        </row>
        <row r="5633">
          <cell r="A5633" t="str">
            <v>tag1601819Z1845Z9Z12Z15Z_c</v>
          </cell>
          <cell r="B5633" t="str">
            <v>tag1601819Z1845Z9Z12Z15Z</v>
          </cell>
          <cell r="C5633" t="str">
            <v>Triacylglycerol (16:0/18:1(9Z)/18:4(5Z,9Z,12Z,15Z))</v>
          </cell>
        </row>
        <row r="5634">
          <cell r="A5634" t="str">
            <v>tag1801819Z18111Z_c</v>
          </cell>
          <cell r="B5634" t="str">
            <v>tag1801819Z18111Z</v>
          </cell>
          <cell r="C5634" t="str">
            <v>Triacylglycerol (18:0/18:1(9Z)/18:1(11Z))</v>
          </cell>
        </row>
        <row r="5635">
          <cell r="A5635" t="str">
            <v>tag18111Z18111Z1819Z_c</v>
          </cell>
          <cell r="B5635" t="str">
            <v>tag18111Z18111Z1819Z</v>
          </cell>
          <cell r="C5635" t="str">
            <v>Triacylglycerol (18:1(11Z)/18:1(11Z)/18:1(9Z))</v>
          </cell>
        </row>
        <row r="5636">
          <cell r="A5636" t="str">
            <v>tag18111Z1819Z180_c</v>
          </cell>
          <cell r="B5636" t="str">
            <v>tag18111Z1819Z180</v>
          </cell>
          <cell r="C5636" t="str">
            <v>Triacylglycerol (18:1(11Z)/18:1(9Z)/18:0)</v>
          </cell>
        </row>
        <row r="5637">
          <cell r="A5637" t="str">
            <v>tag18111Z1819Z18111Z_c</v>
          </cell>
          <cell r="B5637" t="str">
            <v>tag18111Z1819Z18111Z</v>
          </cell>
          <cell r="C5637" t="str">
            <v>Triacylglycerol (18:1(11Z)/18:1(9Z)/18:1(11Z))</v>
          </cell>
        </row>
        <row r="5638">
          <cell r="A5638" t="str">
            <v>tag1819Z18111Z160_c</v>
          </cell>
          <cell r="B5638" t="str">
            <v>tag1819Z18111Z160</v>
          </cell>
          <cell r="C5638" t="str">
            <v>Triacylglycerol (18:1(9Z)/18:1(11Z)/16:0)</v>
          </cell>
        </row>
        <row r="5639">
          <cell r="A5639" t="str">
            <v>tag1819Z1819Z1835Z9Z12Z_c</v>
          </cell>
          <cell r="B5639" t="str">
            <v>tag1819Z1819Z1835Z9Z12Z</v>
          </cell>
          <cell r="C5639" t="str">
            <v>Triacylglycerol (18:1(9Z)/18:1(9Z)/18:3(5Z,9Z,12Z))</v>
          </cell>
        </row>
        <row r="5640">
          <cell r="A5640" t="str">
            <v>tega_c</v>
          </cell>
          <cell r="B5640" t="str">
            <v>tega</v>
          </cell>
          <cell r="C5640" t="str">
            <v>Tegafur</v>
          </cell>
        </row>
        <row r="5641">
          <cell r="A5641" t="str">
            <v>tfenfe2_h</v>
          </cell>
          <cell r="B5641" t="str">
            <v>tfenfe2</v>
          </cell>
          <cell r="C5641" t="str">
            <v>Transferrin[Fe(II)]2</v>
          </cell>
        </row>
        <row r="5642">
          <cell r="A5642" t="str">
            <v>thr__L_h</v>
          </cell>
          <cell r="B5642" t="str">
            <v>thr__L</v>
          </cell>
          <cell r="C5642" t="str">
            <v>L-Threonine</v>
          </cell>
        </row>
        <row r="5643">
          <cell r="A5643" t="str">
            <v>toct2eACP_h</v>
          </cell>
          <cell r="B5643" t="str">
            <v>toct2eACP</v>
          </cell>
          <cell r="C5643" t="str">
            <v>Trans-Oct-2-enoyl-[acyl-carrier protein]</v>
          </cell>
        </row>
        <row r="5644">
          <cell r="A5644" t="str">
            <v>trnaglu_h</v>
          </cell>
          <cell r="B5644" t="str">
            <v>trnaglu</v>
          </cell>
          <cell r="C5644" t="str">
            <v>TRNA (Glu)</v>
          </cell>
        </row>
        <row r="5645">
          <cell r="A5645" t="str">
            <v>udpg_n</v>
          </cell>
          <cell r="B5645" t="str">
            <v>udpg</v>
          </cell>
          <cell r="C5645" t="str">
            <v>UDPglucose</v>
          </cell>
        </row>
        <row r="5646">
          <cell r="A5646" t="str">
            <v>ump_h</v>
          </cell>
          <cell r="B5646" t="str">
            <v>ump</v>
          </cell>
          <cell r="C5646" t="str">
            <v>UMP C9H11N2O9P</v>
          </cell>
        </row>
        <row r="5647">
          <cell r="A5647" t="str">
            <v>vioxan_u</v>
          </cell>
          <cell r="B5647" t="str">
            <v>vioxan</v>
          </cell>
          <cell r="C5647" t="str">
            <v>Violaxanthin</v>
          </cell>
        </row>
        <row r="5648">
          <cell r="A5648" t="str">
            <v>whhdca_h</v>
          </cell>
          <cell r="B5648" t="str">
            <v>whhdca</v>
          </cell>
          <cell r="C5648" t="str">
            <v>Omega hydroxy hexadecanoate (n-C16:0)</v>
          </cell>
        </row>
        <row r="5649">
          <cell r="A5649" t="str">
            <v>zymstnl_c</v>
          </cell>
          <cell r="B5649" t="str">
            <v>zymstnl</v>
          </cell>
          <cell r="C5649" t="str">
            <v>5alpha-cholest-8-en-3beta-ol</v>
          </cell>
        </row>
        <row r="5650">
          <cell r="A5650" t="str">
            <v>12d3k5m_c</v>
          </cell>
          <cell r="B5650" t="str">
            <v>12d3k5m</v>
          </cell>
          <cell r="C5650" t="str">
            <v>1 2 dihydroxy 3 keto 5 methylthiopentene C6H8O3S</v>
          </cell>
        </row>
        <row r="5651">
          <cell r="A5651" t="str">
            <v>12dgr_BS_c</v>
          </cell>
          <cell r="B5651" t="str">
            <v>12dgr_BS</v>
          </cell>
          <cell r="C5651" t="str">
            <v>1 2 diacylglycerol C3436H6672O500</v>
          </cell>
        </row>
        <row r="5652">
          <cell r="A5652" t="str">
            <v>23cump_c</v>
          </cell>
          <cell r="B5652" t="str">
            <v>23cump</v>
          </cell>
          <cell r="C5652" t="str">
            <v>2',3'-Cyclic UMP</v>
          </cell>
        </row>
        <row r="5653">
          <cell r="A5653" t="str">
            <v>2o3mpt_c</v>
          </cell>
          <cell r="B5653" t="str">
            <v>2o3mpt</v>
          </cell>
          <cell r="C5653" t="str">
            <v xml:space="preserve"> R  2 Oxo 3 methylpentanoate C6H9O3</v>
          </cell>
        </row>
        <row r="5654">
          <cell r="A5654" t="str">
            <v>2pcpgc_c</v>
          </cell>
          <cell r="B5654" t="str">
            <v>2pcpgc</v>
          </cell>
          <cell r="C5654" t="str">
            <v>2 Protocatechoylphloroglucinolcarboxylate C14H7O8</v>
          </cell>
        </row>
        <row r="5655">
          <cell r="A5655" t="str">
            <v>3cmp_c</v>
          </cell>
          <cell r="B5655" t="str">
            <v>3cmp</v>
          </cell>
          <cell r="C5655" t="str">
            <v>3  CMP C9H12N3O8P</v>
          </cell>
        </row>
        <row r="5656">
          <cell r="A5656" t="str">
            <v>3ump_c</v>
          </cell>
          <cell r="B5656" t="str">
            <v>3ump</v>
          </cell>
          <cell r="C5656" t="str">
            <v>3  UMP C9H11N2O9P</v>
          </cell>
        </row>
        <row r="5657">
          <cell r="A5657" t="str">
            <v>Lglyald_c</v>
          </cell>
          <cell r="B5657" t="str">
            <v>Lglyald</v>
          </cell>
          <cell r="C5657" t="str">
            <v>L Glyceraldehyde C3H6O3</v>
          </cell>
        </row>
        <row r="5658">
          <cell r="A5658" t="str">
            <v>ala_L_asp__L_c</v>
          </cell>
          <cell r="B5658" t="str">
            <v>ala_L_asp__L</v>
          </cell>
          <cell r="C5658" t="str">
            <v>Ala L asp L C7H11N2O5</v>
          </cell>
        </row>
        <row r="5659">
          <cell r="A5659" t="str">
            <v>ala_L_his__L_e</v>
          </cell>
          <cell r="B5659" t="str">
            <v>ala_L_his__L</v>
          </cell>
          <cell r="C5659" t="str">
            <v>Ala His C9H14N4O3</v>
          </cell>
        </row>
        <row r="5660">
          <cell r="A5660" t="str">
            <v>ala_L_leu__L_c</v>
          </cell>
          <cell r="B5660" t="str">
            <v>ala_L_leu__L</v>
          </cell>
          <cell r="C5660" t="str">
            <v>Ala Leu C9H18N2O3</v>
          </cell>
        </row>
        <row r="5661">
          <cell r="A5661" t="str">
            <v>argp_e</v>
          </cell>
          <cell r="B5661" t="str">
            <v>argp</v>
          </cell>
          <cell r="C5661" t="str">
            <v>L Arginine phosphate C6H14N4O5P</v>
          </cell>
        </row>
        <row r="5662">
          <cell r="A5662" t="str">
            <v>arsna_e</v>
          </cell>
          <cell r="B5662" t="str">
            <v>arsna</v>
          </cell>
          <cell r="C5662" t="str">
            <v>Arsenate AsHO4</v>
          </cell>
        </row>
        <row r="5663">
          <cell r="A5663" t="str">
            <v>arsni2_c</v>
          </cell>
          <cell r="B5663" t="str">
            <v>arsni2</v>
          </cell>
          <cell r="C5663" t="str">
            <v>Arsenite AsH3O3</v>
          </cell>
        </row>
        <row r="5664">
          <cell r="A5664" t="str">
            <v>bilea_c</v>
          </cell>
          <cell r="B5664" t="str">
            <v>bilea</v>
          </cell>
          <cell r="C5664" t="str">
            <v>Bile acid C24H39O5</v>
          </cell>
        </row>
        <row r="5665">
          <cell r="A5665" t="str">
            <v>buts_c</v>
          </cell>
          <cell r="B5665" t="str">
            <v>buts</v>
          </cell>
          <cell r="C5665" t="str">
            <v>Butanesulfonate C4H9O3S</v>
          </cell>
        </row>
        <row r="5666">
          <cell r="A5666" t="str">
            <v>chor_e</v>
          </cell>
          <cell r="B5666" t="str">
            <v>chor</v>
          </cell>
          <cell r="C5666" t="str">
            <v>Chorismate</v>
          </cell>
        </row>
        <row r="5667">
          <cell r="A5667" t="str">
            <v>ddcoa_c</v>
          </cell>
          <cell r="B5667" t="str">
            <v>ddcoa</v>
          </cell>
          <cell r="C5667" t="str">
            <v>Dodecanoyl CoA  n C120CoA  C33H54N7O17P3S</v>
          </cell>
        </row>
        <row r="5668">
          <cell r="A5668" t="str">
            <v>dextrin_c</v>
          </cell>
          <cell r="B5668" t="str">
            <v>dextrin</v>
          </cell>
          <cell r="C5668" t="str">
            <v>Dextrin C12H20O10</v>
          </cell>
        </row>
        <row r="5669">
          <cell r="A5669" t="str">
            <v>djenk_e</v>
          </cell>
          <cell r="B5669" t="str">
            <v>djenk</v>
          </cell>
          <cell r="C5669" t="str">
            <v>Djenkolate C7H14N2O4S2</v>
          </cell>
        </row>
        <row r="5670">
          <cell r="A5670" t="str">
            <v>ectoine_c</v>
          </cell>
          <cell r="B5670" t="str">
            <v>ectoine</v>
          </cell>
          <cell r="C5670" t="str">
            <v>Ectoine C6H12N2O2</v>
          </cell>
        </row>
        <row r="5671">
          <cell r="A5671" t="str">
            <v>eths_e</v>
          </cell>
          <cell r="B5671" t="str">
            <v>eths</v>
          </cell>
          <cell r="C5671" t="str">
            <v>Ethanesulfonate C2H5O3S</v>
          </cell>
        </row>
        <row r="5672">
          <cell r="A5672" t="str">
            <v>fa12coa_c</v>
          </cell>
          <cell r="B5672" t="str">
            <v>fa12coa</v>
          </cell>
          <cell r="C5672" t="str">
            <v>Anteiso C170 CoA C38H64N7O17P3S1</v>
          </cell>
        </row>
        <row r="5673">
          <cell r="A5673" t="str">
            <v>fa4coa_c</v>
          </cell>
          <cell r="B5673" t="str">
            <v>fa4coa</v>
          </cell>
          <cell r="C5673" t="str">
            <v>Anteiso C150 CoA C36H60N7O17P3S1</v>
          </cell>
        </row>
        <row r="5674">
          <cell r="A5674" t="str">
            <v>g1p_B_c</v>
          </cell>
          <cell r="B5674" t="str">
            <v>g1p_B</v>
          </cell>
          <cell r="C5674" t="str">
            <v>Beta D Glucose 1 phosphate C6H11O9P</v>
          </cell>
        </row>
        <row r="5675">
          <cell r="A5675" t="str">
            <v>galman_c</v>
          </cell>
          <cell r="B5675" t="str">
            <v>galman</v>
          </cell>
          <cell r="C5675" t="str">
            <v>Galactomannan C6H10O5</v>
          </cell>
        </row>
        <row r="5676">
          <cell r="A5676" t="str">
            <v>glcn__D_e</v>
          </cell>
          <cell r="B5676" t="str">
            <v>glcn__D</v>
          </cell>
          <cell r="C5676" t="str">
            <v>D Gluconate C6H11O7</v>
          </cell>
        </row>
        <row r="5677">
          <cell r="A5677" t="str">
            <v>gly_asp__L_e</v>
          </cell>
          <cell r="B5677" t="str">
            <v>gly_asp__L</v>
          </cell>
          <cell r="C5677" t="str">
            <v>Gly asp L C6H9N2O5</v>
          </cell>
        </row>
        <row r="5678">
          <cell r="A5678" t="str">
            <v>gly_cys__L_c</v>
          </cell>
          <cell r="B5678" t="str">
            <v>gly_cys__L</v>
          </cell>
          <cell r="C5678" t="str">
            <v>Gly Cys C5H10N2O3S</v>
          </cell>
        </row>
        <row r="5679">
          <cell r="A5679" t="str">
            <v>gly_met__L_c</v>
          </cell>
          <cell r="B5679" t="str">
            <v>gly_met__L</v>
          </cell>
          <cell r="C5679" t="str">
            <v>Gly Met C7H14N2O3S</v>
          </cell>
        </row>
        <row r="5680">
          <cell r="A5680" t="str">
            <v>gly_pro__L_e</v>
          </cell>
          <cell r="B5680" t="str">
            <v>gly_pro__L</v>
          </cell>
          <cell r="C5680" t="str">
            <v>Gly pro L C7H12N2O3</v>
          </cell>
        </row>
        <row r="5681">
          <cell r="A5681" t="str">
            <v>gtca2_45_BS_c</v>
          </cell>
          <cell r="B5681" t="str">
            <v>gtca2_45_BS</v>
          </cell>
          <cell r="C5681" t="str">
            <v>Glycerol teichoic acid  n45   unlinked  D ala substituted C286H612N47O328P46</v>
          </cell>
        </row>
        <row r="5682">
          <cell r="A5682" t="str">
            <v>gtca3_45_BS_c</v>
          </cell>
          <cell r="B5682" t="str">
            <v>gtca3_45_BS</v>
          </cell>
          <cell r="C5682" t="str">
            <v>Glycerol teichoic acid  n45   unlinked  glucose substituted C421H749N2O464P46</v>
          </cell>
        </row>
        <row r="5683">
          <cell r="A5683" t="str">
            <v>hpal_c</v>
          </cell>
          <cell r="B5683" t="str">
            <v>hpal</v>
          </cell>
          <cell r="C5683" t="str">
            <v>Heptanal C7H14O</v>
          </cell>
        </row>
        <row r="5684">
          <cell r="A5684" t="str">
            <v>hxal_c</v>
          </cell>
          <cell r="B5684" t="str">
            <v>hxal</v>
          </cell>
          <cell r="C5684" t="str">
            <v>Hexanal C6H12O</v>
          </cell>
        </row>
        <row r="5685">
          <cell r="A5685" t="str">
            <v>inospp1_c</v>
          </cell>
          <cell r="B5685" t="str">
            <v>inospp1</v>
          </cell>
          <cell r="C5685" t="str">
            <v>1D myo inositol 1 3 4 5 6 pentakisphosphate C6H7O21P5</v>
          </cell>
        </row>
        <row r="5686">
          <cell r="A5686" t="str">
            <v>istnt_e</v>
          </cell>
          <cell r="B5686" t="str">
            <v>istnt</v>
          </cell>
          <cell r="C5686" t="str">
            <v>Isethionate C2H5O4S</v>
          </cell>
        </row>
        <row r="5687">
          <cell r="A5687" t="str">
            <v>lipt_e</v>
          </cell>
          <cell r="B5687" t="str">
            <v>lipt</v>
          </cell>
          <cell r="C5687" t="str">
            <v>Lipoate C8H13O2S2</v>
          </cell>
        </row>
        <row r="5688">
          <cell r="A5688" t="str">
            <v>met_L_ala__L_e</v>
          </cell>
          <cell r="B5688" t="str">
            <v>met_L_ala__L</v>
          </cell>
          <cell r="C5688" t="str">
            <v>Met L ala L C8H16N2O3S</v>
          </cell>
        </row>
        <row r="5689">
          <cell r="A5689" t="str">
            <v>metox__R_c</v>
          </cell>
          <cell r="B5689" t="str">
            <v>metox__R</v>
          </cell>
          <cell r="C5689" t="str">
            <v>L methionine R oxide C5H11NO3S</v>
          </cell>
        </row>
        <row r="5690">
          <cell r="A5690" t="str">
            <v>metox_c</v>
          </cell>
          <cell r="B5690" t="str">
            <v>metox</v>
          </cell>
          <cell r="C5690" t="str">
            <v>L Methionine S oxide C5H11NO3S</v>
          </cell>
        </row>
        <row r="5691">
          <cell r="A5691" t="str">
            <v>mmal_c</v>
          </cell>
          <cell r="B5691" t="str">
            <v>mmal</v>
          </cell>
          <cell r="C5691" t="str">
            <v>Methylmalonate C4H4O4</v>
          </cell>
        </row>
        <row r="5692">
          <cell r="A5692" t="str">
            <v>mmalsa__S_c</v>
          </cell>
          <cell r="B5692" t="str">
            <v>mmalsa__S</v>
          </cell>
          <cell r="C5692" t="str">
            <v xml:space="preserve"> S  Methylmalonate semialdehyde C4H5O3</v>
          </cell>
        </row>
        <row r="5693">
          <cell r="A5693" t="str">
            <v>mops_c</v>
          </cell>
          <cell r="B5693" t="str">
            <v>mops</v>
          </cell>
          <cell r="C5693" t="str">
            <v>MOPS C7H14NO4S</v>
          </cell>
        </row>
        <row r="5694">
          <cell r="A5694" t="str">
            <v>oxglyc_c</v>
          </cell>
          <cell r="B5694" t="str">
            <v>oxglyc</v>
          </cell>
          <cell r="C5694" t="str">
            <v>Oxaloglycolate C4H2O6</v>
          </cell>
        </row>
        <row r="5695">
          <cell r="A5695" t="str">
            <v>peptido_BS_c</v>
          </cell>
          <cell r="B5695" t="str">
            <v>peptido_BS</v>
          </cell>
          <cell r="C5695" t="str">
            <v>Peptidoglycan subunit of Bacillus subtilis C40H62N8O21</v>
          </cell>
        </row>
        <row r="5696">
          <cell r="A5696" t="str">
            <v>pgly_BS_c</v>
          </cell>
          <cell r="B5696" t="str">
            <v>pgly_BS</v>
          </cell>
          <cell r="C5696" t="str">
            <v>Phosphatidylglycerol  B subtils  C3736H7272O1000P100</v>
          </cell>
        </row>
        <row r="5697">
          <cell r="A5697" t="str">
            <v>ppi_e</v>
          </cell>
          <cell r="B5697" t="str">
            <v>ppi</v>
          </cell>
          <cell r="C5697" t="str">
            <v>Diphosphate</v>
          </cell>
        </row>
        <row r="5698">
          <cell r="A5698" t="str">
            <v>pser__D_e</v>
          </cell>
          <cell r="B5698" t="str">
            <v>pser__D</v>
          </cell>
          <cell r="C5698" t="str">
            <v>D-O-Phosphoserine</v>
          </cell>
        </row>
        <row r="5699">
          <cell r="A5699" t="str">
            <v>ptdcal_c</v>
          </cell>
          <cell r="B5699" t="str">
            <v>ptdcal</v>
          </cell>
          <cell r="C5699" t="str">
            <v>Pentadecanal C15H30O</v>
          </cell>
        </row>
        <row r="5700">
          <cell r="A5700" t="str">
            <v>purine_c</v>
          </cell>
          <cell r="B5700" t="str">
            <v>purine</v>
          </cell>
          <cell r="C5700" t="str">
            <v>Purine C5H5N4</v>
          </cell>
        </row>
        <row r="5701">
          <cell r="A5701" t="str">
            <v>ser_L_ala__L_c</v>
          </cell>
          <cell r="B5701" t="str">
            <v>ser_L_ala__L</v>
          </cell>
          <cell r="C5701" t="str">
            <v>Ser Ala C6H12N2O4</v>
          </cell>
        </row>
        <row r="5702">
          <cell r="A5702" t="str">
            <v>ser_L_ile__L_c</v>
          </cell>
          <cell r="B5702" t="str">
            <v>ser_L_ile__L</v>
          </cell>
          <cell r="C5702" t="str">
            <v>Ser Ile C9H18N2O4</v>
          </cell>
        </row>
        <row r="5703">
          <cell r="A5703" t="str">
            <v>ser_L_leu__L_c</v>
          </cell>
          <cell r="B5703" t="str">
            <v>ser_L_leu__L</v>
          </cell>
          <cell r="C5703" t="str">
            <v>Ser Leu C9H18N2O4</v>
          </cell>
        </row>
        <row r="5704">
          <cell r="A5704" t="str">
            <v>strcoa_c</v>
          </cell>
          <cell r="B5704" t="str">
            <v>strcoa</v>
          </cell>
          <cell r="C5704" t="str">
            <v>Stearyl CoA  n C180CoA  C39H66N7O17P3S</v>
          </cell>
        </row>
        <row r="5705">
          <cell r="A5705" t="str">
            <v>sula_c</v>
          </cell>
          <cell r="B5705" t="str">
            <v>sula</v>
          </cell>
          <cell r="C5705" t="str">
            <v>Sulfoacetate C2H2O5S</v>
          </cell>
        </row>
        <row r="5706">
          <cell r="A5706" t="str">
            <v>thr_L_phe__L_c</v>
          </cell>
          <cell r="B5706" t="str">
            <v>thr_L_phe__L</v>
          </cell>
          <cell r="C5706" t="str">
            <v>Thr Phe C13H18N2O4</v>
          </cell>
        </row>
        <row r="5707">
          <cell r="A5707" t="str">
            <v>trdca_c</v>
          </cell>
          <cell r="B5707" t="str">
            <v>trdca</v>
          </cell>
          <cell r="C5707" t="str">
            <v>Tridecanoate C13H25O2</v>
          </cell>
        </row>
        <row r="5708">
          <cell r="A5708" t="str">
            <v>trdcal_c</v>
          </cell>
          <cell r="B5708" t="str">
            <v>trdcal</v>
          </cell>
          <cell r="C5708" t="str">
            <v>Tridecanal C13H26O</v>
          </cell>
        </row>
        <row r="5709">
          <cell r="A5709" t="str">
            <v>uacgala_c</v>
          </cell>
          <cell r="B5709" t="str">
            <v>uacgala</v>
          </cell>
          <cell r="C5709" t="str">
            <v>UDP N acetyl D galactosamine C17H25N3O17P2</v>
          </cell>
        </row>
        <row r="5710">
          <cell r="A5710" t="str">
            <v>unk2_BS_c</v>
          </cell>
          <cell r="B5710" t="str">
            <v>unk2_BS</v>
          </cell>
          <cell r="C5710" t="str">
            <v>Unknown 2 C5H17O11NP</v>
          </cell>
        </row>
        <row r="5711">
          <cell r="A5711" t="str">
            <v>2coum_c</v>
          </cell>
          <cell r="B5711" t="str">
            <v>2coum</v>
          </cell>
          <cell r="C5711" t="str">
            <v>Cis-2-Hydroxy cinnamate</v>
          </cell>
        </row>
        <row r="5712">
          <cell r="A5712" t="str">
            <v>5moxact_c</v>
          </cell>
          <cell r="B5712" t="str">
            <v>5moxact</v>
          </cell>
          <cell r="C5712" t="str">
            <v>5-Methoxyindoleacetate</v>
          </cell>
        </row>
        <row r="5713">
          <cell r="A5713" t="str">
            <v>pa_hs_18_2_20_4_c</v>
          </cell>
          <cell r="B5713" t="str">
            <v>pa_hs_18_2_20_4</v>
          </cell>
          <cell r="C5713" t="str">
            <v>Pa hs 18 2 20 4[c]</v>
          </cell>
        </row>
        <row r="5714">
          <cell r="A5714" t="str">
            <v>pail345p_hs_18_2_18_2_c</v>
          </cell>
          <cell r="B5714" t="str">
            <v>pail345p_hs_18_2_18_2</v>
          </cell>
          <cell r="C5714" t="str">
            <v>Pail345p hs 18 2 18 2[c]</v>
          </cell>
        </row>
        <row r="5715">
          <cell r="A5715" t="str">
            <v>pail4p_hs_18_2_18_2_c</v>
          </cell>
          <cell r="B5715" t="str">
            <v>pail4p_hs_18_2_18_2</v>
          </cell>
          <cell r="C5715" t="str">
            <v>Pail4p hs 18 2 18 2[c]</v>
          </cell>
        </row>
        <row r="5716">
          <cell r="A5716" t="str">
            <v>ps_hs_18_2_18_2_c</v>
          </cell>
          <cell r="B5716" t="str">
            <v>ps_hs_18_2_18_2</v>
          </cell>
          <cell r="C5716" t="str">
            <v>Ps hs 18 2 18 2[c]</v>
          </cell>
        </row>
        <row r="5717">
          <cell r="A5717" t="str">
            <v>pail45p_hs_18_1_20_4_c</v>
          </cell>
          <cell r="B5717" t="str">
            <v>pail45p_hs_18_1_20_4</v>
          </cell>
          <cell r="C5717" t="str">
            <v>Pail45p hs 18 1 20 4[c]</v>
          </cell>
        </row>
        <row r="5718">
          <cell r="A5718" t="str">
            <v>pail345p_hs_18_1_20_4_c</v>
          </cell>
          <cell r="B5718" t="str">
            <v>pail345p_hs_18_1_20_4</v>
          </cell>
          <cell r="C5718" t="str">
            <v>Pail345p hs 18 1 20 4[c]</v>
          </cell>
        </row>
        <row r="5719">
          <cell r="A5719" t="str">
            <v>pchol_hs_18_1_20_4_c</v>
          </cell>
          <cell r="B5719" t="str">
            <v>pchol_hs_18_1_20_4</v>
          </cell>
          <cell r="C5719" t="str">
            <v>Pchol hs 18 1 20 4[c]</v>
          </cell>
        </row>
        <row r="5720">
          <cell r="A5720" t="str">
            <v>ps_hs_18_1_20_4_c</v>
          </cell>
          <cell r="B5720" t="str">
            <v>ps_hs_18_1_20_4</v>
          </cell>
          <cell r="C5720" t="str">
            <v>Ps hs 18 1 20 4[c]</v>
          </cell>
        </row>
        <row r="5721">
          <cell r="A5721" t="str">
            <v>pail_hs_18_1_18_2_c</v>
          </cell>
          <cell r="B5721" t="str">
            <v>pail_hs_18_1_18_2</v>
          </cell>
          <cell r="C5721" t="str">
            <v>Phosphatidylinositol (homo sapiens, C18:1, C18:2)</v>
          </cell>
        </row>
        <row r="5722">
          <cell r="A5722" t="str">
            <v>cdpdag_hs_18_1_18_2_c</v>
          </cell>
          <cell r="B5722" t="str">
            <v>cdpdag_hs_18_1_18_2</v>
          </cell>
          <cell r="C5722" t="str">
            <v>CDP diacylglycerol (homo sapiens, C18:1, C18:2)</v>
          </cell>
        </row>
        <row r="5723">
          <cell r="A5723" t="str">
            <v>cdpdag_hs_18_1_18_1_c</v>
          </cell>
          <cell r="B5723" t="str">
            <v>cdpdag_hs_18_1_18_1</v>
          </cell>
          <cell r="C5723" t="str">
            <v>CDP diacylglycerol (homo sapiens, C18:1, C18:1)</v>
          </cell>
        </row>
        <row r="5724">
          <cell r="A5724" t="str">
            <v>pchol_hs_18_1_18_1_c</v>
          </cell>
          <cell r="B5724" t="str">
            <v>pchol_hs_18_1_18_1</v>
          </cell>
          <cell r="C5724" t="str">
            <v>Phosphatidylcholine (homo sapiens, C18:1, C18:1)</v>
          </cell>
        </row>
        <row r="5725">
          <cell r="A5725" t="str">
            <v>pail345p_hs_18_0_20_4_c</v>
          </cell>
          <cell r="B5725" t="str">
            <v>pail345p_hs_18_0_20_4</v>
          </cell>
          <cell r="C5725" t="str">
            <v>Pail345p hs 18 0 20 4[c]</v>
          </cell>
        </row>
        <row r="5726">
          <cell r="A5726" t="str">
            <v>pa_hs_18_0_20_4_c</v>
          </cell>
          <cell r="B5726" t="str">
            <v>pa_hs_18_0_20_4</v>
          </cell>
          <cell r="C5726" t="str">
            <v>Phosphatidic acid (homo sapiens,  C18:0, C20:4) cytosol</v>
          </cell>
        </row>
        <row r="5727">
          <cell r="A5727" t="str">
            <v>ps_hs_18_0_20_4_c</v>
          </cell>
          <cell r="B5727" t="str">
            <v>ps_hs_18_0_20_4</v>
          </cell>
          <cell r="C5727" t="str">
            <v>Phosphatidylserine (homo sapiens, C18:0, C20:4) cytosol</v>
          </cell>
        </row>
        <row r="5728">
          <cell r="A5728" t="str">
            <v>pail45p_hs_18_0_18_2_c</v>
          </cell>
          <cell r="B5728" t="str">
            <v>pail45p_hs_18_0_18_2</v>
          </cell>
          <cell r="C5728" t="str">
            <v>Pail45p hs 18 0 18 2[c]</v>
          </cell>
        </row>
        <row r="5729">
          <cell r="A5729" t="str">
            <v>pail345p_hs_18_0_18_2_c</v>
          </cell>
          <cell r="B5729" t="str">
            <v>pail345p_hs_18_0_18_2</v>
          </cell>
          <cell r="C5729" t="str">
            <v>Pail345p hs 18 0 18 2[c]</v>
          </cell>
        </row>
        <row r="5730">
          <cell r="A5730" t="str">
            <v>pa_hs_18_0_18_2_c</v>
          </cell>
          <cell r="B5730" t="str">
            <v>pa_hs_18_0_18_2</v>
          </cell>
          <cell r="C5730" t="str">
            <v>Pa hs 18 0 18 2[c]</v>
          </cell>
        </row>
        <row r="5731">
          <cell r="A5731" t="str">
            <v>pail_hs_18_0_18_1_c</v>
          </cell>
          <cell r="B5731" t="str">
            <v>pail_hs_18_0_18_1</v>
          </cell>
          <cell r="C5731" t="str">
            <v>Pail hs 18 0 18 1[c]</v>
          </cell>
        </row>
        <row r="5732">
          <cell r="A5732" t="str">
            <v>ps_hs_18_0_18_1_c</v>
          </cell>
          <cell r="B5732" t="str">
            <v>ps_hs_18_0_18_1</v>
          </cell>
          <cell r="C5732" t="str">
            <v>Ps hs 18 0 18 1[c]</v>
          </cell>
        </row>
        <row r="5733">
          <cell r="A5733" t="str">
            <v>pe_hs_18_0_18_1_c</v>
          </cell>
          <cell r="B5733" t="str">
            <v>pe_hs_18_0_18_1</v>
          </cell>
          <cell r="C5733" t="str">
            <v>Pe hs 18 0 18 1[c]</v>
          </cell>
        </row>
        <row r="5734">
          <cell r="A5734" t="str">
            <v>pa_hs_18_0_18_0_c</v>
          </cell>
          <cell r="B5734" t="str">
            <v>pa_hs_18_0_18_0</v>
          </cell>
          <cell r="C5734" t="str">
            <v>Pa hs 18 0 18 0[c]</v>
          </cell>
        </row>
        <row r="5735">
          <cell r="A5735" t="str">
            <v>pail4p_hs_16_0_20_4_c</v>
          </cell>
          <cell r="B5735" t="str">
            <v>pail4p_hs_16_0_20_4</v>
          </cell>
          <cell r="C5735" t="str">
            <v>Pail4p hs 16 0 20 4[c]</v>
          </cell>
        </row>
        <row r="5736">
          <cell r="A5736" t="str">
            <v>pail_hs_16_0_18_2_c</v>
          </cell>
          <cell r="B5736" t="str">
            <v>pail_hs_16_0_18_2</v>
          </cell>
          <cell r="C5736" t="str">
            <v>Phosphatidylinositol (homo sapiens, C16:0, C18:2)</v>
          </cell>
        </row>
        <row r="5737">
          <cell r="A5737" t="str">
            <v>pa_hs_16_0_18_1_c</v>
          </cell>
          <cell r="B5737" t="str">
            <v>pa_hs_16_0_18_1</v>
          </cell>
          <cell r="C5737" t="str">
            <v>Phosphatidic acid (homo sapiens, C16:0, C18:1)</v>
          </cell>
        </row>
        <row r="5738">
          <cell r="A5738" t="str">
            <v>pe_hs_16_0_18_1_c</v>
          </cell>
          <cell r="B5738" t="str">
            <v>pe_hs_16_0_18_1</v>
          </cell>
          <cell r="C5738" t="str">
            <v>Phosphatidylethanolamine (homo sapiens, C16:0, C18:1)</v>
          </cell>
        </row>
        <row r="5739">
          <cell r="A5739" t="str">
            <v>pail45p_hs_16_0_18_0_c</v>
          </cell>
          <cell r="B5739" t="str">
            <v>pail45p_hs_16_0_18_0</v>
          </cell>
          <cell r="C5739" t="str">
            <v>Pail45p hs 16 0 18 0[c]</v>
          </cell>
        </row>
        <row r="5740">
          <cell r="A5740" t="str">
            <v>pail345p_hs_16_0_18_0_c</v>
          </cell>
          <cell r="B5740" t="str">
            <v>pail345p_hs_16_0_18_0</v>
          </cell>
          <cell r="C5740" t="str">
            <v>Pail345p hs 16 0 18 0[c]</v>
          </cell>
        </row>
        <row r="5741">
          <cell r="A5741" t="str">
            <v>pail_hs_20_4_20_4_c</v>
          </cell>
          <cell r="B5741" t="str">
            <v>pail_hs_20_4_20_4</v>
          </cell>
          <cell r="C5741" t="str">
            <v>Pail hs 20 4 20 4[c]</v>
          </cell>
        </row>
        <row r="5742">
          <cell r="A5742" t="str">
            <v>pa_hs_20_4_20_4_c</v>
          </cell>
          <cell r="B5742" t="str">
            <v>pa_hs_20_4_20_4</v>
          </cell>
          <cell r="C5742" t="str">
            <v>Pa hs 20 4 20 4[c]</v>
          </cell>
        </row>
        <row r="5743">
          <cell r="A5743" t="str">
            <v>mag_hs_20_4_c</v>
          </cell>
          <cell r="B5743" t="str">
            <v>mag_hs_20_4</v>
          </cell>
          <cell r="C5743" t="str">
            <v>Monoglycerol 2 (homo sapiens C20:4) cytosol</v>
          </cell>
        </row>
        <row r="5744">
          <cell r="A5744" t="str">
            <v>alpha_hs_20_4_c</v>
          </cell>
          <cell r="B5744" t="str">
            <v>alpha_hs_20_4</v>
          </cell>
          <cell r="C5744" t="str">
            <v>Alpha hs 20 4[c]</v>
          </cell>
        </row>
        <row r="5745">
          <cell r="A5745" t="str">
            <v>pail34p_hs_18_2_20_4_c</v>
          </cell>
          <cell r="B5745" t="str">
            <v>pail34p_hs_18_2_20_4</v>
          </cell>
          <cell r="C5745" t="str">
            <v>Pail34p hs 18 2 20 4[c]</v>
          </cell>
        </row>
        <row r="5746">
          <cell r="A5746" t="str">
            <v>cdpdag_hs_18_2_20_4_c</v>
          </cell>
          <cell r="B5746" t="str">
            <v>cdpdag_hs_18_2_20_4</v>
          </cell>
          <cell r="C5746" t="str">
            <v>Cdpdag hs 18 2 20 4[c]</v>
          </cell>
        </row>
        <row r="5747">
          <cell r="A5747" t="str">
            <v>pail_hs_16_0_18_0_c</v>
          </cell>
          <cell r="B5747" t="str">
            <v>pail_hs_16_0_18_0</v>
          </cell>
          <cell r="C5747" t="str">
            <v>Pail hs 16 0 18 0[c]</v>
          </cell>
        </row>
        <row r="5748">
          <cell r="A5748" t="str">
            <v>pe_hs_16_0_18_0_c</v>
          </cell>
          <cell r="B5748" t="str">
            <v>pe_hs_16_0_18_0</v>
          </cell>
          <cell r="C5748" t="str">
            <v>Pe hs 16 0 18 0[c]</v>
          </cell>
        </row>
        <row r="5749">
          <cell r="A5749" t="str">
            <v>pchol_hs_16_0_16_0_c</v>
          </cell>
          <cell r="B5749" t="str">
            <v>pchol_hs_16_0_16_0</v>
          </cell>
          <cell r="C5749" t="str">
            <v>Phosphatidylcholine (homo sapiens, C16:0, C16:0)</v>
          </cell>
        </row>
        <row r="5750">
          <cell r="A5750" t="str">
            <v>ps_hs_16_0_16_0_c</v>
          </cell>
          <cell r="B5750" t="str">
            <v>ps_hs_16_0_16_0</v>
          </cell>
          <cell r="C5750" t="str">
            <v>Ps hs 16 0 16 0[c]</v>
          </cell>
        </row>
        <row r="5751">
          <cell r="A5751" t="str">
            <v>pe_hs_16_0_16_0_c</v>
          </cell>
          <cell r="B5751" t="str">
            <v>pe_hs_16_0_16_0</v>
          </cell>
          <cell r="C5751" t="str">
            <v>Phosphatidylethanolamine (homo sapiens, C16:0, C16:0)</v>
          </cell>
        </row>
        <row r="5752">
          <cell r="A5752" t="str">
            <v>alpa_hs_18_2_c</v>
          </cell>
          <cell r="B5752" t="str">
            <v>alpa_hs_18_2</v>
          </cell>
          <cell r="C5752" t="str">
            <v>Lysophosphatidic acid (homo sapiens, C18:2)</v>
          </cell>
        </row>
        <row r="5753">
          <cell r="A5753" t="str">
            <v>cdpdag_hs_18_2_16_0_c</v>
          </cell>
          <cell r="B5753" t="str">
            <v>cdpdag_hs_18_2_16_0</v>
          </cell>
          <cell r="C5753" t="str">
            <v>CDP diacylglycerol (homo sapiens, C18:2, C16:0)</v>
          </cell>
        </row>
        <row r="5754">
          <cell r="A5754" t="str">
            <v>dag_hs_18_2_16_0_c</v>
          </cell>
          <cell r="B5754" t="str">
            <v>dag_hs_18_2_16_0</v>
          </cell>
          <cell r="C5754" t="str">
            <v>Diacylglycerol (homo sapiens, C18:2, C16:0)</v>
          </cell>
        </row>
        <row r="5755">
          <cell r="A5755" t="str">
            <v>pa_hs_18_2_16_0_c</v>
          </cell>
          <cell r="B5755" t="str">
            <v>pa_hs_18_2_16_0</v>
          </cell>
          <cell r="C5755" t="str">
            <v>Phosphatidic acid (homo sapiens, C18:2, C16:0)</v>
          </cell>
        </row>
        <row r="5756">
          <cell r="A5756" t="str">
            <v>pa_hs_18_2_18_1_c</v>
          </cell>
          <cell r="B5756" t="str">
            <v>pa_hs_18_2_18_1</v>
          </cell>
          <cell r="C5756" t="str">
            <v>Phosphatidic acid (homo sapiens, C18:2, C18:1)</v>
          </cell>
        </row>
        <row r="5757">
          <cell r="A5757" t="str">
            <v>pe_hs_18_2_16_0_c</v>
          </cell>
          <cell r="B5757" t="str">
            <v>pe_hs_18_2_16_0</v>
          </cell>
          <cell r="C5757" t="str">
            <v>Phosphatidylethanolamine (homo sapiens, C18:2, C16:0)</v>
          </cell>
        </row>
        <row r="5758">
          <cell r="A5758" t="str">
            <v>normete__L_e</v>
          </cell>
          <cell r="B5758" t="str">
            <v>normete__L</v>
          </cell>
          <cell r="C5758" t="str">
            <v>L-Normetanephrine</v>
          </cell>
        </row>
        <row r="5759">
          <cell r="A5759" t="str">
            <v>12HPET_e</v>
          </cell>
          <cell r="B5759" t="str">
            <v>12HPET</v>
          </cell>
          <cell r="C5759" t="str">
            <v>12-Hydroperoxyeicosa-5,8,10,14-tetraenoate</v>
          </cell>
        </row>
        <row r="5760">
          <cell r="A5760" t="str">
            <v>17ahprgnlone_m</v>
          </cell>
          <cell r="B5760" t="str">
            <v>17ahprgnlone</v>
          </cell>
          <cell r="C5760" t="str">
            <v>17alpha-Hydroxypregnenolone</v>
          </cell>
        </row>
        <row r="5761">
          <cell r="A5761" t="str">
            <v>3bcrn_e</v>
          </cell>
          <cell r="B5761" t="str">
            <v>3bcrn</v>
          </cell>
          <cell r="C5761" t="str">
            <v>3-hydroxy butyryl carnitine</v>
          </cell>
        </row>
        <row r="5762">
          <cell r="A5762" t="str">
            <v>3mob_e</v>
          </cell>
          <cell r="B5762" t="str">
            <v>3mob</v>
          </cell>
          <cell r="C5762" t="str">
            <v>3-Methyl-2-oxobutanoate</v>
          </cell>
        </row>
        <row r="5763">
          <cell r="A5763" t="str">
            <v>3tdcrn_c</v>
          </cell>
          <cell r="B5763" t="str">
            <v>3tdcrn</v>
          </cell>
          <cell r="C5763" t="str">
            <v>3-hydroxy-tetradecanoyl carnitine</v>
          </cell>
        </row>
        <row r="5764">
          <cell r="A5764" t="str">
            <v>4abutn_e</v>
          </cell>
          <cell r="B5764" t="str">
            <v>4abutn</v>
          </cell>
          <cell r="C5764" t="str">
            <v>4-Aminobutanal</v>
          </cell>
        </row>
        <row r="5765">
          <cell r="A5765" t="str">
            <v>56dthm_m</v>
          </cell>
          <cell r="B5765" t="str">
            <v>56dthm</v>
          </cell>
          <cell r="C5765" t="str">
            <v>5,6-Dihydrothymine</v>
          </cell>
        </row>
        <row r="5766">
          <cell r="A5766" t="str">
            <v>5HPET_r</v>
          </cell>
          <cell r="B5766" t="str">
            <v>5HPET</v>
          </cell>
          <cell r="C5766" t="str">
            <v>5-Hydroperoxy-6-trans-8,11,14-cis-eicosatetraenoate</v>
          </cell>
        </row>
        <row r="5767">
          <cell r="A5767" t="str">
            <v>5mthf_r</v>
          </cell>
          <cell r="B5767" t="str">
            <v>5mthf</v>
          </cell>
          <cell r="C5767" t="str">
            <v>5-Methyltetrahydrofolate</v>
          </cell>
        </row>
        <row r="5768">
          <cell r="A5768" t="str">
            <v>5oxpro_e</v>
          </cell>
          <cell r="B5768" t="str">
            <v>5oxpro</v>
          </cell>
          <cell r="C5768" t="str">
            <v>5-Oxoproline</v>
          </cell>
        </row>
        <row r="5769">
          <cell r="A5769" t="str">
            <v>C01241_m</v>
          </cell>
          <cell r="B5769" t="str">
            <v>C01241</v>
          </cell>
          <cell r="C5769" t="str">
            <v>Phosphatidyl-N-methylethanolamine</v>
          </cell>
        </row>
        <row r="5770">
          <cell r="A5770" t="str">
            <v>C01507_c</v>
          </cell>
          <cell r="B5770" t="str">
            <v>C01507</v>
          </cell>
          <cell r="C5770" t="str">
            <v>L-Iditol; (2R,3S,4S,5R)-Hexane-1,2,3,4,5,6-hexol</v>
          </cell>
        </row>
        <row r="5771">
          <cell r="A5771" t="str">
            <v>C01601_c</v>
          </cell>
          <cell r="B5771" t="str">
            <v>C01601</v>
          </cell>
          <cell r="C5771" t="str">
            <v>Nonanoate</v>
          </cell>
        </row>
        <row r="5772">
          <cell r="A5772" t="str">
            <v>C01747_l</v>
          </cell>
          <cell r="B5772" t="str">
            <v>C01747</v>
          </cell>
          <cell r="C5772" t="str">
            <v>Psychosine(1+); Galactosylsphingosine</v>
          </cell>
        </row>
        <row r="5773">
          <cell r="A5773" t="str">
            <v>C01836_m</v>
          </cell>
          <cell r="B5773" t="str">
            <v>C01836</v>
          </cell>
          <cell r="C5773" t="str">
            <v>Neurotensin</v>
          </cell>
        </row>
        <row r="5774">
          <cell r="A5774" t="str">
            <v>C02356_c</v>
          </cell>
          <cell r="B5774" t="str">
            <v>C02356</v>
          </cell>
          <cell r="C5774" t="str">
            <v>(S)-2-Aminobutanoate</v>
          </cell>
        </row>
        <row r="5775">
          <cell r="A5775" t="str">
            <v>C02470_m</v>
          </cell>
          <cell r="B5775" t="str">
            <v>C02470</v>
          </cell>
          <cell r="C5775" t="str">
            <v>Xanthurenic acid</v>
          </cell>
        </row>
        <row r="5776">
          <cell r="A5776" t="str">
            <v>C02528_e</v>
          </cell>
          <cell r="B5776" t="str">
            <v>C02528</v>
          </cell>
          <cell r="C5776" t="str">
            <v>Chenodeoxycholate</v>
          </cell>
        </row>
        <row r="5777">
          <cell r="A5777" t="str">
            <v>C02712_c</v>
          </cell>
          <cell r="B5777" t="str">
            <v>C02712</v>
          </cell>
          <cell r="C5777" t="str">
            <v>N-Acetylmethionine</v>
          </cell>
        </row>
        <row r="5778">
          <cell r="A5778" t="str">
            <v>C02744_g</v>
          </cell>
          <cell r="B5778" t="str">
            <v>C02744</v>
          </cell>
          <cell r="C5778" t="str">
            <v>Psychosine sulfate</v>
          </cell>
        </row>
        <row r="5779">
          <cell r="A5779" t="str">
            <v>C03405_c</v>
          </cell>
          <cell r="B5779" t="str">
            <v>C03405</v>
          </cell>
          <cell r="C5779" t="str">
            <v>Lactosylceramide sulfate</v>
          </cell>
        </row>
        <row r="5780">
          <cell r="A5780" t="str">
            <v>C03693_c</v>
          </cell>
          <cell r="B5780" t="str">
            <v>C03693</v>
          </cell>
          <cell r="C5780" t="str">
            <v>D-Mannose 1,6-bisphosphate</v>
          </cell>
        </row>
        <row r="5781">
          <cell r="A5781" t="str">
            <v>C04295_c</v>
          </cell>
          <cell r="B5781" t="str">
            <v>C04295</v>
          </cell>
          <cell r="C5781" t="str">
            <v>Androst-5-ene-3beta,17beta-diol</v>
          </cell>
        </row>
        <row r="5782">
          <cell r="A5782" t="str">
            <v>C04295_r</v>
          </cell>
          <cell r="B5782" t="str">
            <v>C04295</v>
          </cell>
          <cell r="C5782" t="str">
            <v>Androst-5-ene-3beta,17beta-diol</v>
          </cell>
        </row>
        <row r="5783">
          <cell r="A5783" t="str">
            <v>C04805_n</v>
          </cell>
          <cell r="B5783" t="str">
            <v>C04805</v>
          </cell>
          <cell r="C5783" t="str">
            <v>5(S)-HETE</v>
          </cell>
        </row>
        <row r="5784">
          <cell r="A5784" t="str">
            <v>C04843_c</v>
          </cell>
          <cell r="B5784" t="str">
            <v>C04843</v>
          </cell>
          <cell r="C5784" t="str">
            <v>(5Z,9E,12S,14Z)-8,11,12-trihydroxyicosa-5,9,14-trienoate</v>
          </cell>
        </row>
        <row r="5785">
          <cell r="A5785" t="str">
            <v>C04843_r</v>
          </cell>
          <cell r="B5785" t="str">
            <v>C04843</v>
          </cell>
          <cell r="C5785" t="str">
            <v>(5Z,9E,12S,14Z)-8,11,12-trihydroxyicosa-5,9,14-trienoate</v>
          </cell>
        </row>
        <row r="5786">
          <cell r="A5786" t="str">
            <v>C04843_x</v>
          </cell>
          <cell r="B5786" t="str">
            <v>C04843</v>
          </cell>
          <cell r="C5786" t="str">
            <v>(5Z,9E,12S,14Z)-8,11,12-trihydroxyicosa-5,9,14-trienoate</v>
          </cell>
        </row>
        <row r="5787">
          <cell r="A5787" t="str">
            <v>C04849_e</v>
          </cell>
          <cell r="B5787" t="str">
            <v>C04849</v>
          </cell>
          <cell r="C5787" t="str">
            <v>(5Z,9E,14Z)-(8xi,11R,12S)-11,12-epoxy-8-hydroxyicosa-5,9,14-trienoate</v>
          </cell>
        </row>
        <row r="5788">
          <cell r="A5788" t="str">
            <v>C05284_m</v>
          </cell>
          <cell r="B5788" t="str">
            <v>C05284</v>
          </cell>
          <cell r="C5788" t="str">
            <v>11beta-Hydroxyandrost-4-ene-3,17-dione</v>
          </cell>
        </row>
        <row r="5789">
          <cell r="A5789" t="str">
            <v>C05298_c</v>
          </cell>
          <cell r="B5789" t="str">
            <v>C05298</v>
          </cell>
          <cell r="C5789" t="str">
            <v>2-Hydroxyestrone</v>
          </cell>
        </row>
        <row r="5790">
          <cell r="A5790" t="str">
            <v>C05298_r</v>
          </cell>
          <cell r="B5790" t="str">
            <v>C05298</v>
          </cell>
          <cell r="C5790" t="str">
            <v>2-Hydroxyestrone</v>
          </cell>
        </row>
        <row r="5791">
          <cell r="A5791" t="str">
            <v>C05302_c</v>
          </cell>
          <cell r="B5791" t="str">
            <v>C05302</v>
          </cell>
          <cell r="C5791" t="str">
            <v>2-Methoxyestradiol-17beta</v>
          </cell>
        </row>
        <row r="5792">
          <cell r="A5792" t="str">
            <v>C05708_c</v>
          </cell>
          <cell r="B5792" t="str">
            <v>C05708</v>
          </cell>
          <cell r="C5792" t="str">
            <v>Selenomethionine se-oxide</v>
          </cell>
        </row>
        <row r="5793">
          <cell r="A5793" t="str">
            <v>C05708_r</v>
          </cell>
          <cell r="B5793" t="str">
            <v>C05708</v>
          </cell>
          <cell r="C5793" t="str">
            <v>Selenomethionine se-oxide</v>
          </cell>
        </row>
        <row r="5794">
          <cell r="A5794" t="str">
            <v>C05769_c</v>
          </cell>
          <cell r="B5794" t="str">
            <v>C05769</v>
          </cell>
          <cell r="C5794" t="str">
            <v>Coproporphyrin I</v>
          </cell>
        </row>
        <row r="5795">
          <cell r="A5795" t="str">
            <v>C05957_c</v>
          </cell>
          <cell r="B5795" t="str">
            <v>C05957</v>
          </cell>
          <cell r="C5795" t="str">
            <v>Prostaglandin J2</v>
          </cell>
        </row>
        <row r="5796">
          <cell r="A5796" t="str">
            <v>C05957_r</v>
          </cell>
          <cell r="B5796" t="str">
            <v>C05957</v>
          </cell>
          <cell r="C5796" t="str">
            <v>Prostaglandin J2</v>
          </cell>
        </row>
        <row r="5797">
          <cell r="A5797" t="str">
            <v>C06199_l</v>
          </cell>
          <cell r="B5797" t="str">
            <v>C06199</v>
          </cell>
          <cell r="C5797" t="str">
            <v>Hordenine</v>
          </cell>
        </row>
        <row r="5798">
          <cell r="A5798" t="str">
            <v>C06315_n</v>
          </cell>
          <cell r="B5798" t="str">
            <v>C06315</v>
          </cell>
          <cell r="C5798" t="str">
            <v>Lipoxin B4(1-)</v>
          </cell>
        </row>
        <row r="5799">
          <cell r="A5799" t="str">
            <v>C06453_c</v>
          </cell>
          <cell r="B5799" t="str">
            <v>C06453</v>
          </cell>
          <cell r="C5799" t="str">
            <v>Methylcobalamin</v>
          </cell>
        </row>
        <row r="5800">
          <cell r="A5800" t="str">
            <v>C06948_c</v>
          </cell>
          <cell r="B5800" t="str">
            <v>C06948</v>
          </cell>
          <cell r="C5800" t="str">
            <v>Diazepam</v>
          </cell>
        </row>
        <row r="5801">
          <cell r="A5801" t="str">
            <v>C08261_c</v>
          </cell>
          <cell r="B5801" t="str">
            <v>C08261</v>
          </cell>
          <cell r="C5801" t="str">
            <v>Azelaic acid; nonanedioic acid</v>
          </cell>
        </row>
        <row r="5802">
          <cell r="A5802" t="str">
            <v>C09640_c</v>
          </cell>
          <cell r="B5802" t="str">
            <v>C09640</v>
          </cell>
          <cell r="C5802" t="str">
            <v>(-)-Salsoline</v>
          </cell>
        </row>
        <row r="5803">
          <cell r="A5803" t="str">
            <v>C11304_c</v>
          </cell>
          <cell r="B5803" t="str">
            <v>C11304</v>
          </cell>
          <cell r="C5803" t="str">
            <v>S-(PGA1)-glutathione</v>
          </cell>
        </row>
        <row r="5804">
          <cell r="A5804" t="str">
            <v>C11304_r</v>
          </cell>
          <cell r="B5804" t="str">
            <v>C11304</v>
          </cell>
          <cell r="C5804" t="str">
            <v>S-(PGA1)-glutathione</v>
          </cell>
        </row>
        <row r="5805">
          <cell r="A5805" t="str">
            <v>C11695_c</v>
          </cell>
          <cell r="B5805" t="str">
            <v>C11695</v>
          </cell>
          <cell r="C5805" t="str">
            <v>Anandamide</v>
          </cell>
        </row>
        <row r="5806">
          <cell r="A5806" t="str">
            <v>C14768_c</v>
          </cell>
          <cell r="B5806" t="str">
            <v>C14768</v>
          </cell>
          <cell r="C5806" t="str">
            <v>5,6-EET</v>
          </cell>
        </row>
        <row r="5807">
          <cell r="A5807" t="str">
            <v>C14768_r</v>
          </cell>
          <cell r="B5807" t="str">
            <v>C14768</v>
          </cell>
          <cell r="C5807" t="str">
            <v>5,6-EET</v>
          </cell>
        </row>
        <row r="5808">
          <cell r="A5808" t="str">
            <v>C14771_c</v>
          </cell>
          <cell r="B5808" t="str">
            <v>C14771</v>
          </cell>
          <cell r="C5808" t="str">
            <v>14,15-EET</v>
          </cell>
        </row>
        <row r="5809">
          <cell r="A5809" t="str">
            <v>C14771_r</v>
          </cell>
          <cell r="B5809" t="str">
            <v>C14771</v>
          </cell>
          <cell r="C5809" t="str">
            <v>14,15-EET</v>
          </cell>
        </row>
        <row r="5810">
          <cell r="A5810" t="str">
            <v>C14826_c</v>
          </cell>
          <cell r="B5810" t="str">
            <v>C14826</v>
          </cell>
          <cell r="C5810" t="str">
            <v>12(13)-EpOME</v>
          </cell>
        </row>
        <row r="5811">
          <cell r="A5811" t="str">
            <v>C14826_r</v>
          </cell>
          <cell r="B5811" t="str">
            <v>C14826</v>
          </cell>
          <cell r="C5811" t="str">
            <v>12(13)-EpOME</v>
          </cell>
        </row>
        <row r="5812">
          <cell r="A5812" t="str">
            <v>CE0074_c</v>
          </cell>
          <cell r="B5812" t="str">
            <v>CE0074</v>
          </cell>
          <cell r="C5812" t="str">
            <v>Alloxan</v>
          </cell>
        </row>
        <row r="5813">
          <cell r="A5813" t="str">
            <v>CE1059_c</v>
          </cell>
          <cell r="B5813" t="str">
            <v>CE1059</v>
          </cell>
          <cell r="C5813" t="str">
            <v>N1,N8-diacetylspermidine</v>
          </cell>
        </row>
        <row r="5814">
          <cell r="A5814" t="str">
            <v>CE1273_c</v>
          </cell>
          <cell r="B5814" t="str">
            <v>CE1273</v>
          </cell>
          <cell r="C5814" t="str">
            <v>5beta-cholestane-3alpha,7alpha,12alpha,24S,25-pentol</v>
          </cell>
        </row>
        <row r="5815">
          <cell r="A5815" t="str">
            <v>CE1273_r</v>
          </cell>
          <cell r="B5815" t="str">
            <v>CE1273</v>
          </cell>
          <cell r="C5815" t="str">
            <v>5beta-cholestane-3alpha,7alpha,12alpha,24S,25-pentol</v>
          </cell>
        </row>
        <row r="5816">
          <cell r="A5816" t="str">
            <v>CE1274_c</v>
          </cell>
          <cell r="B5816" t="str">
            <v>CE1274</v>
          </cell>
          <cell r="C5816" t="str">
            <v>3alpha,7alpha,12alpha,25-tetrahydroxy-5beta-cholestane-24-one</v>
          </cell>
        </row>
        <row r="5817">
          <cell r="A5817" t="str">
            <v>CE1274_r</v>
          </cell>
          <cell r="B5817" t="str">
            <v>CE1274</v>
          </cell>
          <cell r="C5817" t="str">
            <v>3alpha,7alpha,12alpha,25-tetrahydroxy-5beta-cholestane-24-one</v>
          </cell>
        </row>
        <row r="5818">
          <cell r="A5818" t="str">
            <v>CE1278_c</v>
          </cell>
          <cell r="B5818" t="str">
            <v>CE1278</v>
          </cell>
          <cell r="C5818" t="str">
            <v>5beta-cholestane-3alpha,7alpha,12alpha,25,27-pentol</v>
          </cell>
        </row>
        <row r="5819">
          <cell r="A5819" t="str">
            <v>CE1278_r</v>
          </cell>
          <cell r="B5819" t="str">
            <v>CE1278</v>
          </cell>
          <cell r="C5819" t="str">
            <v>5beta-cholestane-3alpha,7alpha,12alpha,25,27-pentol</v>
          </cell>
        </row>
        <row r="5820">
          <cell r="A5820" t="str">
            <v>CE1279_c</v>
          </cell>
          <cell r="B5820" t="str">
            <v>CE1279</v>
          </cell>
          <cell r="C5820" t="str">
            <v>5beta-cholestane-3alpha,7alpha,12alpha,24R,25-pentol</v>
          </cell>
        </row>
        <row r="5821">
          <cell r="A5821" t="str">
            <v>CE1279_r</v>
          </cell>
          <cell r="B5821" t="str">
            <v>CE1279</v>
          </cell>
          <cell r="C5821" t="str">
            <v>5beta-cholestane-3alpha,7alpha,12alpha,24R,25-pentol</v>
          </cell>
        </row>
        <row r="5822">
          <cell r="A5822" t="str">
            <v>CE1292_m</v>
          </cell>
          <cell r="B5822" t="str">
            <v>CE1292</v>
          </cell>
          <cell r="C5822" t="str">
            <v>3beta-hydroxy-5-cholestene-27-oate</v>
          </cell>
        </row>
        <row r="5823">
          <cell r="A5823" t="str">
            <v>CE1294_c</v>
          </cell>
          <cell r="B5823" t="str">
            <v>CE1294</v>
          </cell>
          <cell r="C5823" t="str">
            <v>27alpha-hydroxy-8-dehydrocholesterol</v>
          </cell>
        </row>
        <row r="5824">
          <cell r="A5824" t="str">
            <v>CE1298_m</v>
          </cell>
          <cell r="B5824" t="str">
            <v>CE1298</v>
          </cell>
          <cell r="C5824" t="str">
            <v>3beta-hydroxy-5-cholestenal</v>
          </cell>
        </row>
        <row r="5825">
          <cell r="A5825" t="str">
            <v>CE1310_m</v>
          </cell>
          <cell r="B5825" t="str">
            <v>CE1310</v>
          </cell>
          <cell r="C5825" t="str">
            <v>N-acetyl-L-cysteine</v>
          </cell>
        </row>
        <row r="5826">
          <cell r="A5826" t="str">
            <v>CE1401_c</v>
          </cell>
          <cell r="B5826" t="str">
            <v>CE1401</v>
          </cell>
          <cell r="C5826" t="str">
            <v>Homocysteine thiolactone</v>
          </cell>
        </row>
        <row r="5827">
          <cell r="A5827" t="str">
            <v>CE1554_c</v>
          </cell>
          <cell r="B5827" t="str">
            <v>CE1554</v>
          </cell>
          <cell r="C5827" t="str">
            <v>N-acetyl-L-alanine</v>
          </cell>
        </row>
        <row r="5828">
          <cell r="A5828" t="str">
            <v>CE1556_c</v>
          </cell>
          <cell r="B5828" t="str">
            <v>CE1556</v>
          </cell>
          <cell r="C5828" t="str">
            <v>N-acetyl-L-asparagine</v>
          </cell>
        </row>
        <row r="5829">
          <cell r="A5829" t="str">
            <v>CE1562_c</v>
          </cell>
          <cell r="B5829" t="str">
            <v>CE1562</v>
          </cell>
          <cell r="C5829" t="str">
            <v>5,6-indolequinone-2-carboxylate</v>
          </cell>
        </row>
        <row r="5830">
          <cell r="A5830" t="str">
            <v>CE1925_e</v>
          </cell>
          <cell r="B5830" t="str">
            <v>CE1925</v>
          </cell>
          <cell r="C5830" t="str">
            <v>3'-carboxy-alpha-chromanol</v>
          </cell>
        </row>
        <row r="5831">
          <cell r="A5831" t="str">
            <v>CE1926_e</v>
          </cell>
          <cell r="B5831" t="str">
            <v>CE1926</v>
          </cell>
          <cell r="C5831" t="str">
            <v>Gama-carboxyethyl-hydroxychroman</v>
          </cell>
        </row>
        <row r="5832">
          <cell r="A5832" t="str">
            <v>CE1937_c</v>
          </cell>
          <cell r="B5832" t="str">
            <v>CE1937</v>
          </cell>
          <cell r="C5832" t="str">
            <v>Spermic acid 1</v>
          </cell>
        </row>
        <row r="5833">
          <cell r="A5833" t="str">
            <v>CE1940_e</v>
          </cell>
          <cell r="B5833" t="str">
            <v>CE1940</v>
          </cell>
          <cell r="C5833" t="str">
            <v>Spermidine monoaldehyde 2</v>
          </cell>
        </row>
        <row r="5834">
          <cell r="A5834" t="str">
            <v>CE1941_c</v>
          </cell>
          <cell r="B5834" t="str">
            <v>CE1941</v>
          </cell>
          <cell r="C5834" t="str">
            <v>Isoputreanine</v>
          </cell>
        </row>
        <row r="5835">
          <cell r="A5835" t="str">
            <v>CE1943_e</v>
          </cell>
          <cell r="B5835" t="str">
            <v>CE1943</v>
          </cell>
          <cell r="C5835" t="str">
            <v>Spermidine dialdehyde</v>
          </cell>
        </row>
        <row r="5836">
          <cell r="A5836" t="str">
            <v>CE2006_c</v>
          </cell>
          <cell r="B5836" t="str">
            <v>CE2006</v>
          </cell>
          <cell r="C5836" t="str">
            <v>4-hydroxy-2-nonenal</v>
          </cell>
        </row>
        <row r="5837">
          <cell r="A5837" t="str">
            <v>CE2011_n</v>
          </cell>
          <cell r="B5837" t="str">
            <v>CE2011</v>
          </cell>
          <cell r="C5837" t="str">
            <v>Hypothiocyanite</v>
          </cell>
        </row>
        <row r="5838">
          <cell r="A5838" t="str">
            <v>CE2028_c</v>
          </cell>
          <cell r="B5838" t="str">
            <v>CE2028</v>
          </cell>
          <cell r="C5838" t="str">
            <v>Beta-hydroxy-beta-methylbutyrate</v>
          </cell>
        </row>
        <row r="5839">
          <cell r="A5839" t="str">
            <v>CE2053_m</v>
          </cell>
          <cell r="B5839" t="str">
            <v>CE2053</v>
          </cell>
          <cell r="C5839" t="str">
            <v>20-oxo-leukotriene B4</v>
          </cell>
        </row>
        <row r="5840">
          <cell r="A5840" t="str">
            <v>CE2084_m</v>
          </cell>
          <cell r="B5840" t="str">
            <v>CE2084</v>
          </cell>
          <cell r="C5840" t="str">
            <v>5-oxo-(6E,8Z,11Z,14Z)-eicosatetraenoic acid</v>
          </cell>
        </row>
        <row r="5841">
          <cell r="A5841" t="str">
            <v>CE2174_c</v>
          </cell>
          <cell r="B5841" t="str">
            <v>CE2174</v>
          </cell>
          <cell r="C5841" t="str">
            <v>4,6,7-trihydroxy-1,2,3,4-tetrahydroisoquinoline</v>
          </cell>
        </row>
        <row r="5842">
          <cell r="A5842" t="str">
            <v>CE2176_c</v>
          </cell>
          <cell r="B5842" t="str">
            <v>CE2176</v>
          </cell>
          <cell r="C5842" t="str">
            <v>3-O-methyldopa</v>
          </cell>
        </row>
        <row r="5843">
          <cell r="A5843" t="str">
            <v>CE2180_c</v>
          </cell>
          <cell r="B5843" t="str">
            <v>CE2180</v>
          </cell>
          <cell r="C5843" t="str">
            <v>4-hydroxyestrone</v>
          </cell>
        </row>
        <row r="5844">
          <cell r="A5844" t="str">
            <v>CE2180_r</v>
          </cell>
          <cell r="B5844" t="str">
            <v>CE2180</v>
          </cell>
          <cell r="C5844" t="str">
            <v>4-hydroxyestrone</v>
          </cell>
        </row>
        <row r="5845">
          <cell r="A5845" t="str">
            <v>CE2186_c</v>
          </cell>
          <cell r="B5845" t="str">
            <v>CE2186</v>
          </cell>
          <cell r="C5845" t="str">
            <v>4-methoxy-17beta-estradiol</v>
          </cell>
        </row>
        <row r="5846">
          <cell r="A5846" t="str">
            <v>CE2201_m</v>
          </cell>
          <cell r="B5846" t="str">
            <v>CE2201</v>
          </cell>
          <cell r="C5846" t="str">
            <v>23S,25-dihydroxyvitamin D3</v>
          </cell>
        </row>
        <row r="5847">
          <cell r="A5847" t="str">
            <v>CE2202_c</v>
          </cell>
          <cell r="B5847" t="str">
            <v>CE2202</v>
          </cell>
          <cell r="C5847" t="str">
            <v>23S,25,26-trihydroxyvitamin D3</v>
          </cell>
        </row>
        <row r="5848">
          <cell r="A5848" t="str">
            <v>CE2204_c</v>
          </cell>
          <cell r="B5848" t="str">
            <v>CE2204</v>
          </cell>
          <cell r="C5848" t="str">
            <v>25-hydroxyvitamin D3-26,23-lactone</v>
          </cell>
        </row>
        <row r="5849">
          <cell r="A5849" t="str">
            <v>CE2206_c</v>
          </cell>
          <cell r="B5849" t="str">
            <v>CE2206</v>
          </cell>
          <cell r="C5849" t="str">
            <v>24-oxo-1alpha,25-dihydroxyvitamin D3</v>
          </cell>
        </row>
        <row r="5850">
          <cell r="A5850" t="str">
            <v>CE2207_c</v>
          </cell>
          <cell r="B5850" t="str">
            <v>CE2207</v>
          </cell>
          <cell r="C5850" t="str">
            <v>24-oxo-1alpha,23,25-trihydroxyvitamin D3</v>
          </cell>
        </row>
        <row r="5851">
          <cell r="A5851" t="str">
            <v>CE2242_n</v>
          </cell>
          <cell r="B5851" t="str">
            <v>CE2242</v>
          </cell>
          <cell r="C5851" t="str">
            <v>Trans-docos-2-enoyl-CoA</v>
          </cell>
        </row>
        <row r="5852">
          <cell r="A5852" t="str">
            <v>CE2247_c</v>
          </cell>
          <cell r="B5852" t="str">
            <v>CE2247</v>
          </cell>
          <cell r="C5852" t="str">
            <v>3-hydroxyeicosanoyl-CoA (4-)</v>
          </cell>
        </row>
        <row r="5853">
          <cell r="A5853" t="str">
            <v>CE2250_c</v>
          </cell>
          <cell r="B5853" t="str">
            <v>CE2250</v>
          </cell>
          <cell r="C5853" t="str">
            <v>3-oxodocosanoyl-CoA(4-)</v>
          </cell>
        </row>
        <row r="5854">
          <cell r="A5854" t="str">
            <v>CE2253_c</v>
          </cell>
          <cell r="B5854" t="str">
            <v>CE2253</v>
          </cell>
          <cell r="C5854" t="str">
            <v>3-oxotetracosanoyl-CoA</v>
          </cell>
        </row>
        <row r="5855">
          <cell r="A5855" t="str">
            <v>CE2421_c</v>
          </cell>
          <cell r="B5855" t="str">
            <v>CE2421</v>
          </cell>
          <cell r="C5855" t="str">
            <v>(3S)-3-hydroxylinoleoyl-CoA</v>
          </cell>
        </row>
        <row r="5856">
          <cell r="A5856" t="str">
            <v>CE2424_c</v>
          </cell>
          <cell r="B5856" t="str">
            <v>CE2424</v>
          </cell>
          <cell r="C5856" t="str">
            <v>3-oxo-cis,cis-5,8-tetradecadienoyl-CoA</v>
          </cell>
        </row>
        <row r="5857">
          <cell r="A5857" t="str">
            <v>CE2445_c</v>
          </cell>
          <cell r="B5857" t="str">
            <v>CE2445</v>
          </cell>
          <cell r="C5857" t="str">
            <v>6-trans-leukotriene B4</v>
          </cell>
        </row>
        <row r="5858">
          <cell r="A5858" t="str">
            <v>CE2510_c</v>
          </cell>
          <cell r="B5858" t="str">
            <v>CE2510</v>
          </cell>
          <cell r="C5858" t="str">
            <v>11-cis-eicosenoate</v>
          </cell>
        </row>
        <row r="5859">
          <cell r="A5859" t="str">
            <v>CE2516_c</v>
          </cell>
          <cell r="B5859" t="str">
            <v>CE2516</v>
          </cell>
          <cell r="C5859" t="str">
            <v>(8Z,11Z,14Z)-eicosatrienoic acid</v>
          </cell>
        </row>
        <row r="5860">
          <cell r="A5860" t="str">
            <v>CE2516_r</v>
          </cell>
          <cell r="B5860" t="str">
            <v>CE2516</v>
          </cell>
          <cell r="C5860" t="str">
            <v>(8Z,11Z,14Z)-eicosatrienoic acid</v>
          </cell>
        </row>
        <row r="5861">
          <cell r="A5861" t="str">
            <v>CE2537_c</v>
          </cell>
          <cell r="B5861" t="str">
            <v>CE2537</v>
          </cell>
          <cell r="C5861" t="str">
            <v>15-hydroxy-(8Z,11Z,13E)-eicosatrienoate</v>
          </cell>
        </row>
        <row r="5862">
          <cell r="A5862" t="str">
            <v>CE2568_c</v>
          </cell>
          <cell r="B5862" t="str">
            <v>CE2568</v>
          </cell>
          <cell r="C5862" t="str">
            <v>15-epi-lipoxin A4</v>
          </cell>
        </row>
        <row r="5863">
          <cell r="A5863" t="str">
            <v>CE2568_r</v>
          </cell>
          <cell r="B5863" t="str">
            <v>CE2568</v>
          </cell>
          <cell r="C5863" t="str">
            <v>15-epi-lipoxin A4</v>
          </cell>
        </row>
        <row r="5864">
          <cell r="A5864" t="str">
            <v>CE2568_x</v>
          </cell>
          <cell r="B5864" t="str">
            <v>CE2568</v>
          </cell>
          <cell r="C5864" t="str">
            <v>15-epi-lipoxin A4</v>
          </cell>
        </row>
        <row r="5865">
          <cell r="A5865" t="str">
            <v>CE2569_c</v>
          </cell>
          <cell r="B5865" t="str">
            <v>CE2569</v>
          </cell>
          <cell r="C5865" t="str">
            <v>15-epi-lipoxin B4</v>
          </cell>
        </row>
        <row r="5866">
          <cell r="A5866" t="str">
            <v>CE2569_r</v>
          </cell>
          <cell r="B5866" t="str">
            <v>CE2569</v>
          </cell>
          <cell r="C5866" t="str">
            <v>15-epi-lipoxin B4</v>
          </cell>
        </row>
        <row r="5867">
          <cell r="A5867" t="str">
            <v>CE2569_x</v>
          </cell>
          <cell r="B5867" t="str">
            <v>CE2569</v>
          </cell>
          <cell r="C5867" t="str">
            <v>15-epi-lipoxin B4</v>
          </cell>
        </row>
        <row r="5868">
          <cell r="A5868" t="str">
            <v>CE2577_c</v>
          </cell>
          <cell r="B5868" t="str">
            <v>CE2577</v>
          </cell>
          <cell r="C5868" t="str">
            <v>4-oxo-2-nonenal</v>
          </cell>
        </row>
        <row r="5869">
          <cell r="A5869" t="str">
            <v>CE2597_c</v>
          </cell>
          <cell r="B5869" t="str">
            <v>CE2597</v>
          </cell>
          <cell r="C5869" t="str">
            <v>3(S)-3-hydroxydodecen-(5Z)-oyl-CoA</v>
          </cell>
        </row>
        <row r="5870">
          <cell r="A5870" t="str">
            <v>CE2705_c</v>
          </cell>
          <cell r="B5870" t="str">
            <v>CE2705</v>
          </cell>
          <cell r="C5870" t="str">
            <v>7,8-Dihydrobiopterin</v>
          </cell>
        </row>
        <row r="5871">
          <cell r="A5871" t="str">
            <v>CE2846_c</v>
          </cell>
          <cell r="B5871" t="str">
            <v>CE2846</v>
          </cell>
          <cell r="C5871" t="str">
            <v>Fructoselysine 3-phosphate</v>
          </cell>
        </row>
        <row r="5872">
          <cell r="A5872" t="str">
            <v>CE2847_c</v>
          </cell>
          <cell r="B5872" t="str">
            <v>CE2847</v>
          </cell>
          <cell r="C5872" t="str">
            <v>Fructoseglycine</v>
          </cell>
        </row>
        <row r="5873">
          <cell r="A5873" t="str">
            <v>CE2863_m</v>
          </cell>
          <cell r="B5873" t="str">
            <v>CE2863</v>
          </cell>
          <cell r="C5873" t="str">
            <v>Neurotensin 11-13</v>
          </cell>
        </row>
        <row r="5874">
          <cell r="A5874" t="str">
            <v>CE2882_r</v>
          </cell>
          <cell r="B5874" t="str">
            <v>CE2882</v>
          </cell>
          <cell r="C5874" t="str">
            <v>3,3',5'-triiodothyroacetate</v>
          </cell>
        </row>
        <row r="5875">
          <cell r="A5875" t="str">
            <v>CE2890_c</v>
          </cell>
          <cell r="B5875" t="str">
            <v>CE2890</v>
          </cell>
          <cell r="C5875" t="str">
            <v>Dynorphin A (6-8)</v>
          </cell>
        </row>
        <row r="5876">
          <cell r="A5876" t="str">
            <v>CE2915_e</v>
          </cell>
          <cell r="B5876" t="str">
            <v>CE2915</v>
          </cell>
          <cell r="C5876" t="str">
            <v>Beta-casomorphin</v>
          </cell>
        </row>
        <row r="5877">
          <cell r="A5877" t="str">
            <v>CE2916_c</v>
          </cell>
          <cell r="B5877" t="str">
            <v>CE2916</v>
          </cell>
          <cell r="C5877" t="str">
            <v>Neocasomorphin</v>
          </cell>
        </row>
        <row r="5878">
          <cell r="A5878" t="str">
            <v>CE2917_e</v>
          </cell>
          <cell r="B5878" t="str">
            <v>CE2917</v>
          </cell>
          <cell r="C5878" t="str">
            <v>Apelin-13</v>
          </cell>
        </row>
        <row r="5879">
          <cell r="A5879" t="str">
            <v>CE2947_c</v>
          </cell>
          <cell r="B5879" t="str">
            <v>CE2947</v>
          </cell>
          <cell r="C5879" t="str">
            <v>Xanthurenate-8-O-beta-D-glucoside</v>
          </cell>
        </row>
        <row r="5880">
          <cell r="A5880" t="str">
            <v>CE2953_r</v>
          </cell>
          <cell r="B5880" t="str">
            <v>CE2953</v>
          </cell>
          <cell r="C5880" t="str">
            <v>Rac-5,6-epoxy-retinoate</v>
          </cell>
        </row>
        <row r="5881">
          <cell r="A5881" t="str">
            <v>CE2955_c</v>
          </cell>
          <cell r="B5881" t="str">
            <v>CE2955</v>
          </cell>
          <cell r="C5881" t="str">
            <v>All-trans-3,4-didehydroretinoate</v>
          </cell>
        </row>
        <row r="5882">
          <cell r="A5882" t="str">
            <v>CE2961_r</v>
          </cell>
          <cell r="B5882" t="str">
            <v>CE2961</v>
          </cell>
          <cell r="C5882" t="str">
            <v>4-hydroxy-all-trans-retinyl acetate</v>
          </cell>
        </row>
        <row r="5883">
          <cell r="A5883" t="str">
            <v>CE3075_c</v>
          </cell>
          <cell r="B5883" t="str">
            <v>CE3075</v>
          </cell>
          <cell r="C5883" t="str">
            <v>Sorbitol 3-phosphate</v>
          </cell>
        </row>
        <row r="5884">
          <cell r="A5884" t="str">
            <v>CE3092_m</v>
          </cell>
          <cell r="B5884" t="str">
            <v>CE3092</v>
          </cell>
          <cell r="C5884" t="str">
            <v>Glutathionyl-3-hydroxykynurenine glucoside</v>
          </cell>
        </row>
        <row r="5885">
          <cell r="A5885" t="str">
            <v>CE3481_c</v>
          </cell>
          <cell r="B5885" t="str">
            <v>CE3481</v>
          </cell>
          <cell r="C5885" t="str">
            <v>1-lyso-2-arachidonoyl-phosphatidate</v>
          </cell>
        </row>
        <row r="5886">
          <cell r="A5886" t="str">
            <v>CE3481_r</v>
          </cell>
          <cell r="B5886" t="str">
            <v>CE3481</v>
          </cell>
          <cell r="C5886" t="str">
            <v>1-lyso-2-arachidonoyl-phosphatidate</v>
          </cell>
        </row>
        <row r="5887">
          <cell r="A5887" t="str">
            <v>CE4633_l</v>
          </cell>
          <cell r="B5887" t="str">
            <v>CE4633</v>
          </cell>
          <cell r="C5887" t="str">
            <v>Hypochlorous acid</v>
          </cell>
        </row>
        <row r="5888">
          <cell r="A5888" t="str">
            <v>CE4722_e</v>
          </cell>
          <cell r="B5888" t="str">
            <v>CE4722</v>
          </cell>
          <cell r="C5888" t="str">
            <v>Beta-casomorphin (1-6)</v>
          </cell>
        </row>
        <row r="5889">
          <cell r="A5889" t="str">
            <v>CE4724_e</v>
          </cell>
          <cell r="B5889" t="str">
            <v>CE4724</v>
          </cell>
          <cell r="C5889" t="str">
            <v>Apelin (1-12)</v>
          </cell>
        </row>
        <row r="5890">
          <cell r="A5890" t="str">
            <v>CE4754_c</v>
          </cell>
          <cell r="B5890" t="str">
            <v>CE4754</v>
          </cell>
          <cell r="C5890" t="str">
            <v>Dynorphin B (6-9)</v>
          </cell>
        </row>
        <row r="5891">
          <cell r="A5891" t="str">
            <v>CE4817_c</v>
          </cell>
          <cell r="B5891" t="str">
            <v>CE4817</v>
          </cell>
          <cell r="C5891" t="str">
            <v>3(S)-hydroxy-docosa-7,10,13,16,19-all-cis-pentaenoyl-CoA</v>
          </cell>
        </row>
        <row r="5892">
          <cell r="A5892" t="str">
            <v>CE4824_c</v>
          </cell>
          <cell r="B5892" t="str">
            <v>CE4824</v>
          </cell>
          <cell r="C5892" t="str">
            <v>Tetracosa-9,12,15,18,21-all-cis-pentaenoyl-CoA</v>
          </cell>
        </row>
        <row r="5893">
          <cell r="A5893" t="str">
            <v>CE4830_c</v>
          </cell>
          <cell r="B5893" t="str">
            <v>CE4830</v>
          </cell>
          <cell r="C5893" t="str">
            <v>2-trans-9,12,15,18-all-cis-tetracosapentaenoyl-CoA</v>
          </cell>
        </row>
        <row r="5894">
          <cell r="A5894" t="str">
            <v>CE4830_r</v>
          </cell>
          <cell r="B5894" t="str">
            <v>CE4830</v>
          </cell>
          <cell r="C5894" t="str">
            <v>2-trans-9,12,15,18-all-cis-tetracosapentaenoyl-CoA</v>
          </cell>
        </row>
        <row r="5895">
          <cell r="A5895" t="str">
            <v>CE4834_c</v>
          </cell>
          <cell r="B5895" t="str">
            <v>CE4834</v>
          </cell>
          <cell r="C5895" t="str">
            <v>3-oxo-tetracosa-9,12,15,18-all-cis-tetraenoyl-CoA</v>
          </cell>
        </row>
        <row r="5896">
          <cell r="A5896" t="str">
            <v>CE4834_r</v>
          </cell>
          <cell r="B5896" t="str">
            <v>CE4834</v>
          </cell>
          <cell r="C5896" t="str">
            <v>3-oxo-tetracosa-9,12,15,18-all-cis-tetraenoyl-CoA</v>
          </cell>
        </row>
        <row r="5897">
          <cell r="A5897" t="str">
            <v>CE4841_c</v>
          </cell>
          <cell r="B5897" t="str">
            <v>CE4841</v>
          </cell>
          <cell r="C5897" t="str">
            <v>3-oxoeicosa-cis,cis-11,14-dienoyl-CoA</v>
          </cell>
        </row>
        <row r="5898">
          <cell r="A5898" t="str">
            <v>CE4844_c</v>
          </cell>
          <cell r="B5898" t="str">
            <v>CE4844</v>
          </cell>
          <cell r="C5898" t="str">
            <v>3(S)-hydroxy-10,13,16-all-cis-docosatrienoyl-CoA</v>
          </cell>
        </row>
        <row r="5899">
          <cell r="A5899" t="str">
            <v>CE4846_c</v>
          </cell>
          <cell r="B5899" t="str">
            <v>CE4846</v>
          </cell>
          <cell r="C5899" t="str">
            <v>Trans,cis,cis,cis-2,10,13,16-docosatetraenoyl-CoA</v>
          </cell>
        </row>
        <row r="5900">
          <cell r="A5900" t="str">
            <v>CE4849_c</v>
          </cell>
          <cell r="B5900" t="str">
            <v>CE4849</v>
          </cell>
          <cell r="C5900" t="str">
            <v>3(S)-hydroxy-tetracosa-12,15,18,21-all-cis-tetraenoyl-CoA</v>
          </cell>
        </row>
        <row r="5901">
          <cell r="A5901" t="str">
            <v>CE4849_r</v>
          </cell>
          <cell r="B5901" t="str">
            <v>CE4849</v>
          </cell>
          <cell r="C5901" t="str">
            <v>3(S)-hydroxy-tetracosa-12,15,18,21-all-cis-tetraenoyl-CoA</v>
          </cell>
        </row>
        <row r="5902">
          <cell r="A5902" t="str">
            <v>CE4855_c</v>
          </cell>
          <cell r="B5902" t="str">
            <v>CE4855</v>
          </cell>
          <cell r="C5902" t="str">
            <v>All-cis-12,15,18,21-tetracosatetraenoyl-CoA</v>
          </cell>
        </row>
        <row r="5903">
          <cell r="A5903" t="str">
            <v>CE4855_r</v>
          </cell>
          <cell r="B5903" t="str">
            <v>CE4855</v>
          </cell>
          <cell r="C5903" t="str">
            <v>All-cis-12,15,18,21-tetracosatetraenoyl-CoA</v>
          </cell>
        </row>
        <row r="5904">
          <cell r="A5904" t="str">
            <v>CE4881_l</v>
          </cell>
          <cell r="B5904" t="str">
            <v>CE4881</v>
          </cell>
          <cell r="C5904" t="str">
            <v>Nitryl chloride</v>
          </cell>
        </row>
        <row r="5905">
          <cell r="A5905" t="str">
            <v>CE4936_n</v>
          </cell>
          <cell r="B5905" t="str">
            <v>CE4936</v>
          </cell>
          <cell r="C5905" t="str">
            <v>N-acetyl-leukotriene E4</v>
          </cell>
        </row>
        <row r="5906">
          <cell r="A5906" t="str">
            <v>CE4988_m</v>
          </cell>
          <cell r="B5906" t="str">
            <v>CE4988</v>
          </cell>
          <cell r="C5906" t="str">
            <v>10,11-dihydro-12-epi-leukotriene B4</v>
          </cell>
        </row>
        <row r="5907">
          <cell r="A5907" t="str">
            <v>CE4989_c</v>
          </cell>
          <cell r="B5907" t="str">
            <v>CE4989</v>
          </cell>
          <cell r="C5907" t="str">
            <v>20-OH-10,11-dihydro-leukotriene B4</v>
          </cell>
        </row>
        <row r="5908">
          <cell r="A5908" t="str">
            <v>CE4989_r</v>
          </cell>
          <cell r="B5908" t="str">
            <v>CE4989</v>
          </cell>
          <cell r="C5908" t="str">
            <v>20-OH-10,11-dihydro-leukotriene B4</v>
          </cell>
        </row>
        <row r="5909">
          <cell r="A5909" t="str">
            <v>CE4990_m</v>
          </cell>
          <cell r="B5909" t="str">
            <v>CE4990</v>
          </cell>
          <cell r="C5909" t="str">
            <v>12-oxo-leukotriene B4</v>
          </cell>
        </row>
        <row r="5910">
          <cell r="A5910" t="str">
            <v>CE4993_m</v>
          </cell>
          <cell r="B5910" t="str">
            <v>CE4993</v>
          </cell>
          <cell r="C5910" t="str">
            <v>10,11-dihydro-12R-hydroxy-leukotriene C4</v>
          </cell>
        </row>
        <row r="5911">
          <cell r="A5911" t="str">
            <v>CE5122_c</v>
          </cell>
          <cell r="B5911" t="str">
            <v>CE5122</v>
          </cell>
          <cell r="C5911" t="str">
            <v>3(S)-phytanoyl-CoA</v>
          </cell>
        </row>
        <row r="5912">
          <cell r="A5912" t="str">
            <v>CE5126_c</v>
          </cell>
          <cell r="B5912" t="str">
            <v>CE5126</v>
          </cell>
          <cell r="C5912" t="str">
            <v>(2R)-pristanoyl-CoA</v>
          </cell>
        </row>
        <row r="5913">
          <cell r="A5913" t="str">
            <v>CE5140_c</v>
          </cell>
          <cell r="B5913" t="str">
            <v>CE5140</v>
          </cell>
          <cell r="C5913" t="str">
            <v>12-oxo-20-trihydroxy-leukotriene B4</v>
          </cell>
        </row>
        <row r="5914">
          <cell r="A5914" t="str">
            <v>CE5140_r</v>
          </cell>
          <cell r="B5914" t="str">
            <v>CE5140</v>
          </cell>
          <cell r="C5914" t="str">
            <v>12-oxo-20-trihydroxy-leukotriene B4</v>
          </cell>
        </row>
        <row r="5915">
          <cell r="A5915" t="str">
            <v>CE5144_c</v>
          </cell>
          <cell r="B5915" t="str">
            <v>CE5144</v>
          </cell>
          <cell r="C5915" t="str">
            <v>3-oxo-11-cis-eicosenoyl-CoA</v>
          </cell>
        </row>
        <row r="5916">
          <cell r="A5916" t="str">
            <v>CE5144_r</v>
          </cell>
          <cell r="B5916" t="str">
            <v>CE5144</v>
          </cell>
          <cell r="C5916" t="str">
            <v>3-oxo-11-cis-eicosenoyl-CoA</v>
          </cell>
        </row>
        <row r="5917">
          <cell r="A5917" t="str">
            <v>CE5160_c</v>
          </cell>
          <cell r="B5917" t="str">
            <v>CE5160</v>
          </cell>
          <cell r="C5917" t="str">
            <v>3-oxo-cis-9-octadecenoyl-CoA</v>
          </cell>
        </row>
        <row r="5918">
          <cell r="A5918" t="str">
            <v>CE5160_r</v>
          </cell>
          <cell r="B5918" t="str">
            <v>CE5160</v>
          </cell>
          <cell r="C5918" t="str">
            <v>3-oxo-cis-9-octadecenoyl-CoA</v>
          </cell>
        </row>
        <row r="5919">
          <cell r="A5919" t="str">
            <v>CE5236_n</v>
          </cell>
          <cell r="B5919" t="str">
            <v>CE5236</v>
          </cell>
          <cell r="C5919" t="str">
            <v>O2'-4a-cyclic-tetrahydrobiopterin</v>
          </cell>
        </row>
        <row r="5920">
          <cell r="A5920" t="str">
            <v>CE5239_c</v>
          </cell>
          <cell r="B5920" t="str">
            <v>CE5239</v>
          </cell>
          <cell r="C5920" t="str">
            <v>2-hydroxy-17beta-estradiol-4-S-glutathione</v>
          </cell>
        </row>
        <row r="5921">
          <cell r="A5921" t="str">
            <v>CE5239_r</v>
          </cell>
          <cell r="B5921" t="str">
            <v>CE5239</v>
          </cell>
          <cell r="C5921" t="str">
            <v>2-hydroxy-17beta-estradiol-4-S-glutathione</v>
          </cell>
        </row>
        <row r="5922">
          <cell r="A5922" t="str">
            <v>CE5239_x</v>
          </cell>
          <cell r="B5922" t="str">
            <v>CE5239</v>
          </cell>
          <cell r="C5922" t="str">
            <v>2-hydroxy-17beta-estradiol-4-S-glutathione</v>
          </cell>
        </row>
        <row r="5923">
          <cell r="A5923" t="str">
            <v>CE5241_m</v>
          </cell>
          <cell r="B5923" t="str">
            <v>CE5241</v>
          </cell>
          <cell r="C5923" t="str">
            <v>2-hydroxy-17beta-estradiol-1-S-glutathione</v>
          </cell>
        </row>
        <row r="5924">
          <cell r="A5924" t="str">
            <v>CE5249_m</v>
          </cell>
          <cell r="B5924" t="str">
            <v>CE5249</v>
          </cell>
          <cell r="C5924" t="str">
            <v>17beta-estradiol-3,4-quinone</v>
          </cell>
        </row>
        <row r="5925">
          <cell r="A5925" t="str">
            <v>CE5251_c</v>
          </cell>
          <cell r="B5925" t="str">
            <v>CE5251</v>
          </cell>
          <cell r="C5925" t="str">
            <v>Estrone-3,4-quinone</v>
          </cell>
        </row>
        <row r="5926">
          <cell r="A5926" t="str">
            <v>CE5251_r</v>
          </cell>
          <cell r="B5926" t="str">
            <v>CE5251</v>
          </cell>
          <cell r="C5926" t="str">
            <v>Estrone-3,4-quinone</v>
          </cell>
        </row>
        <row r="5927">
          <cell r="A5927" t="str">
            <v>CE5251_x</v>
          </cell>
          <cell r="B5927" t="str">
            <v>CE5251</v>
          </cell>
          <cell r="C5927" t="str">
            <v>Estrone-3,4-quinone</v>
          </cell>
        </row>
        <row r="5928">
          <cell r="A5928" t="str">
            <v>CE5252_m</v>
          </cell>
          <cell r="B5928" t="str">
            <v>CE5252</v>
          </cell>
          <cell r="C5928" t="str">
            <v>Estrone-2,3-quinone</v>
          </cell>
        </row>
        <row r="5929">
          <cell r="A5929" t="str">
            <v>CE5254_c</v>
          </cell>
          <cell r="B5929" t="str">
            <v>CE5254</v>
          </cell>
          <cell r="C5929" t="str">
            <v>17beta-estradiol-2,3-semiquinone</v>
          </cell>
        </row>
        <row r="5930">
          <cell r="A5930" t="str">
            <v>CE5256_c</v>
          </cell>
          <cell r="B5930" t="str">
            <v>CE5256</v>
          </cell>
          <cell r="C5930" t="str">
            <v>Estrone-2,3-semiquinone</v>
          </cell>
        </row>
        <row r="5931">
          <cell r="A5931" t="str">
            <v>CE5276_c</v>
          </cell>
          <cell r="B5931" t="str">
            <v>CE5276</v>
          </cell>
          <cell r="C5931" t="str">
            <v>Dopamine o-quinone</v>
          </cell>
        </row>
        <row r="5932">
          <cell r="A5932" t="str">
            <v>CE5276_x</v>
          </cell>
          <cell r="B5932" t="str">
            <v>CE5276</v>
          </cell>
          <cell r="C5932" t="str">
            <v>Dopamine o-quinone</v>
          </cell>
        </row>
        <row r="5933">
          <cell r="A5933" t="str">
            <v>CE5277_c</v>
          </cell>
          <cell r="B5933" t="str">
            <v>CE5277</v>
          </cell>
          <cell r="C5933" t="str">
            <v>Aminochrome o-semiquinone</v>
          </cell>
        </row>
        <row r="5934">
          <cell r="A5934" t="str">
            <v>CE5304_c</v>
          </cell>
          <cell r="B5934" t="str">
            <v>CE5304</v>
          </cell>
          <cell r="C5934" t="str">
            <v>15-deoxy-PGD2</v>
          </cell>
        </row>
        <row r="5935">
          <cell r="A5935" t="str">
            <v>CE5307_c</v>
          </cell>
          <cell r="B5935" t="str">
            <v>CE5307</v>
          </cell>
          <cell r="C5935" t="str">
            <v>3-oxo-10(R)-hydroxy-octadeca-6E,8E,12Z-trienoate</v>
          </cell>
        </row>
        <row r="5936">
          <cell r="A5936" t="str">
            <v>CE5307_x</v>
          </cell>
          <cell r="B5936" t="str">
            <v>CE5307</v>
          </cell>
          <cell r="C5936" t="str">
            <v>3-oxo-10(R)-hydroxy-octadeca-6E,8E,12Z-trienoate</v>
          </cell>
        </row>
        <row r="5937">
          <cell r="A5937" t="str">
            <v>CE5319_c</v>
          </cell>
          <cell r="B5937" t="str">
            <v>CE5319</v>
          </cell>
          <cell r="C5937" t="str">
            <v>3-oxo-10(S)-hydroxy-octadeca-6E,8E,12Z-trienoate</v>
          </cell>
        </row>
        <row r="5938">
          <cell r="A5938" t="str">
            <v>CE5319_x</v>
          </cell>
          <cell r="B5938" t="str">
            <v>CE5319</v>
          </cell>
          <cell r="C5938" t="str">
            <v>3-oxo-10(S)-hydroxy-octadeca-6E,8E,12Z-trienoate</v>
          </cell>
        </row>
        <row r="5939">
          <cell r="A5939" t="str">
            <v>CE5329_m</v>
          </cell>
          <cell r="B5939" t="str">
            <v>CE5329</v>
          </cell>
          <cell r="C5939" t="str">
            <v>3(S),12(S)-dihydroxy-5-oxo-eicosa-8E,10E,14Z-trienoyl-CoA</v>
          </cell>
        </row>
        <row r="5940">
          <cell r="A5940" t="str">
            <v>CE5341_x</v>
          </cell>
          <cell r="B5940" t="str">
            <v>CE5341</v>
          </cell>
          <cell r="C5940" t="str">
            <v>5-oxo-12(S)-hydroxy-eicosa-2E,8E,10E,14Z-tetraenoyl-CoA</v>
          </cell>
        </row>
        <row r="5941">
          <cell r="A5941" t="str">
            <v>CE5342_m</v>
          </cell>
          <cell r="B5941" t="str">
            <v>CE5342</v>
          </cell>
          <cell r="C5941" t="str">
            <v>5-oxo-12(S)-hydroxy-eicosa-8E,10E,14Z-trienoyl-CoA</v>
          </cell>
        </row>
        <row r="5942">
          <cell r="A5942" t="str">
            <v>CE5343_c</v>
          </cell>
          <cell r="B5942" t="str">
            <v>CE5343</v>
          </cell>
          <cell r="C5942" t="str">
            <v>6,7-dihydro-5-oxo-12-epi-leukotriene B</v>
          </cell>
        </row>
        <row r="5943">
          <cell r="A5943" t="str">
            <v>CE5343_r</v>
          </cell>
          <cell r="B5943" t="str">
            <v>CE5343</v>
          </cell>
          <cell r="C5943" t="str">
            <v>6,7-dihydro-5-oxo-12-epi-leukotriene B</v>
          </cell>
        </row>
        <row r="5944">
          <cell r="A5944" t="str">
            <v>CE5343_x</v>
          </cell>
          <cell r="B5944" t="str">
            <v>CE5343</v>
          </cell>
          <cell r="C5944" t="str">
            <v>6,7-dihydro-5-oxo-12-epi-leukotriene B</v>
          </cell>
        </row>
        <row r="5945">
          <cell r="A5945" t="str">
            <v>CE5344_m</v>
          </cell>
          <cell r="B5945" t="str">
            <v>CE5344</v>
          </cell>
          <cell r="C5945" t="str">
            <v>3(S),12(R)-dihydroxy-5-oxo-eicosa-8E,10E,14Z-trienoyl-CoA</v>
          </cell>
        </row>
        <row r="5946">
          <cell r="A5946" t="str">
            <v>CE5346_m</v>
          </cell>
          <cell r="B5946" t="str">
            <v>CE5346</v>
          </cell>
          <cell r="C5946" t="str">
            <v>3-oxo-10(R)-hydroxy-octadeca-6E,8E,12Z-trienoyl-CoA</v>
          </cell>
        </row>
        <row r="5947">
          <cell r="A5947" t="str">
            <v>CE5347_m</v>
          </cell>
          <cell r="B5947" t="str">
            <v>CE5347</v>
          </cell>
          <cell r="C5947" t="str">
            <v>5-oxo-12(R)-hydroxy-eicosa-2E,8E,10E,14Z-tetraenoyl-CoA</v>
          </cell>
        </row>
        <row r="5948">
          <cell r="A5948" t="str">
            <v>CE5349_m</v>
          </cell>
          <cell r="B5948" t="str">
            <v>CE5349</v>
          </cell>
          <cell r="C5948" t="str">
            <v>5-oxo-6E-12-epi-leukotriene B4</v>
          </cell>
        </row>
        <row r="5949">
          <cell r="A5949" t="str">
            <v>CE5352_c</v>
          </cell>
          <cell r="B5949" t="str">
            <v>CE5352</v>
          </cell>
          <cell r="C5949" t="str">
            <v>6,7-dihydro-leukotriene B4</v>
          </cell>
        </row>
        <row r="5950">
          <cell r="A5950" t="str">
            <v>CE5352_r</v>
          </cell>
          <cell r="B5950" t="str">
            <v>CE5352</v>
          </cell>
          <cell r="C5950" t="str">
            <v>6,7-dihydro-leukotriene B4</v>
          </cell>
        </row>
        <row r="5951">
          <cell r="A5951" t="str">
            <v>CE5525_m</v>
          </cell>
          <cell r="B5951" t="str">
            <v>CE5525</v>
          </cell>
          <cell r="C5951" t="str">
            <v>12-oxo-20-carboxy-leukotriene B4</v>
          </cell>
        </row>
        <row r="5952">
          <cell r="A5952" t="str">
            <v>CE5531_c</v>
          </cell>
          <cell r="B5952" t="str">
            <v>CE5531</v>
          </cell>
          <cell r="C5952" t="str">
            <v>12-oxo-c-LTB3</v>
          </cell>
        </row>
        <row r="5953">
          <cell r="A5953" t="str">
            <v>CE5531_r</v>
          </cell>
          <cell r="B5953" t="str">
            <v>CE5531</v>
          </cell>
          <cell r="C5953" t="str">
            <v>12-oxo-c-LTB3</v>
          </cell>
        </row>
        <row r="5954">
          <cell r="A5954" t="str">
            <v>CE5531_x</v>
          </cell>
          <cell r="B5954" t="str">
            <v>CE5531</v>
          </cell>
          <cell r="C5954" t="str">
            <v>12-oxo-c-LTB3</v>
          </cell>
        </row>
        <row r="5955">
          <cell r="A5955" t="str">
            <v>CE5546_c</v>
          </cell>
          <cell r="B5955" t="str">
            <v>CE5546</v>
          </cell>
          <cell r="C5955" t="str">
            <v>5-S-glutathionyl-adrenochrome hydroquinone</v>
          </cell>
        </row>
        <row r="5956">
          <cell r="A5956" t="str">
            <v>CE5546_x</v>
          </cell>
          <cell r="B5956" t="str">
            <v>CE5546</v>
          </cell>
          <cell r="C5956" t="str">
            <v>5-S-glutathionyl-adrenochrome hydroquinone</v>
          </cell>
        </row>
        <row r="5957">
          <cell r="A5957" t="str">
            <v>CE5547_c</v>
          </cell>
          <cell r="B5957" t="str">
            <v>CE5547</v>
          </cell>
          <cell r="C5957" t="str">
            <v>5-S-glutathionyl-noradrenochrome hydroquinone</v>
          </cell>
        </row>
        <row r="5958">
          <cell r="A5958" t="str">
            <v>CE5547_x</v>
          </cell>
          <cell r="B5958" t="str">
            <v>CE5547</v>
          </cell>
          <cell r="C5958" t="str">
            <v>5-S-glutathionyl-noradrenochrome hydroquinone</v>
          </cell>
        </row>
        <row r="5959">
          <cell r="A5959" t="str">
            <v>CE5588_c</v>
          </cell>
          <cell r="B5959" t="str">
            <v>CE5588</v>
          </cell>
          <cell r="C5959" t="str">
            <v>Deoxyhypusine</v>
          </cell>
        </row>
        <row r="5960">
          <cell r="A5960" t="str">
            <v>CE5591_c</v>
          </cell>
          <cell r="B5960" t="str">
            <v>CE5591</v>
          </cell>
          <cell r="C5960" t="str">
            <v>4-OH-13-cis-retinal</v>
          </cell>
        </row>
        <row r="5961">
          <cell r="A5961" t="str">
            <v>CE5591_r</v>
          </cell>
          <cell r="B5961" t="str">
            <v>CE5591</v>
          </cell>
          <cell r="C5961" t="str">
            <v>4-OH-13-cis-retinal</v>
          </cell>
        </row>
        <row r="5962">
          <cell r="A5962" t="str">
            <v>CE5627_c</v>
          </cell>
          <cell r="B5962" t="str">
            <v>CE5627</v>
          </cell>
          <cell r="C5962" t="str">
            <v>Salsoline-1-carboxylate</v>
          </cell>
        </row>
        <row r="5963">
          <cell r="A5963" t="str">
            <v>CE5700_c</v>
          </cell>
          <cell r="B5963" t="str">
            <v>CE5700</v>
          </cell>
          <cell r="C5963" t="str">
            <v>12-hydroperoxyeicosatetraenoate glyceryl ester</v>
          </cell>
        </row>
        <row r="5964">
          <cell r="A5964" t="str">
            <v>CE5700_r</v>
          </cell>
          <cell r="B5964" t="str">
            <v>CE5700</v>
          </cell>
          <cell r="C5964" t="str">
            <v>12-hydroperoxyeicosatetraenoate glyceryl ester</v>
          </cell>
        </row>
        <row r="5965">
          <cell r="A5965" t="str">
            <v>CE5752_c</v>
          </cell>
          <cell r="B5965" t="str">
            <v>CE5752</v>
          </cell>
          <cell r="C5965" t="str">
            <v>Iso-A2E(13-cis)</v>
          </cell>
        </row>
        <row r="5966">
          <cell r="A5966" t="str">
            <v>CE5755_c</v>
          </cell>
          <cell r="B5966" t="str">
            <v>CE5755</v>
          </cell>
          <cell r="C5966" t="str">
            <v>Iso-A2E(9,13-di-cis)</v>
          </cell>
        </row>
        <row r="5967">
          <cell r="A5967" t="str">
            <v>CE5756_r</v>
          </cell>
          <cell r="B5967" t="str">
            <v>CE5756</v>
          </cell>
          <cell r="C5967" t="str">
            <v>9-cis-retinoyl-beta-D-glucuronide</v>
          </cell>
        </row>
        <row r="5968">
          <cell r="A5968" t="str">
            <v>CE5757_r</v>
          </cell>
          <cell r="B5968" t="str">
            <v>CE5757</v>
          </cell>
          <cell r="C5968" t="str">
            <v>4-oxo-9-cis-retinoyl-beta-glucuronide</v>
          </cell>
        </row>
        <row r="5969">
          <cell r="A5969" t="str">
            <v>CE5786_e</v>
          </cell>
          <cell r="B5969" t="str">
            <v>CE5786</v>
          </cell>
          <cell r="C5969" t="str">
            <v>Kinetensin; Ile-Ala-Arg-Arg-His-Pro-Tyr-Phe-Leu</v>
          </cell>
        </row>
        <row r="5970">
          <cell r="A5970" t="str">
            <v>CE5794_l</v>
          </cell>
          <cell r="B5970" t="str">
            <v>CE5794</v>
          </cell>
          <cell r="C5970" t="str">
            <v>Neuromedin B; Gly-Asn-Leu</v>
          </cell>
        </row>
        <row r="5971">
          <cell r="A5971" t="str">
            <v>CE5815_c</v>
          </cell>
          <cell r="B5971" t="str">
            <v>CE5815</v>
          </cell>
          <cell r="C5971" t="str">
            <v>20-hydroxy-5S-HETE</v>
          </cell>
        </row>
        <row r="5972">
          <cell r="A5972" t="str">
            <v>CE5815_r</v>
          </cell>
          <cell r="B5972" t="str">
            <v>CE5815</v>
          </cell>
          <cell r="C5972" t="str">
            <v>20-hydroxy-5S-HETE</v>
          </cell>
        </row>
        <row r="5973">
          <cell r="A5973" t="str">
            <v>CE5829_c</v>
          </cell>
          <cell r="B5973" t="str">
            <v>CE5829</v>
          </cell>
          <cell r="C5973" t="str">
            <v>5-HT-moduline</v>
          </cell>
        </row>
        <row r="5974">
          <cell r="A5974" t="str">
            <v>CE5835_c</v>
          </cell>
          <cell r="B5974" t="str">
            <v>CE5835</v>
          </cell>
          <cell r="C5974" t="str">
            <v>8alpha-hydroxytocopherone</v>
          </cell>
        </row>
        <row r="5975">
          <cell r="A5975" t="str">
            <v>CE5839_c</v>
          </cell>
          <cell r="B5975" t="str">
            <v>CE5839</v>
          </cell>
          <cell r="C5975" t="str">
            <v>4alpha,5-epoxy-8alpha-hydroperoxytocopherone</v>
          </cell>
        </row>
        <row r="5976">
          <cell r="A5976" t="str">
            <v>CE5842_c</v>
          </cell>
          <cell r="B5976" t="str">
            <v>CE5842</v>
          </cell>
          <cell r="C5976" t="str">
            <v>13'-hydroxy-alpha-tocopherol</v>
          </cell>
        </row>
        <row r="5977">
          <cell r="A5977" t="str">
            <v>CE5842_r</v>
          </cell>
          <cell r="B5977" t="str">
            <v>CE5842</v>
          </cell>
          <cell r="C5977" t="str">
            <v>13'-hydroxy-alpha-tocopherol</v>
          </cell>
        </row>
        <row r="5978">
          <cell r="A5978" t="str">
            <v>CE5853_e</v>
          </cell>
          <cell r="B5978" t="str">
            <v>CE5853</v>
          </cell>
          <cell r="C5978" t="str">
            <v>Alpha-CEHC-glucuronide</v>
          </cell>
        </row>
        <row r="5979">
          <cell r="A5979" t="str">
            <v>CE5866_c</v>
          </cell>
          <cell r="B5979" t="str">
            <v>CE5866</v>
          </cell>
          <cell r="C5979" t="str">
            <v>L-alanyl-L-leucine</v>
          </cell>
        </row>
        <row r="5980">
          <cell r="A5980" t="str">
            <v>CE5868_e</v>
          </cell>
          <cell r="B5980" t="str">
            <v>CE5868</v>
          </cell>
          <cell r="C5980" t="str">
            <v>N-acetyl-seryl-aspartate</v>
          </cell>
        </row>
        <row r="5981">
          <cell r="A5981" t="str">
            <v>CE5875_m</v>
          </cell>
          <cell r="B5981" t="str">
            <v>CE5875</v>
          </cell>
          <cell r="C5981" t="str">
            <v>2-methylglutaconyl-CoA</v>
          </cell>
        </row>
        <row r="5982">
          <cell r="A5982" t="str">
            <v>CE5932_c</v>
          </cell>
          <cell r="B5982" t="str">
            <v>CE5932</v>
          </cell>
          <cell r="C5982" t="str">
            <v>13,14-epoxy-retinol</v>
          </cell>
        </row>
        <row r="5983">
          <cell r="A5983" t="str">
            <v>CE5947_m</v>
          </cell>
          <cell r="B5983" t="str">
            <v>CE5947</v>
          </cell>
          <cell r="C5983" t="str">
            <v>20-COOH-10,11-dihydro-LTB4</v>
          </cell>
        </row>
        <row r="5984">
          <cell r="A5984" t="str">
            <v>CE5968_m</v>
          </cell>
          <cell r="B5984" t="str">
            <v>CE5968</v>
          </cell>
          <cell r="C5984" t="str">
            <v>3(S),10(R)-OH-octadeca-6-trans-4,12-cis-trienoate</v>
          </cell>
        </row>
        <row r="5985">
          <cell r="A5985" t="str">
            <v>CE5976_c</v>
          </cell>
          <cell r="B5985" t="str">
            <v>CE5976</v>
          </cell>
          <cell r="C5985" t="str">
            <v>12-oxo-10,11-dihydro-20-COOH-LTB4</v>
          </cell>
        </row>
        <row r="5986">
          <cell r="A5986" t="str">
            <v>CE5976_x</v>
          </cell>
          <cell r="B5986" t="str">
            <v>CE5976</v>
          </cell>
          <cell r="C5986" t="str">
            <v>12-oxo-10,11-dihydro-20-COOH-LTB4</v>
          </cell>
        </row>
        <row r="5987">
          <cell r="A5987" t="str">
            <v>CE6000_c</v>
          </cell>
          <cell r="B5987" t="str">
            <v>CE6000</v>
          </cell>
          <cell r="C5987" t="str">
            <v>Nitrosoperoxycarbonate</v>
          </cell>
        </row>
        <row r="5988">
          <cell r="A5988" t="str">
            <v>CE6027_m</v>
          </cell>
          <cell r="B5988" t="str">
            <v>CE6027</v>
          </cell>
          <cell r="C5988" t="str">
            <v>24,25,26,27-tetranor-23-oxo-hydroxyvitamin D3</v>
          </cell>
        </row>
        <row r="5989">
          <cell r="A5989" t="str">
            <v>CE6182_m</v>
          </cell>
          <cell r="B5989" t="str">
            <v>CE6182</v>
          </cell>
          <cell r="C5989" t="str">
            <v>20-CoA-20-oxo-leukotriene B4</v>
          </cell>
        </row>
        <row r="5990">
          <cell r="A5990" t="str">
            <v>CE6185_m</v>
          </cell>
          <cell r="B5990" t="str">
            <v>CE6185</v>
          </cell>
          <cell r="C5990" t="str">
            <v>Omega-carboxy-trinor-leukotriene B4</v>
          </cell>
        </row>
        <row r="5991">
          <cell r="A5991" t="str">
            <v>CE6186_m</v>
          </cell>
          <cell r="B5991" t="str">
            <v>CE6186</v>
          </cell>
          <cell r="C5991" t="str">
            <v>18E-20-oxo-20-CoA-LTB4</v>
          </cell>
        </row>
        <row r="5992">
          <cell r="A5992" t="str">
            <v>CE6188_x</v>
          </cell>
          <cell r="B5992" t="str">
            <v>CE6188</v>
          </cell>
          <cell r="C5992" t="str">
            <v>CoA-omega-COOH-dinor-LTE4</v>
          </cell>
        </row>
        <row r="5993">
          <cell r="A5993" t="str">
            <v>CE6193_x</v>
          </cell>
          <cell r="B5993" t="str">
            <v>CE6193</v>
          </cell>
          <cell r="C5993" t="str">
            <v>18-carboxy-dinor-LTE4</v>
          </cell>
        </row>
        <row r="5994">
          <cell r="A5994" t="str">
            <v>CE6204_x</v>
          </cell>
          <cell r="B5994" t="str">
            <v>CE6204</v>
          </cell>
          <cell r="C5994" t="str">
            <v>CoA-18-COOH-16E-dinor-LTE5</v>
          </cell>
        </row>
        <row r="5995">
          <cell r="A5995" t="str">
            <v>CE6219_c</v>
          </cell>
          <cell r="B5995" t="str">
            <v>CE6219</v>
          </cell>
          <cell r="C5995" t="str">
            <v>Gama-tocopheryl quinone</v>
          </cell>
        </row>
        <row r="5996">
          <cell r="A5996" t="str">
            <v>CE6226_x</v>
          </cell>
          <cell r="B5996" t="str">
            <v>CE6226</v>
          </cell>
          <cell r="C5996" t="str">
            <v>16(S)-hydroxy-18-oxo-18-CoA-LTE4</v>
          </cell>
        </row>
        <row r="5997">
          <cell r="A5997" t="str">
            <v>CE6230_c</v>
          </cell>
          <cell r="B5997" t="str">
            <v>CE6230</v>
          </cell>
          <cell r="C5997" t="str">
            <v>15-hydroperoxyeicosa-8Z,11Z,13E-trienoate</v>
          </cell>
        </row>
        <row r="5998">
          <cell r="A5998" t="str">
            <v>CE6240_m</v>
          </cell>
          <cell r="B5998" t="str">
            <v>CE6240</v>
          </cell>
          <cell r="C5998" t="str">
            <v>9-deoxy-delta12-PGD2</v>
          </cell>
        </row>
        <row r="5999">
          <cell r="A5999" t="str">
            <v>CE6241_c</v>
          </cell>
          <cell r="B5999" t="str">
            <v>CE6241</v>
          </cell>
          <cell r="C5999" t="str">
            <v>S-(9-deoxy-delta12-PGD2)-glutathione</v>
          </cell>
        </row>
        <row r="6000">
          <cell r="A6000" t="str">
            <v>CE6241_r</v>
          </cell>
          <cell r="B6000" t="str">
            <v>CE6241</v>
          </cell>
          <cell r="C6000" t="str">
            <v>S-(9-deoxy-delta12-PGD2)-glutathione</v>
          </cell>
        </row>
        <row r="6001">
          <cell r="A6001" t="str">
            <v>CE6243_m</v>
          </cell>
          <cell r="B6001" t="str">
            <v>CE6243</v>
          </cell>
          <cell r="C6001" t="str">
            <v>S-(9-deoxy-delta9,12-PGD2)-glutathione</v>
          </cell>
        </row>
        <row r="6002">
          <cell r="A6002" t="str">
            <v>CE6245_c</v>
          </cell>
          <cell r="B6002" t="str">
            <v>CE6245</v>
          </cell>
          <cell r="C6002" t="str">
            <v>S-(11-OH-9-deoxy-delta9,12-PGD2)-glutathione</v>
          </cell>
        </row>
        <row r="6003">
          <cell r="A6003" t="str">
            <v>CE6316_c</v>
          </cell>
          <cell r="B6003" t="str">
            <v>CE6316</v>
          </cell>
          <cell r="C6003" t="str">
            <v>N,N-dimethyldopaminequinone</v>
          </cell>
        </row>
        <row r="6004">
          <cell r="A6004" t="str">
            <v>CE6423_c</v>
          </cell>
          <cell r="B6004" t="str">
            <v>CE6423</v>
          </cell>
          <cell r="C6004" t="str">
            <v>11-peroxy-docosahexaenoate</v>
          </cell>
        </row>
        <row r="6005">
          <cell r="A6005" t="str">
            <v>CE6435_c</v>
          </cell>
          <cell r="B6005" t="str">
            <v>CE6435</v>
          </cell>
          <cell r="C6005" t="str">
            <v>17-peroxy-docosahexaenoate</v>
          </cell>
        </row>
        <row r="6006">
          <cell r="A6006" t="str">
            <v>CE6447_c</v>
          </cell>
          <cell r="B6006" t="str">
            <v>CE6447</v>
          </cell>
          <cell r="C6006" t="str">
            <v>10-hydroperoxy-H4-neuroprostane</v>
          </cell>
        </row>
        <row r="6007">
          <cell r="A6007" t="str">
            <v>CE6449_c</v>
          </cell>
          <cell r="B6007" t="str">
            <v>CE6449</v>
          </cell>
          <cell r="C6007" t="str">
            <v>13-hydroperoxy-H4-neuroprostane</v>
          </cell>
        </row>
        <row r="6008">
          <cell r="A6008" t="str">
            <v>CE6451_c</v>
          </cell>
          <cell r="B6008" t="str">
            <v>CE6451</v>
          </cell>
          <cell r="C6008" t="str">
            <v>20-hydroperoxy-H4-neuroprostane</v>
          </cell>
        </row>
        <row r="6009">
          <cell r="A6009" t="str">
            <v>CE6461_c</v>
          </cell>
          <cell r="B6009" t="str">
            <v>CE6461</v>
          </cell>
          <cell r="C6009" t="str">
            <v>14-hydroxy-D4-neuroprostane</v>
          </cell>
        </row>
        <row r="6010">
          <cell r="A6010" t="str">
            <v>CE6504_c</v>
          </cell>
          <cell r="B6010" t="str">
            <v>CE6504</v>
          </cell>
          <cell r="C6010" t="str">
            <v>1-hydroperoxy-8-carboxyoctyl 3,4-epoxynon-(2E)-enyl ether</v>
          </cell>
        </row>
        <row r="6011">
          <cell r="A6011" t="str">
            <v>CE7072_c</v>
          </cell>
          <cell r="B6011" t="str">
            <v>CE7072</v>
          </cell>
          <cell r="C6011" t="str">
            <v>13'-carboxy-gama-tocotrienol</v>
          </cell>
        </row>
        <row r="6012">
          <cell r="A6012" t="str">
            <v>CE7072_r</v>
          </cell>
          <cell r="B6012" t="str">
            <v>CE7072</v>
          </cell>
          <cell r="C6012" t="str">
            <v>13'-carboxy-gama-tocotrienol</v>
          </cell>
        </row>
        <row r="6013">
          <cell r="A6013" t="str">
            <v>CE7081_n</v>
          </cell>
          <cell r="B6013" t="str">
            <v>CE7081</v>
          </cell>
          <cell r="C6013" t="str">
            <v>15(R)-HEPE</v>
          </cell>
        </row>
        <row r="6014">
          <cell r="A6014" t="str">
            <v>CE7084_c</v>
          </cell>
          <cell r="B6014" t="str">
            <v>CE7084</v>
          </cell>
          <cell r="C6014" t="str">
            <v>5,12-dihydroxy-6E-LTB5</v>
          </cell>
        </row>
        <row r="6015">
          <cell r="A6015" t="str">
            <v>CE7085_c</v>
          </cell>
          <cell r="B6015" t="str">
            <v>CE7085</v>
          </cell>
          <cell r="C6015" t="str">
            <v>5-HEPE; 5-hydroxyeicosapentaenoate</v>
          </cell>
        </row>
        <row r="6016">
          <cell r="A6016" t="str">
            <v>CE7085_x</v>
          </cell>
          <cell r="B6016" t="str">
            <v>CE7085</v>
          </cell>
          <cell r="C6016" t="str">
            <v>5-HEPE; 5-hydroxyeicosapentaenoate</v>
          </cell>
        </row>
        <row r="6017">
          <cell r="A6017" t="str">
            <v>CE7088_n</v>
          </cell>
          <cell r="B6017" t="str">
            <v>CE7088</v>
          </cell>
          <cell r="C6017" t="str">
            <v>PGH3</v>
          </cell>
        </row>
        <row r="6018">
          <cell r="A6018" t="str">
            <v>CE7090_c</v>
          </cell>
          <cell r="B6018" t="str">
            <v>CE7090</v>
          </cell>
          <cell r="C6018" t="str">
            <v>18R-HEPE</v>
          </cell>
        </row>
        <row r="6019">
          <cell r="A6019" t="str">
            <v>CE7096_n</v>
          </cell>
          <cell r="B6019" t="str">
            <v>CE7096</v>
          </cell>
          <cell r="C6019" t="str">
            <v>5,15-DiHETE</v>
          </cell>
        </row>
        <row r="6020">
          <cell r="A6020" t="str">
            <v>CE7097_m</v>
          </cell>
          <cell r="B6020" t="str">
            <v>CE7097</v>
          </cell>
          <cell r="C6020" t="str">
            <v>5-oxo-12(S)-hydroxy-eicosa-6E,8Z,10E,14Z-tetraenoate</v>
          </cell>
        </row>
        <row r="6021">
          <cell r="A6021" t="str">
            <v>CE7101_c</v>
          </cell>
          <cell r="B6021" t="str">
            <v>CE7101</v>
          </cell>
          <cell r="C6021" t="str">
            <v>8alpha-hydroxy-gama-tocopherone</v>
          </cell>
        </row>
        <row r="6022">
          <cell r="A6022" t="str">
            <v>CE7109_c</v>
          </cell>
          <cell r="B6022" t="str">
            <v>CE7109</v>
          </cell>
          <cell r="C6022" t="str">
            <v>5(S),6(S)-epoxy-15(R)-HEPE</v>
          </cell>
        </row>
        <row r="6023">
          <cell r="A6023" t="str">
            <v>CE7109_r</v>
          </cell>
          <cell r="B6023" t="str">
            <v>CE7109</v>
          </cell>
          <cell r="C6023" t="str">
            <v>5(S),6(S)-epoxy-15(R)-HEPE</v>
          </cell>
        </row>
        <row r="6024">
          <cell r="A6024" t="str">
            <v>CE7109_x</v>
          </cell>
          <cell r="B6024" t="str">
            <v>CE7109</v>
          </cell>
          <cell r="C6024" t="str">
            <v>5(S),6(S)-epoxy-15(R)-HEPE</v>
          </cell>
        </row>
        <row r="6025">
          <cell r="A6025" t="str">
            <v>CE7144_c</v>
          </cell>
          <cell r="B6025" t="str">
            <v>CE7144</v>
          </cell>
          <cell r="C6025" t="str">
            <v>13'-hydroxy-alpha-tocotrienol</v>
          </cell>
        </row>
        <row r="6026">
          <cell r="A6026" t="str">
            <v>CE7144_r</v>
          </cell>
          <cell r="B6026" t="str">
            <v>CE7144</v>
          </cell>
          <cell r="C6026" t="str">
            <v>13'-hydroxy-alpha-tocotrienol</v>
          </cell>
        </row>
        <row r="6027">
          <cell r="A6027" t="str">
            <v>CE7172_n</v>
          </cell>
          <cell r="B6027" t="str">
            <v>CE7172</v>
          </cell>
          <cell r="C6027" t="str">
            <v>14,15-DiHETE</v>
          </cell>
        </row>
        <row r="6028">
          <cell r="A6028" t="str">
            <v>CE7218_c</v>
          </cell>
          <cell r="B6028" t="str">
            <v>CE7218</v>
          </cell>
          <cell r="C6028" t="str">
            <v>S-[2-carboxy-1-(1H-imidazol-4-yl)ethyl]-3-thiolactate</v>
          </cell>
        </row>
        <row r="6029">
          <cell r="A6029" t="str">
            <v>CE7220_c</v>
          </cell>
          <cell r="B6029" t="str">
            <v>CE7220</v>
          </cell>
          <cell r="C6029" t="str">
            <v>S-[2-carboxy-1-(1H-imidazol-4-yl)ethyl]glutathione</v>
          </cell>
        </row>
        <row r="6030">
          <cell r="A6030" t="str">
            <v>HC00004_e</v>
          </cell>
          <cell r="B6030" t="str">
            <v>HC00004</v>
          </cell>
          <cell r="C6030" t="str">
            <v>ApoA1</v>
          </cell>
        </row>
        <row r="6031">
          <cell r="A6031" t="str">
            <v>HC00319_c</v>
          </cell>
          <cell r="B6031" t="str">
            <v>HC00319</v>
          </cell>
          <cell r="C6031" t="str">
            <v>Malonate; propanedioate</v>
          </cell>
        </row>
        <row r="6032">
          <cell r="A6032" t="str">
            <v>HC00342_c</v>
          </cell>
          <cell r="B6032" t="str">
            <v>HC00342</v>
          </cell>
          <cell r="C6032" t="str">
            <v>Cis-aconitate(3-); (1Z)-prop-1-ene-1,2,3-tricarboxylat</v>
          </cell>
        </row>
        <row r="6033">
          <cell r="A6033" t="str">
            <v>HC00682_m</v>
          </cell>
          <cell r="B6033" t="str">
            <v>HC00682</v>
          </cell>
          <cell r="C6033" t="str">
            <v>S-Acetyldihydrolipoamide</v>
          </cell>
        </row>
        <row r="6034">
          <cell r="A6034" t="str">
            <v>HC00822_l</v>
          </cell>
          <cell r="B6034" t="str">
            <v>HC00822</v>
          </cell>
          <cell r="C6034" t="str">
            <v>Chitobiose</v>
          </cell>
        </row>
        <row r="6035">
          <cell r="A6035" t="str">
            <v>HC00900_m</v>
          </cell>
          <cell r="B6035" t="str">
            <v>HC00900</v>
          </cell>
          <cell r="C6035" t="str">
            <v>Methylmalonate</v>
          </cell>
        </row>
        <row r="6036">
          <cell r="A6036" t="str">
            <v>HC01444_e</v>
          </cell>
          <cell r="B6036" t="str">
            <v>HC01444</v>
          </cell>
          <cell r="C6036" t="str">
            <v>Galactosylglycerol</v>
          </cell>
        </row>
        <row r="6037">
          <cell r="A6037" t="str">
            <v>HC01459_x</v>
          </cell>
          <cell r="B6037" t="str">
            <v>HC01459</v>
          </cell>
          <cell r="C6037" t="str">
            <v>3alpha,7alpha,12alpha,24-Tetrahydroxy-5beta-cholestanoyl-CoA</v>
          </cell>
        </row>
        <row r="6038">
          <cell r="A6038" t="str">
            <v>HC01501_c</v>
          </cell>
          <cell r="B6038" t="str">
            <v>HC01501</v>
          </cell>
          <cell r="C6038" t="str">
            <v>Hydroxidodioxidosulfidosulfate(1-)</v>
          </cell>
        </row>
        <row r="6039">
          <cell r="A6039" t="str">
            <v>HC01522_c</v>
          </cell>
          <cell r="B6039" t="str">
            <v>HC01522</v>
          </cell>
          <cell r="C6039" t="str">
            <v>Gentisate aldehyde</v>
          </cell>
        </row>
        <row r="6040">
          <cell r="A6040" t="str">
            <v>HC01609_e</v>
          </cell>
          <cell r="B6040" t="str">
            <v>HC01609</v>
          </cell>
          <cell r="C6040" t="str">
            <v>Uroporphyrinogen I(8-)</v>
          </cell>
        </row>
        <row r="6041">
          <cell r="A6041" t="str">
            <v>HC01668_m</v>
          </cell>
          <cell r="B6041" t="str">
            <v>HC01668</v>
          </cell>
          <cell r="C6041" t="str">
            <v>Propinol adenylate</v>
          </cell>
        </row>
        <row r="6042">
          <cell r="A6042" t="str">
            <v>HC01787_e</v>
          </cell>
          <cell r="B6042" t="str">
            <v>HC01787</v>
          </cell>
          <cell r="C6042" t="str">
            <v>Lepidimoide</v>
          </cell>
        </row>
        <row r="6043">
          <cell r="A6043" t="str">
            <v>HC02020_r</v>
          </cell>
          <cell r="B6043" t="str">
            <v>HC02020</v>
          </cell>
          <cell r="C6043" t="str">
            <v>Cholesterol-ester-palm</v>
          </cell>
        </row>
        <row r="6044">
          <cell r="A6044" t="str">
            <v>HC02023_l</v>
          </cell>
          <cell r="B6044" t="str">
            <v>HC02023</v>
          </cell>
          <cell r="C6044" t="str">
            <v>Cholesterol-ester-ol</v>
          </cell>
        </row>
        <row r="6045">
          <cell r="A6045" t="str">
            <v>HC02024_r</v>
          </cell>
          <cell r="B6045" t="str">
            <v>HC02024</v>
          </cell>
          <cell r="C6045" t="str">
            <v>Cholesterol-ester-lin</v>
          </cell>
        </row>
        <row r="6046">
          <cell r="A6046" t="str">
            <v>HC02027_l</v>
          </cell>
          <cell r="B6046" t="str">
            <v>HC02027</v>
          </cell>
          <cell r="C6046" t="str">
            <v>Cholesterol-ester-arach</v>
          </cell>
        </row>
        <row r="6047">
          <cell r="A6047" t="str">
            <v>HC02112_c</v>
          </cell>
          <cell r="B6047" t="str">
            <v>HC02112</v>
          </cell>
          <cell r="C6047" t="str">
            <v>NADH-redox-potential</v>
          </cell>
        </row>
        <row r="6048">
          <cell r="A6048" t="str">
            <v>HC02112_r</v>
          </cell>
          <cell r="B6048" t="str">
            <v>HC02112</v>
          </cell>
          <cell r="C6048" t="str">
            <v>NADH-redox-potential</v>
          </cell>
        </row>
        <row r="6049">
          <cell r="A6049" t="str">
            <v>HC02112_x</v>
          </cell>
          <cell r="B6049" t="str">
            <v>HC02112</v>
          </cell>
          <cell r="C6049" t="str">
            <v>NADH-redox-potential</v>
          </cell>
        </row>
        <row r="6050">
          <cell r="A6050" t="str">
            <v>HC02119_c</v>
          </cell>
          <cell r="B6050" t="str">
            <v>HC02119</v>
          </cell>
          <cell r="C6050" t="str">
            <v>Adenosylmethioninamine-potential</v>
          </cell>
        </row>
        <row r="6051">
          <cell r="A6051" t="str">
            <v>HC02121_c</v>
          </cell>
          <cell r="B6051" t="str">
            <v>HC02121</v>
          </cell>
          <cell r="C6051" t="str">
            <v>S-(hydroxymethyl)glutathione(1-)</v>
          </cell>
        </row>
        <row r="6052">
          <cell r="A6052" t="str">
            <v>HC02129_c</v>
          </cell>
          <cell r="B6052" t="str">
            <v>HC02129</v>
          </cell>
          <cell r="C6052" t="str">
            <v>THF-hexaglutamate</v>
          </cell>
        </row>
        <row r="6053">
          <cell r="A6053" t="str">
            <v>HC02154_c</v>
          </cell>
          <cell r="B6053" t="str">
            <v>HC02154</v>
          </cell>
          <cell r="C6053" t="str">
            <v>GM4-pool</v>
          </cell>
        </row>
        <row r="6054">
          <cell r="A6054" t="str">
            <v>HC02180_e</v>
          </cell>
          <cell r="B6054" t="str">
            <v>HC02180</v>
          </cell>
          <cell r="C6054" t="str">
            <v>Thromboxane-b2</v>
          </cell>
        </row>
        <row r="6055">
          <cell r="A6055" t="str">
            <v>HC02187_e</v>
          </cell>
          <cell r="B6055" t="str">
            <v>HC02187</v>
          </cell>
          <cell r="C6055" t="str">
            <v>Reverse-triiodthyronine</v>
          </cell>
        </row>
        <row r="6056">
          <cell r="A6056" t="str">
            <v>HC02191_c</v>
          </cell>
          <cell r="B6056" t="str">
            <v>HC02191</v>
          </cell>
          <cell r="C6056" t="str">
            <v>Lithocholate</v>
          </cell>
        </row>
        <row r="6057">
          <cell r="A6057" t="str">
            <v>HC02191_r</v>
          </cell>
          <cell r="B6057" t="str">
            <v>HC02191</v>
          </cell>
          <cell r="C6057" t="str">
            <v>Lithocholate</v>
          </cell>
        </row>
        <row r="6058">
          <cell r="A6058" t="str">
            <v>HC02192_c</v>
          </cell>
          <cell r="B6058" t="str">
            <v>HC02192</v>
          </cell>
          <cell r="C6058" t="str">
            <v>Taurolithocholate</v>
          </cell>
        </row>
        <row r="6059">
          <cell r="A6059" t="str">
            <v>HC02193_c</v>
          </cell>
          <cell r="B6059" t="str">
            <v>HC02193</v>
          </cell>
          <cell r="C6059" t="str">
            <v>Glycolithocholate</v>
          </cell>
        </row>
        <row r="6060">
          <cell r="A6060" t="str">
            <v>HC02194_e</v>
          </cell>
          <cell r="B6060" t="str">
            <v>HC02194</v>
          </cell>
          <cell r="C6060" t="str">
            <v>Ursodeoxycholate</v>
          </cell>
        </row>
        <row r="6061">
          <cell r="A6061" t="str">
            <v>HC02198_c</v>
          </cell>
          <cell r="B6061" t="str">
            <v>HC02198</v>
          </cell>
          <cell r="C6061" t="str">
            <v>2-[(4R)-4-[(1S,2S,5R,7R,10R,11S,14R,15R)-2,15-dimethyl-5-(sulfonatooxy)tetracyclo[8.7.0.0^{2,7}.0^{11,15}]heptadecan-14-yl]pentanamido]ethane-1-sulfonate</v>
          </cell>
        </row>
        <row r="6062">
          <cell r="A6062" t="str">
            <v>HC02199_c</v>
          </cell>
          <cell r="B6062" t="str">
            <v>HC02199</v>
          </cell>
          <cell r="C6062" t="str">
            <v>Glutathionyl-leuc4</v>
          </cell>
        </row>
        <row r="6063">
          <cell r="A6063" t="str">
            <v>HC02200_c</v>
          </cell>
          <cell r="B6063" t="str">
            <v>HC02200</v>
          </cell>
          <cell r="C6063" t="str">
            <v>S-glutathionyl-2-4-dinitrobenzene</v>
          </cell>
        </row>
        <row r="6064">
          <cell r="A6064" t="str">
            <v>HC02202_e</v>
          </cell>
          <cell r="B6064" t="str">
            <v>HC02202</v>
          </cell>
          <cell r="C6064" t="str">
            <v>Prostaglandin A1(1-)</v>
          </cell>
        </row>
        <row r="6065">
          <cell r="A6065" t="str">
            <v>HC02203_c</v>
          </cell>
          <cell r="B6065" t="str">
            <v>HC02203</v>
          </cell>
          <cell r="C6065" t="str">
            <v>Prostaglandin A2</v>
          </cell>
        </row>
        <row r="6066">
          <cell r="A6066" t="str">
            <v>HC02203_r</v>
          </cell>
          <cell r="B6066" t="str">
            <v>HC02203</v>
          </cell>
          <cell r="C6066" t="str">
            <v>Prostaglandin A2</v>
          </cell>
        </row>
        <row r="6067">
          <cell r="A6067" t="str">
            <v>HC02204_e</v>
          </cell>
          <cell r="B6067" t="str">
            <v>HC02204</v>
          </cell>
          <cell r="C6067" t="str">
            <v>Prostaglandin-b1</v>
          </cell>
        </row>
        <row r="6068">
          <cell r="A6068" t="str">
            <v>HC02207_e</v>
          </cell>
          <cell r="B6068" t="str">
            <v>HC02207</v>
          </cell>
          <cell r="C6068" t="str">
            <v>Prostaglandin-c2</v>
          </cell>
        </row>
        <row r="6069">
          <cell r="A6069" t="str">
            <v>HC02208_c</v>
          </cell>
          <cell r="B6069" t="str">
            <v>HC02208</v>
          </cell>
          <cell r="C6069" t="str">
            <v>Prostaglandin-d1</v>
          </cell>
        </row>
        <row r="6070">
          <cell r="A6070" t="str">
            <v>HC02210_c</v>
          </cell>
          <cell r="B6070" t="str">
            <v>HC02210</v>
          </cell>
          <cell r="C6070" t="str">
            <v>Prostaglandin-d3</v>
          </cell>
        </row>
        <row r="6071">
          <cell r="A6071" t="str">
            <v>HC02213_n</v>
          </cell>
          <cell r="B6071" t="str">
            <v>HC02213</v>
          </cell>
          <cell r="C6071" t="str">
            <v>Prostaglandin E3</v>
          </cell>
        </row>
        <row r="6072">
          <cell r="A6072" t="str">
            <v>HC02216_e</v>
          </cell>
          <cell r="B6072" t="str">
            <v>HC02216</v>
          </cell>
          <cell r="C6072" t="str">
            <v>Prostaglandin-f2beta</v>
          </cell>
        </row>
        <row r="6073">
          <cell r="A6073" t="str">
            <v>L_dpchrm_x</v>
          </cell>
          <cell r="B6073" t="str">
            <v>L_dpchrm</v>
          </cell>
          <cell r="C6073" t="str">
            <v>L-Dopachrome</v>
          </cell>
        </row>
        <row r="6074">
          <cell r="A6074" t="str">
            <v>N1sprm_x</v>
          </cell>
          <cell r="B6074" t="str">
            <v>N1sprm</v>
          </cell>
          <cell r="C6074" t="str">
            <v>N1 Acetylspermine C12H31N4O</v>
          </cell>
        </row>
        <row r="6075">
          <cell r="A6075" t="str">
            <v>R6coa_cho_c</v>
          </cell>
          <cell r="B6075" t="str">
            <v>R6coa_cho</v>
          </cell>
          <cell r="C6075" t="str">
            <v>R group 6 Coenzyme A</v>
          </cell>
        </row>
        <row r="6076">
          <cell r="A6076" t="str">
            <v>acac_r</v>
          </cell>
          <cell r="B6076" t="str">
            <v>acac</v>
          </cell>
          <cell r="C6076" t="str">
            <v>Acetoacetate</v>
          </cell>
        </row>
        <row r="6077">
          <cell r="A6077" t="str">
            <v>acgalfucgalacglcgalgluside_cho_g</v>
          </cell>
          <cell r="B6077" t="str">
            <v>acgalfucgalacglcgalgluside_cho</v>
          </cell>
          <cell r="C6077" t="str">
            <v>Type IA glycolipid</v>
          </cell>
        </row>
        <row r="6078">
          <cell r="A6078" t="str">
            <v>acgbgbside_cho_g</v>
          </cell>
          <cell r="B6078" t="str">
            <v>acgbgbside_cho</v>
          </cell>
          <cell r="C6078" t="str">
            <v>Beta GalNAc globoside</v>
          </cell>
        </row>
        <row r="6079">
          <cell r="A6079" t="str">
            <v>acmana_r</v>
          </cell>
          <cell r="B6079" t="str">
            <v>acmana</v>
          </cell>
          <cell r="C6079" t="str">
            <v>N-Acetyl-D-mannosamine</v>
          </cell>
        </row>
        <row r="6080">
          <cell r="A6080" t="str">
            <v>acn23acngalgbside_cho_c</v>
          </cell>
          <cell r="B6080" t="str">
            <v>acn23acngalgbside_cho</v>
          </cell>
          <cell r="C6080" t="str">
            <v>Sialyl (2,3) sialyl (2,6) galactosylgloboside</v>
          </cell>
        </row>
        <row r="6081">
          <cell r="A6081" t="str">
            <v>acngalacglcgal14acglcgalgluside_cho_c</v>
          </cell>
          <cell r="B6081" t="str">
            <v>acngalacglcgal14acglcgalgluside_cho</v>
          </cell>
          <cell r="C6081" t="str">
            <v>VI3NeuAc-nLc6Cer</v>
          </cell>
        </row>
        <row r="6082">
          <cell r="A6082" t="str">
            <v>acngalacglcgalgluside_cho_g</v>
          </cell>
          <cell r="B6082" t="str">
            <v>acngalacglcgalgluside_cho</v>
          </cell>
          <cell r="C6082" t="str">
            <v>(Gal)3 (Glc)1 (GlcNAc)1 (Cer)1</v>
          </cell>
        </row>
        <row r="6083">
          <cell r="A6083" t="str">
            <v>ahcys_e</v>
          </cell>
          <cell r="B6083" t="str">
            <v>ahcys</v>
          </cell>
          <cell r="C6083" t="str">
            <v>S-Adenosyl-L-homocysteine</v>
          </cell>
        </row>
        <row r="6084">
          <cell r="A6084" t="str">
            <v>ak2gp_cho_c</v>
          </cell>
          <cell r="B6084" t="str">
            <v>ak2gp_cho</v>
          </cell>
          <cell r="C6084" t="str">
            <v>1-alkyl 2-acylglycerol 3-phosphate</v>
          </cell>
        </row>
        <row r="6085">
          <cell r="A6085" t="str">
            <v>ak2lgchol_cho_c</v>
          </cell>
          <cell r="B6085" t="str">
            <v>ak2lgchol_cho</v>
          </cell>
          <cell r="C6085" t="str">
            <v>1-alkyl 2-lysoglycerol 3-phosphocholine</v>
          </cell>
        </row>
        <row r="6086">
          <cell r="A6086" t="str">
            <v>akdhap_cho_c</v>
          </cell>
          <cell r="B6086" t="str">
            <v>akdhap_cho</v>
          </cell>
          <cell r="C6086" t="str">
            <v>1-alkyldihydroxyacetone phosphate</v>
          </cell>
        </row>
        <row r="6087">
          <cell r="A6087" t="str">
            <v>akdhap_cho_x</v>
          </cell>
          <cell r="B6087" t="str">
            <v>akdhap_cho</v>
          </cell>
          <cell r="C6087" t="str">
            <v>1-alkyldihydroxyacetone phosphate</v>
          </cell>
        </row>
        <row r="6088">
          <cell r="A6088" t="str">
            <v>arach_x</v>
          </cell>
          <cell r="B6088" t="str">
            <v>arach</v>
          </cell>
          <cell r="C6088" t="str">
            <v>Arachidic acid</v>
          </cell>
        </row>
        <row r="6089">
          <cell r="A6089" t="str">
            <v>arachcoa_e</v>
          </cell>
          <cell r="B6089" t="str">
            <v>arachcoa</v>
          </cell>
          <cell r="C6089" t="str">
            <v>Arachidyl coenzyme A</v>
          </cell>
        </row>
        <row r="6090">
          <cell r="A6090" t="str">
            <v>arachdcoa_r</v>
          </cell>
          <cell r="B6090" t="str">
            <v>arachdcoa</v>
          </cell>
          <cell r="C6090" t="str">
            <v>C20:4-CoA</v>
          </cell>
        </row>
        <row r="6091">
          <cell r="A6091" t="str">
            <v>c102_4Z_7Zcoa_x</v>
          </cell>
          <cell r="B6091" t="str">
            <v>c102_4Z_7Zcoa</v>
          </cell>
          <cell r="C6091" t="str">
            <v>C10:2 fatty acyl-coa, derived from C18:3</v>
          </cell>
        </row>
        <row r="6092">
          <cell r="A6092" t="str">
            <v>c10dc_c</v>
          </cell>
          <cell r="B6092" t="str">
            <v>c10dc</v>
          </cell>
          <cell r="C6092" t="str">
            <v>Sebacoyl carnitine; decanedioyl carnitin</v>
          </cell>
        </row>
        <row r="6093">
          <cell r="A6093" t="str">
            <v>c10dc_x</v>
          </cell>
          <cell r="B6093" t="str">
            <v>c10dc</v>
          </cell>
          <cell r="C6093" t="str">
            <v>Sebacoyl carnitine; decanedioyl carnitin</v>
          </cell>
        </row>
        <row r="6094">
          <cell r="A6094" t="str">
            <v>c123_3Z_6Z_9Zcoa_m</v>
          </cell>
          <cell r="B6094" t="str">
            <v>c123_3Z_6Z_9Zcoa</v>
          </cell>
          <cell r="C6094" t="str">
            <v>C12:3 fatty acyl-coa, derived from C18:3</v>
          </cell>
        </row>
        <row r="6095">
          <cell r="A6095" t="str">
            <v>c142_5E_8Ecoa_m</v>
          </cell>
          <cell r="B6095" t="str">
            <v>c142_5E_8Ecoa</v>
          </cell>
          <cell r="C6095" t="str">
            <v>C14:2 fatty acyl-coa, derived from C18:2</v>
          </cell>
        </row>
        <row r="6096">
          <cell r="A6096" t="str">
            <v>c142_5Z_8Zcoa_m</v>
          </cell>
          <cell r="B6096" t="str">
            <v>c142_5Z_8Zcoa</v>
          </cell>
          <cell r="C6096" t="str">
            <v>C14:2 fatty acyl-coa, derived from C18:3</v>
          </cell>
        </row>
        <row r="6097">
          <cell r="A6097" t="str">
            <v>c143_5Z_8Z_11Zcoa_m</v>
          </cell>
          <cell r="B6097" t="str">
            <v>c143_5Z_8Z_11Zcoa</v>
          </cell>
          <cell r="C6097" t="str">
            <v>C14:3 fatty acyl-coa, derived from C18:3</v>
          </cell>
        </row>
        <row r="6098">
          <cell r="A6098" t="str">
            <v>c164_4Z_7Z_10Z_13Zcoa_x</v>
          </cell>
          <cell r="B6098" t="str">
            <v>c164_4Z_7Z_10Z_13Zcoa</v>
          </cell>
          <cell r="C6098" t="str">
            <v>C16:4 fatty acyl-coa, derived from C18:4</v>
          </cell>
        </row>
        <row r="6099">
          <cell r="A6099" t="str">
            <v>c184_3Z_6Z_9Z_12Zcoa_m</v>
          </cell>
          <cell r="B6099" t="str">
            <v>c184_3Z_6Z_9Z_12Zcoa</v>
          </cell>
          <cell r="C6099" t="str">
            <v>C18:4 fatty acyl-coa</v>
          </cell>
        </row>
        <row r="6100">
          <cell r="A6100" t="str">
            <v>c201coa_x</v>
          </cell>
          <cell r="B6100" t="str">
            <v>c201coa</v>
          </cell>
          <cell r="C6100" t="str">
            <v>C20:1 fatty acyl-coa</v>
          </cell>
        </row>
        <row r="6101">
          <cell r="A6101" t="str">
            <v>c220coa_x</v>
          </cell>
          <cell r="B6101" t="str">
            <v>c220coa</v>
          </cell>
          <cell r="C6101" t="str">
            <v>C22:0 fatty acyl-coa</v>
          </cell>
        </row>
        <row r="6102">
          <cell r="A6102" t="str">
            <v>c4crn_e</v>
          </cell>
          <cell r="B6102" t="str">
            <v>c4crn</v>
          </cell>
          <cell r="C6102" t="str">
            <v>Butyryl carnitine</v>
          </cell>
        </row>
        <row r="6103">
          <cell r="A6103" t="str">
            <v>c4dc_c</v>
          </cell>
          <cell r="B6103" t="str">
            <v>c4dc</v>
          </cell>
          <cell r="C6103" t="str">
            <v>Succinyl carnitine</v>
          </cell>
        </row>
        <row r="6104">
          <cell r="A6104" t="str">
            <v>c4dc_x</v>
          </cell>
          <cell r="B6104" t="str">
            <v>c4dc</v>
          </cell>
          <cell r="C6104" t="str">
            <v>Succinyl carnitine</v>
          </cell>
        </row>
        <row r="6105">
          <cell r="A6105" t="str">
            <v>c51crn_e</v>
          </cell>
          <cell r="B6105" t="str">
            <v>c51crn</v>
          </cell>
          <cell r="C6105" t="str">
            <v>Tiglyl carnitine; (E)-2-methylbut-2-enoyl carnitin</v>
          </cell>
        </row>
        <row r="6106">
          <cell r="A6106" t="str">
            <v>c61_3Zcoa_m</v>
          </cell>
          <cell r="B6106" t="str">
            <v>c61_3Zcoa</v>
          </cell>
          <cell r="C6106" t="str">
            <v>C6:1 fatty acyl-coa, derived from C18:3</v>
          </cell>
        </row>
        <row r="6107">
          <cell r="A6107" t="str">
            <v>c81_5Zcrn_c</v>
          </cell>
          <cell r="B6107" t="str">
            <v>c81_5Zcrn</v>
          </cell>
          <cell r="C6107" t="str">
            <v>C8:1fatty acyl-carnitine, derived from C18:3</v>
          </cell>
        </row>
        <row r="6108">
          <cell r="A6108" t="str">
            <v>c81_5Zcrn_x</v>
          </cell>
          <cell r="B6108" t="str">
            <v>c81_5Zcrn</v>
          </cell>
          <cell r="C6108" t="str">
            <v>C8:1fatty acyl-carnitine, derived from C18:3</v>
          </cell>
        </row>
        <row r="6109">
          <cell r="A6109" t="str">
            <v>c81_c184crn_c</v>
          </cell>
          <cell r="B6109" t="str">
            <v>c81_c184crn</v>
          </cell>
          <cell r="C6109" t="str">
            <v>C8:1fatty acyl-carnitine, derived from C18:4</v>
          </cell>
        </row>
        <row r="6110">
          <cell r="A6110" t="str">
            <v>c81_c184crn_x</v>
          </cell>
          <cell r="B6110" t="str">
            <v>c81_c184crn</v>
          </cell>
          <cell r="C6110" t="str">
            <v>C8:1fatty acyl-carnitine, derived from C18:4</v>
          </cell>
        </row>
        <row r="6111">
          <cell r="A6111" t="str">
            <v>c8dc_c</v>
          </cell>
          <cell r="B6111" t="str">
            <v>c8dc</v>
          </cell>
          <cell r="C6111" t="str">
            <v>Suberyl carnitine; octanedioyl carnitine</v>
          </cell>
        </row>
        <row r="6112">
          <cell r="A6112" t="str">
            <v>c8dc_x</v>
          </cell>
          <cell r="B6112" t="str">
            <v>c8dc</v>
          </cell>
          <cell r="C6112" t="str">
            <v>Suberyl carnitine; octanedioyl carnitine</v>
          </cell>
        </row>
        <row r="6113">
          <cell r="A6113" t="str">
            <v>carn_l</v>
          </cell>
          <cell r="B6113" t="str">
            <v>carn</v>
          </cell>
          <cell r="C6113" t="str">
            <v>L-Carnosine</v>
          </cell>
        </row>
        <row r="6114">
          <cell r="A6114" t="str">
            <v>cdp_e</v>
          </cell>
          <cell r="B6114" t="str">
            <v>cdp</v>
          </cell>
          <cell r="C6114" t="str">
            <v>CDP C9H12N3O11P2</v>
          </cell>
        </row>
        <row r="6115">
          <cell r="A6115" t="str">
            <v>cdpdag_cho_c</v>
          </cell>
          <cell r="B6115" t="str">
            <v>cdpdag_cho</v>
          </cell>
          <cell r="C6115" t="str">
            <v>CDP-diacylglycerol(2-)</v>
          </cell>
        </row>
        <row r="6116">
          <cell r="A6116" t="str">
            <v>cholcoa_m</v>
          </cell>
          <cell r="B6116" t="str">
            <v>cholcoa</v>
          </cell>
          <cell r="C6116" t="str">
            <v>Choloyl-CoA(4-)</v>
          </cell>
        </row>
        <row r="6117">
          <cell r="A6117" t="str">
            <v>cl_n</v>
          </cell>
          <cell r="B6117" t="str">
            <v>cl</v>
          </cell>
          <cell r="C6117" t="str">
            <v>Chloride</v>
          </cell>
        </row>
        <row r="6118">
          <cell r="A6118" t="str">
            <v>cmpglna_c</v>
          </cell>
          <cell r="B6118" t="str">
            <v>cmpglna</v>
          </cell>
          <cell r="C6118" t="str">
            <v>CMP-N-glycoloylneuraminate</v>
          </cell>
        </row>
        <row r="6119">
          <cell r="A6119" t="str">
            <v>crm_cho_g</v>
          </cell>
          <cell r="B6119" t="str">
            <v>crm_cho</v>
          </cell>
          <cell r="C6119" t="str">
            <v>N-acylsphingosine</v>
          </cell>
        </row>
        <row r="6120">
          <cell r="A6120" t="str">
            <v>crm_cho_n</v>
          </cell>
          <cell r="B6120" t="str">
            <v>crm_cho</v>
          </cell>
          <cell r="C6120" t="str">
            <v>N-acylsphingosine</v>
          </cell>
        </row>
        <row r="6121">
          <cell r="A6121" t="str">
            <v>cyst__L_m</v>
          </cell>
          <cell r="B6121" t="str">
            <v>cyst__L</v>
          </cell>
          <cell r="C6121" t="str">
            <v>L-Cystathionine</v>
          </cell>
        </row>
        <row r="6122">
          <cell r="A6122" t="str">
            <v>dag_cho_e</v>
          </cell>
          <cell r="B6122" t="str">
            <v>dag_cho</v>
          </cell>
          <cell r="C6122" t="str">
            <v>Diglyceride</v>
          </cell>
        </row>
        <row r="6123">
          <cell r="A6123" t="str">
            <v>dcholcoa_c</v>
          </cell>
          <cell r="B6123" t="str">
            <v>dcholcoa</v>
          </cell>
          <cell r="C6123" t="str">
            <v>Chenodeoxycholoyl coenzyme a</v>
          </cell>
        </row>
        <row r="6124">
          <cell r="A6124" t="str">
            <v>dcholcoa_r</v>
          </cell>
          <cell r="B6124" t="str">
            <v>dcholcoa</v>
          </cell>
          <cell r="C6124" t="str">
            <v>Chenodeoxycholoyl coenzyme a</v>
          </cell>
        </row>
        <row r="6125">
          <cell r="A6125" t="str">
            <v>dgpi_prot_cho_r</v>
          </cell>
          <cell r="B6125" t="str">
            <v>dgpi_prot_cho</v>
          </cell>
          <cell r="C6125" t="str">
            <v>Deacylated-glycophosphatidylinositol (GPI)-anchored protein</v>
          </cell>
        </row>
        <row r="6126">
          <cell r="A6126" t="str">
            <v>dhap_e</v>
          </cell>
          <cell r="B6126" t="str">
            <v>dhap</v>
          </cell>
          <cell r="C6126" t="str">
            <v>Dihydroxyacetone phosphate</v>
          </cell>
        </row>
        <row r="6127">
          <cell r="A6127" t="str">
            <v>dhcholestanate_c</v>
          </cell>
          <cell r="B6127" t="str">
            <v>dhcholestanate</v>
          </cell>
          <cell r="C6127" t="str">
            <v>3alpha,7alpha-Dihydroxy-5beta-cholestanate</v>
          </cell>
        </row>
        <row r="6128">
          <cell r="A6128" t="str">
            <v>dhcrm_cho_c</v>
          </cell>
          <cell r="B6128" t="str">
            <v>dhcrm_cho</v>
          </cell>
          <cell r="C6128" t="str">
            <v>Dihydroceramide</v>
          </cell>
        </row>
        <row r="6129">
          <cell r="A6129" t="str">
            <v>digalside_cho_g</v>
          </cell>
          <cell r="B6129" t="str">
            <v>digalside_cho</v>
          </cell>
          <cell r="C6129" t="str">
            <v>Digalactosylceramide</v>
          </cell>
        </row>
        <row r="6130">
          <cell r="A6130" t="str">
            <v>dlnlcg_l</v>
          </cell>
          <cell r="B6130" t="str">
            <v>dlnlcg</v>
          </cell>
          <cell r="C6130" t="str">
            <v>Dihomo-gamma-linolenic acid (n-6)</v>
          </cell>
        </row>
        <row r="6131">
          <cell r="A6131" t="str">
            <v>docosac_c</v>
          </cell>
          <cell r="B6131" t="str">
            <v>docosac</v>
          </cell>
          <cell r="C6131" t="str">
            <v>Behenate, Docosanoate</v>
          </cell>
        </row>
        <row r="6132">
          <cell r="A6132" t="str">
            <v>docosac_x</v>
          </cell>
          <cell r="B6132" t="str">
            <v>docosac</v>
          </cell>
          <cell r="C6132" t="str">
            <v>Behenate, Docosanoate</v>
          </cell>
        </row>
        <row r="6133">
          <cell r="A6133" t="str">
            <v>dtmp_n</v>
          </cell>
          <cell r="B6133" t="str">
            <v>dtmp</v>
          </cell>
          <cell r="C6133" t="str">
            <v>DTMP C10H13N2O8P</v>
          </cell>
        </row>
        <row r="6134">
          <cell r="A6134" t="str">
            <v>em2emgacpail_cho_r</v>
          </cell>
          <cell r="B6134" t="str">
            <v>em2emgacpail_cho</v>
          </cell>
          <cell r="C6134" t="str">
            <v>(phosphoethanolaminyl-dimannosyl),(phosphoethanolaminyl)-mannosyl-glucosaminyl-acylphosphatidylinositol (H7)</v>
          </cell>
        </row>
        <row r="6135">
          <cell r="A6135" t="str">
            <v>em3gacpail_cho_r</v>
          </cell>
          <cell r="B6135" t="str">
            <v>em3gacpail_cho</v>
          </cell>
          <cell r="C6135" t="str">
            <v>Phosphoethanolaminyl-trimannosyl-glucosaminyl-acylphosphatidylinositol (H6')</v>
          </cell>
        </row>
        <row r="6136">
          <cell r="A6136" t="str">
            <v>fn3rm2masn_g</v>
          </cell>
          <cell r="B6136" t="str">
            <v>fn3rm2masn</v>
          </cell>
          <cell r="C6136" t="str">
            <v>Fn3rm2masn[g]</v>
          </cell>
        </row>
        <row r="6137">
          <cell r="A6137" t="str">
            <v>fnm2masn_g</v>
          </cell>
          <cell r="B6137" t="str">
            <v>fnm2masn</v>
          </cell>
          <cell r="C6137" t="str">
            <v>Fnm2masn[g]</v>
          </cell>
        </row>
        <row r="6138">
          <cell r="A6138" t="str">
            <v>fuc13galacglcgal14acglcgalgluside_cho_g</v>
          </cell>
          <cell r="B6138" t="str">
            <v>fuc13galacglcgal14acglcgalgluside_cho</v>
          </cell>
          <cell r="C6138" t="str">
            <v>III3Fuc-nLc6Cer</v>
          </cell>
        </row>
        <row r="6139">
          <cell r="A6139" t="str">
            <v>fuc14galacglcgalgluside_cho_g</v>
          </cell>
          <cell r="B6139" t="str">
            <v>fuc14galacglcgalgluside_cho</v>
          </cell>
          <cell r="C6139" t="str">
            <v>Lea glycolipid</v>
          </cell>
        </row>
        <row r="6140">
          <cell r="A6140" t="str">
            <v>fucacgalfucgalacglcgalgluside_cho_g</v>
          </cell>
          <cell r="B6140" t="str">
            <v>fucacgalfucgalacglcgalgluside_cho</v>
          </cell>
          <cell r="C6140" t="str">
            <v>(Gal)2 (GalNAc)1 (Glc)1 (GlcNAc)1 (LFuc)2 (Cer)1</v>
          </cell>
        </row>
        <row r="6141">
          <cell r="A6141" t="str">
            <v>fucacngalacglcgalgluside_cho_g</v>
          </cell>
          <cell r="B6141" t="str">
            <v>fucacngalacglcgalgluside_cho</v>
          </cell>
          <cell r="C6141" t="str">
            <v>IV3-a-Neu5Ac,III4-a-Fuc-Lc4Cer</v>
          </cell>
        </row>
        <row r="6142">
          <cell r="A6142" t="str">
            <v>fucfuc132galacglcgal14acglcgalgluside_cho_c</v>
          </cell>
          <cell r="B6142" t="str">
            <v>fucfuc132galacglcgal14acglcgalgluside_cho</v>
          </cell>
          <cell r="C6142" t="str">
            <v>V3Fuc,III3Fuc-nLc6Cer</v>
          </cell>
        </row>
        <row r="6143">
          <cell r="A6143" t="str">
            <v>fucfucfucgalacglc13galacglcgal14acglcgalgluside_cho_g</v>
          </cell>
          <cell r="B6143" t="str">
            <v>fucfucfucgalacglc13galacglcgal14acglcgalgluside_cho</v>
          </cell>
          <cell r="C6143" t="str">
            <v>(Gal)4 (Glc)1 (GlcNAc)3 (LFuc)3 (Cer)1</v>
          </cell>
        </row>
        <row r="6144">
          <cell r="A6144" t="str">
            <v>fucfucfucgalacglcgal14acglcgalgluside_cho_e</v>
          </cell>
          <cell r="B6144" t="str">
            <v>fucfucfucgalacglcgal14acglcgalgluside_cho</v>
          </cell>
          <cell r="C6144" t="str">
            <v>(Gal)3 (Glc)1 (GlcNAc)2 (LFuc)3 (Cer)1</v>
          </cell>
        </row>
        <row r="6145">
          <cell r="A6145" t="str">
            <v>fucgal14acglcgalgluside_cho_g</v>
          </cell>
          <cell r="B6145" t="str">
            <v>fucgal14acglcgalgluside_cho</v>
          </cell>
          <cell r="C6145" t="str">
            <v>Lacto-N-fucopentaosyl III ceramide</v>
          </cell>
        </row>
        <row r="6146">
          <cell r="A6146" t="str">
            <v>fucgalacgalfucgalacglcgal14acglcgalgluside_cho_g</v>
          </cell>
          <cell r="B6146" t="str">
            <v>fucgalacgalfucgalacglcgal14acglcgalgluside_cho</v>
          </cell>
          <cell r="C6146" t="str">
            <v>(Gal)4 (GalNAc)1 (Glc)1 (GlcNAc)2 (LFuc)2 (Cer)1</v>
          </cell>
        </row>
        <row r="6147">
          <cell r="A6147" t="str">
            <v>fucgalacglc13galacglcgal14acglcgalgluside_cho_g</v>
          </cell>
          <cell r="B6147" t="str">
            <v>fucgalacglc13galacglcgal14acglcgalgluside_cho</v>
          </cell>
          <cell r="C6147" t="str">
            <v>(Gal)4 (Glc)1 (GlcNAc)3 (LFuc)1 (Cer)1</v>
          </cell>
        </row>
        <row r="6148">
          <cell r="A6148" t="str">
            <v>fucgalacglcgalgluside_cho_g</v>
          </cell>
          <cell r="B6148" t="str">
            <v>fucgalacglcgalgluside_cho</v>
          </cell>
          <cell r="C6148" t="str">
            <v>Type IH glycolipid</v>
          </cell>
        </row>
        <row r="6149">
          <cell r="A6149" t="str">
            <v>g2m8mpdol_r</v>
          </cell>
          <cell r="B6149" t="str">
            <v>g2m8mpdol</v>
          </cell>
          <cell r="C6149" t="str">
            <v>(alpha-D-Glucosyl)2-(alpha-D-mannosyl)8-beta-D-mannosyl-diacetylchitobiosyldiphosphodolichol</v>
          </cell>
        </row>
        <row r="6150">
          <cell r="A6150" t="str">
            <v>ga2_cho_g</v>
          </cell>
          <cell r="B6150" t="str">
            <v>ga2_cho</v>
          </cell>
          <cell r="C6150" t="str">
            <v>GA2</v>
          </cell>
        </row>
        <row r="6151">
          <cell r="A6151" t="str">
            <v>gacpail_cho_c</v>
          </cell>
          <cell r="B6151" t="str">
            <v>gacpail_cho</v>
          </cell>
          <cell r="C6151" t="str">
            <v>Glucosaminyl-acylphosphatidylinositol</v>
          </cell>
        </row>
        <row r="6152">
          <cell r="A6152" t="str">
            <v>gacpail_cho_r</v>
          </cell>
          <cell r="B6152" t="str">
            <v>gacpail_cho</v>
          </cell>
          <cell r="C6152" t="str">
            <v>Glucosaminyl-acylphosphatidylinositol</v>
          </cell>
        </row>
        <row r="6153">
          <cell r="A6153" t="str">
            <v>gal14acglcgalgluside_cho_g</v>
          </cell>
          <cell r="B6153" t="str">
            <v>gal14acglcgalgluside_cho</v>
          </cell>
          <cell r="C6153" t="str">
            <v>Lactoneotetraosylceramide</v>
          </cell>
        </row>
        <row r="6154">
          <cell r="A6154" t="str">
            <v>galacglcgal14acglcgalgluside_cho_g</v>
          </cell>
          <cell r="B6154" t="str">
            <v>galacglcgal14acglcgalgluside_cho</v>
          </cell>
          <cell r="C6154" t="str">
            <v>I-antigen</v>
          </cell>
        </row>
        <row r="6155">
          <cell r="A6155" t="str">
            <v>galacglcgalacglcgal14acglcgalgluside_cho_g</v>
          </cell>
          <cell r="B6155" t="str">
            <v>galacglcgalacglcgal14acglcgalgluside_cho</v>
          </cell>
          <cell r="C6155" t="str">
            <v>I-antigen</v>
          </cell>
        </row>
        <row r="6156">
          <cell r="A6156" t="str">
            <v>galacglcgalgbside_cho_c</v>
          </cell>
          <cell r="B6156" t="str">
            <v>galacglcgalgbside_cho</v>
          </cell>
          <cell r="C6156" t="str">
            <v>Gal-GlcNAc-Gal globoside</v>
          </cell>
        </row>
        <row r="6157">
          <cell r="A6157" t="str">
            <v>galfucgalacglcgal14acglcgalgluside_cho_e</v>
          </cell>
          <cell r="B6157" t="str">
            <v>galfucgalacglcgal14acglcgalgluside_cho</v>
          </cell>
          <cell r="C6157" t="str">
            <v>(Gal)4 (Glc)1 (GlcNAc)2 (LFuc)1 (Cer)1</v>
          </cell>
        </row>
        <row r="6158">
          <cell r="A6158" t="str">
            <v>galgalgalthcrm_cho_c</v>
          </cell>
          <cell r="B6158" t="str">
            <v>galgalgalthcrm_cho</v>
          </cell>
          <cell r="C6158" t="str">
            <v>Gal-Gal-Gal-Gal-Gal-Glc-Cer</v>
          </cell>
        </row>
        <row r="6159">
          <cell r="A6159" t="str">
            <v>galgluside_cho_c</v>
          </cell>
          <cell r="B6159" t="str">
            <v>galgluside_cho</v>
          </cell>
          <cell r="C6159" t="str">
            <v>Galactosyl glucosyl ceramide</v>
          </cell>
        </row>
        <row r="6160">
          <cell r="A6160" t="str">
            <v>galside_cho_c</v>
          </cell>
          <cell r="B6160" t="str">
            <v>galside_cho</v>
          </cell>
          <cell r="C6160" t="str">
            <v>D-galactosyl-N-acylsphingosine</v>
          </cell>
        </row>
        <row r="6161">
          <cell r="A6161" t="str">
            <v>galside_cho_r</v>
          </cell>
          <cell r="B6161" t="str">
            <v>galside_cho</v>
          </cell>
          <cell r="C6161" t="str">
            <v>D-galactosyl-N-acylsphingosine</v>
          </cell>
        </row>
        <row r="6162">
          <cell r="A6162" t="str">
            <v>gbside_cho_g</v>
          </cell>
          <cell r="B6162" t="str">
            <v>gbside_cho</v>
          </cell>
          <cell r="C6162" t="str">
            <v>Globoside</v>
          </cell>
        </row>
        <row r="6163">
          <cell r="A6163" t="str">
            <v>gd1c_cho_e</v>
          </cell>
          <cell r="B6163" t="str">
            <v>gd1c_cho</v>
          </cell>
          <cell r="C6163" t="str">
            <v>GD1c</v>
          </cell>
        </row>
        <row r="6164">
          <cell r="A6164" t="str">
            <v>glgchlo_e</v>
          </cell>
          <cell r="B6164" t="str">
            <v>glgchlo</v>
          </cell>
          <cell r="C6164" t="str">
            <v>Beta glucan-glycocholate complex</v>
          </cell>
        </row>
        <row r="6165">
          <cell r="A6165" t="str">
            <v>glyc3p_x</v>
          </cell>
          <cell r="B6165" t="str">
            <v>glyc3p</v>
          </cell>
          <cell r="C6165" t="str">
            <v>Glycerol 3-phosphate</v>
          </cell>
        </row>
        <row r="6166">
          <cell r="A6166" t="str">
            <v>glygly_e</v>
          </cell>
          <cell r="B6166" t="str">
            <v>glygly</v>
          </cell>
          <cell r="C6166" t="str">
            <v>Glycylglycine C4H8N2O3</v>
          </cell>
        </row>
        <row r="6167">
          <cell r="A6167" t="str">
            <v>gm2a_cho_g</v>
          </cell>
          <cell r="B6167" t="str">
            <v>gm2a_cho</v>
          </cell>
          <cell r="C6167" t="str">
            <v>GM2alpha</v>
          </cell>
        </row>
        <row r="6168">
          <cell r="A6168" t="str">
            <v>gp1c_cho_g</v>
          </cell>
          <cell r="B6168" t="str">
            <v>gp1c_cho</v>
          </cell>
          <cell r="C6168" t="str">
            <v>GP1c</v>
          </cell>
        </row>
        <row r="6169">
          <cell r="A6169" t="str">
            <v>gp1calpha_cho_c</v>
          </cell>
          <cell r="B6169" t="str">
            <v>gp1calpha_cho</v>
          </cell>
          <cell r="C6169" t="str">
            <v>GP1c alpha</v>
          </cell>
        </row>
        <row r="6170">
          <cell r="A6170" t="str">
            <v>gq1b_cho_g</v>
          </cell>
          <cell r="B6170" t="str">
            <v>gq1b_cho</v>
          </cell>
          <cell r="C6170" t="str">
            <v>GQ1b</v>
          </cell>
        </row>
        <row r="6171">
          <cell r="A6171" t="str">
            <v>gt1a_cho_e</v>
          </cell>
          <cell r="B6171" t="str">
            <v>gt1a_cho</v>
          </cell>
          <cell r="C6171" t="str">
            <v>GT1a</v>
          </cell>
        </row>
        <row r="6172">
          <cell r="A6172" t="str">
            <v>gt2_cho_g</v>
          </cell>
          <cell r="B6172" t="str">
            <v>gt2_cho</v>
          </cell>
          <cell r="C6172" t="str">
            <v>GT2</v>
          </cell>
        </row>
        <row r="6173">
          <cell r="A6173" t="str">
            <v>gthrd_x</v>
          </cell>
          <cell r="B6173" t="str">
            <v>gthrd</v>
          </cell>
          <cell r="C6173" t="str">
            <v>Reduced glutathione</v>
          </cell>
        </row>
        <row r="6174">
          <cell r="A6174" t="str">
            <v>gum_e</v>
          </cell>
          <cell r="B6174" t="str">
            <v>gum</v>
          </cell>
          <cell r="C6174" t="str">
            <v>Gums</v>
          </cell>
        </row>
        <row r="6175">
          <cell r="A6175" t="str">
            <v>gumdchac_e</v>
          </cell>
          <cell r="B6175" t="str">
            <v>gumdchac</v>
          </cell>
          <cell r="C6175" t="str">
            <v>Guar gum-deoxyxholic acid complex</v>
          </cell>
        </row>
        <row r="6176">
          <cell r="A6176" t="str">
            <v>hdca_l</v>
          </cell>
          <cell r="B6176" t="str">
            <v>hdca</v>
          </cell>
          <cell r="C6176" t="str">
            <v>Hexadecanoate (n-C16:0)</v>
          </cell>
        </row>
        <row r="6177">
          <cell r="A6177" t="str">
            <v>his__L_l</v>
          </cell>
          <cell r="B6177" t="str">
            <v>his__L</v>
          </cell>
          <cell r="C6177" t="str">
            <v>L-Histidine</v>
          </cell>
        </row>
        <row r="6178">
          <cell r="A6178" t="str">
            <v>hop_c</v>
          </cell>
          <cell r="B6178" t="str">
            <v>hop</v>
          </cell>
          <cell r="C6178" t="str">
            <v>2-Hydroxy-3-oxopropanoate</v>
          </cell>
        </row>
        <row r="6179">
          <cell r="A6179" t="str">
            <v>igg_g</v>
          </cell>
          <cell r="B6179" t="str">
            <v>igg</v>
          </cell>
          <cell r="C6179" t="str">
            <v>Igg[g]</v>
          </cell>
        </row>
        <row r="6180">
          <cell r="A6180" t="str">
            <v>inost_r</v>
          </cell>
          <cell r="B6180" t="str">
            <v>inost</v>
          </cell>
          <cell r="C6180" t="str">
            <v>Myo-Inositol</v>
          </cell>
        </row>
        <row r="6181">
          <cell r="A6181" t="str">
            <v>ivcrn_e</v>
          </cell>
          <cell r="B6181" t="str">
            <v>ivcrn</v>
          </cell>
          <cell r="C6181" t="str">
            <v>Isovaleryl carnitine</v>
          </cell>
        </row>
        <row r="6182">
          <cell r="A6182" t="str">
            <v>l2n2cdl4n4m2masn_g</v>
          </cell>
          <cell r="B6182" t="str">
            <v>l2n2cdl4n4m2masn</v>
          </cell>
          <cell r="C6182" t="str">
            <v>L2n2cdl4n4m2masn[g]</v>
          </cell>
        </row>
        <row r="6183">
          <cell r="A6183" t="str">
            <v>l3fn3m2masn_g</v>
          </cell>
          <cell r="B6183" t="str">
            <v>l3fn3m2masn</v>
          </cell>
          <cell r="C6183" t="str">
            <v>L3fn3m2masn[g]</v>
          </cell>
        </row>
        <row r="6184">
          <cell r="A6184" t="str">
            <v>l3n3l4fn4m2masn_g</v>
          </cell>
          <cell r="B6184" t="str">
            <v>l3n3l4fn4m2masn</v>
          </cell>
          <cell r="C6184" t="str">
            <v>L3n3l4fn4m2masn[g]</v>
          </cell>
        </row>
        <row r="6185">
          <cell r="A6185" t="str">
            <v>l3n3l4n4m2masn_g</v>
          </cell>
          <cell r="B6185" t="str">
            <v>l3n3l4n4m2masn</v>
          </cell>
          <cell r="C6185" t="str">
            <v>L3n3l4n4m2masn[g]</v>
          </cell>
        </row>
        <row r="6186">
          <cell r="A6186" t="str">
            <v>l3n3m2masn_g</v>
          </cell>
          <cell r="B6186" t="str">
            <v>l3n3m2masn</v>
          </cell>
          <cell r="C6186" t="str">
            <v>L3n3m2masn[g]</v>
          </cell>
        </row>
        <row r="6187">
          <cell r="A6187" t="str">
            <v>lanost_x</v>
          </cell>
          <cell r="B6187" t="str">
            <v>lanost</v>
          </cell>
          <cell r="C6187" t="str">
            <v>Lanosterol C30H50O</v>
          </cell>
        </row>
        <row r="6188">
          <cell r="A6188" t="str">
            <v>leugly_e</v>
          </cell>
          <cell r="B6188" t="str">
            <v>leugly</v>
          </cell>
          <cell r="C6188" t="str">
            <v>Leucylglycine</v>
          </cell>
        </row>
        <row r="6189">
          <cell r="A6189" t="str">
            <v>leuktrB4_m</v>
          </cell>
          <cell r="B6189" t="str">
            <v>leuktrB4</v>
          </cell>
          <cell r="C6189" t="str">
            <v>Leukotriene B4(1-)</v>
          </cell>
        </row>
        <row r="6190">
          <cell r="A6190" t="str">
            <v>leuktrB4woh_m</v>
          </cell>
          <cell r="B6190" t="str">
            <v>leuktrB4woh</v>
          </cell>
          <cell r="C6190" t="str">
            <v>W-hydroxyl leukotriene B4</v>
          </cell>
        </row>
        <row r="6191">
          <cell r="A6191" t="str">
            <v>lgnc_m</v>
          </cell>
          <cell r="B6191" t="str">
            <v>lgnc</v>
          </cell>
          <cell r="C6191" t="str">
            <v>Lignoceric acid</v>
          </cell>
        </row>
        <row r="6192">
          <cell r="A6192" t="str">
            <v>lnlc_l</v>
          </cell>
          <cell r="B6192" t="str">
            <v>lnlc</v>
          </cell>
          <cell r="C6192" t="str">
            <v>Linoleic acid (all cis C18:2) n-6</v>
          </cell>
        </row>
        <row r="6193">
          <cell r="A6193" t="str">
            <v>lnlnca_l</v>
          </cell>
          <cell r="B6193" t="str">
            <v>lnlnca</v>
          </cell>
          <cell r="C6193" t="str">
            <v>Alpha-Linolenic acid, C18:3, n-3</v>
          </cell>
        </row>
        <row r="6194">
          <cell r="A6194" t="str">
            <v>lpchol_cho_e</v>
          </cell>
          <cell r="B6194" t="str">
            <v>lpchol_cho</v>
          </cell>
          <cell r="C6194" t="str">
            <v>Lysophosphatidylcholine</v>
          </cell>
        </row>
        <row r="6195">
          <cell r="A6195" t="str">
            <v>m2emgacpail_cho_r</v>
          </cell>
          <cell r="B6195" t="str">
            <v>m2emgacpail_cho</v>
          </cell>
          <cell r="C6195" t="str">
            <v>(dimannosyl),(phosphoethanolaminyl)-mannosyl-glucosylaminyl-acylphosphatidylinositol (H6)</v>
          </cell>
        </row>
        <row r="6196">
          <cell r="A6196" t="str">
            <v>m3mpdol_c</v>
          </cell>
          <cell r="B6196" t="str">
            <v>m3mpdol</v>
          </cell>
          <cell r="C6196" t="str">
            <v>(alpha-D-mannosyl)3-beta-D-mannosyl-diacetylchitodiphosphodolichol</v>
          </cell>
        </row>
        <row r="6197">
          <cell r="A6197" t="str">
            <v>m7mpdol_r</v>
          </cell>
          <cell r="B6197" t="str">
            <v>m7mpdol</v>
          </cell>
          <cell r="C6197" t="str">
            <v>(alpha-D-Mannosyl)7-beta-D-mannosyl-diacetylchitobiosyldiphosphodolichol</v>
          </cell>
        </row>
        <row r="6198">
          <cell r="A6198" t="str">
            <v>mag_cho_e</v>
          </cell>
          <cell r="B6198" t="str">
            <v>mag_cho</v>
          </cell>
          <cell r="C6198" t="str">
            <v>Monoacylglycerol 2</v>
          </cell>
        </row>
        <row r="6199">
          <cell r="A6199" t="str">
            <v>malcoa_r</v>
          </cell>
          <cell r="B6199" t="str">
            <v>malcoa</v>
          </cell>
          <cell r="C6199" t="str">
            <v>Malonyl CoA C24H33N7O19P3S</v>
          </cell>
        </row>
        <row r="6200">
          <cell r="A6200" t="str">
            <v>mgacpail_cho_r</v>
          </cell>
          <cell r="B6200" t="str">
            <v>mgacpail_cho</v>
          </cell>
          <cell r="C6200" t="str">
            <v>Mannosyl-glucosaminyl-acylphosphatidylinositiol (H2)</v>
          </cell>
        </row>
        <row r="6201">
          <cell r="A6201" t="str">
            <v>n3l4fn4m2masn_g</v>
          </cell>
          <cell r="B6201" t="str">
            <v>n3l4fn4m2masn</v>
          </cell>
          <cell r="C6201" t="str">
            <v>N3l4fn4m2masn[g]</v>
          </cell>
        </row>
        <row r="6202">
          <cell r="A6202" t="str">
            <v>n3l4n4m2masn_g</v>
          </cell>
          <cell r="B6202" t="str">
            <v>n3l4n4m2masn</v>
          </cell>
          <cell r="C6202" t="str">
            <v>N3l4n4m2masn[g]</v>
          </cell>
        </row>
        <row r="6203">
          <cell r="A6203" t="str">
            <v>nl3fn3m2masn_g</v>
          </cell>
          <cell r="B6203" t="str">
            <v>nl3fn3m2masn</v>
          </cell>
          <cell r="C6203" t="str">
            <v>Nl3fn3m2masn[g]</v>
          </cell>
        </row>
        <row r="6204">
          <cell r="A6204" t="str">
            <v>nl3n3m2masn_g</v>
          </cell>
          <cell r="B6204" t="str">
            <v>nl3n3m2masn</v>
          </cell>
          <cell r="C6204" t="str">
            <v>Nl3n3m2masn[g]</v>
          </cell>
        </row>
        <row r="6205">
          <cell r="A6205" t="str">
            <v>no2_n</v>
          </cell>
          <cell r="B6205" t="str">
            <v>no2</v>
          </cell>
          <cell r="C6205" t="str">
            <v>Nitrite</v>
          </cell>
        </row>
        <row r="6206">
          <cell r="A6206" t="str">
            <v>oagd3_cho_e</v>
          </cell>
          <cell r="B6206" t="str">
            <v>oagd3_cho</v>
          </cell>
          <cell r="C6206" t="str">
            <v>9-O-Acetylated GD3</v>
          </cell>
        </row>
        <row r="6207">
          <cell r="A6207" t="str">
            <v>oagt3_cho_e</v>
          </cell>
          <cell r="B6207" t="str">
            <v>oagt3_cho</v>
          </cell>
          <cell r="C6207" t="str">
            <v>9-O-Acetylated GT3</v>
          </cell>
        </row>
        <row r="6208">
          <cell r="A6208" t="str">
            <v>ocdcea_l</v>
          </cell>
          <cell r="B6208" t="str">
            <v>ocdcea</v>
          </cell>
          <cell r="C6208" t="str">
            <v>Octadecenoate (n-C18:1)</v>
          </cell>
        </row>
        <row r="6209">
          <cell r="A6209" t="str">
            <v>ocdcea_m</v>
          </cell>
          <cell r="B6209" t="str">
            <v>ocdcea</v>
          </cell>
          <cell r="C6209" t="str">
            <v>Octadecenoate (n-C18:1)</v>
          </cell>
        </row>
        <row r="6210">
          <cell r="A6210" t="str">
            <v>omhdecacid_c</v>
          </cell>
          <cell r="B6210" t="str">
            <v>omhdecacid</v>
          </cell>
          <cell r="C6210" t="str">
            <v>W-hydroxydecanoicacid</v>
          </cell>
        </row>
        <row r="6211">
          <cell r="A6211" t="str">
            <v>omhdecacid_r</v>
          </cell>
          <cell r="B6211" t="str">
            <v>omhdecacid</v>
          </cell>
          <cell r="C6211" t="str">
            <v>W-hydroxydecanoicacid</v>
          </cell>
        </row>
        <row r="6212">
          <cell r="A6212" t="str">
            <v>pail345p_cho_g</v>
          </cell>
          <cell r="B6212" t="str">
            <v>pail345p_cho</v>
          </cell>
          <cell r="C6212" t="str">
            <v>1-phosphatidyl-1D-myo-inositol 3,4,5-trisphosphate(7-)</v>
          </cell>
        </row>
        <row r="6213">
          <cell r="A6213" t="str">
            <v>pail345p_cho_n</v>
          </cell>
          <cell r="B6213" t="str">
            <v>pail345p_cho</v>
          </cell>
          <cell r="C6213" t="str">
            <v>1-phosphatidyl-1D-myo-inositol 3,4,5-trisphosphate(7-)</v>
          </cell>
        </row>
        <row r="6214">
          <cell r="A6214" t="str">
            <v>pail45p_cho_m</v>
          </cell>
          <cell r="B6214" t="str">
            <v>pail45p_cho</v>
          </cell>
          <cell r="C6214" t="str">
            <v>Phosphatidylinositol 4,5-bisphosphate</v>
          </cell>
        </row>
        <row r="6215">
          <cell r="A6215" t="str">
            <v>pail_cho_g</v>
          </cell>
          <cell r="B6215" t="str">
            <v>pail_cho</v>
          </cell>
          <cell r="C6215" t="str">
            <v>1-phosphatidyl-1D-myo-inositol(1-)</v>
          </cell>
        </row>
        <row r="6216">
          <cell r="A6216" t="str">
            <v>pail_cho_n</v>
          </cell>
          <cell r="B6216" t="str">
            <v>pail_cho</v>
          </cell>
          <cell r="C6216" t="str">
            <v>1-phosphatidyl-1D-myo-inositol(1-)</v>
          </cell>
        </row>
        <row r="6217">
          <cell r="A6217" t="str">
            <v>pan4p_e</v>
          </cell>
          <cell r="B6217" t="str">
            <v>pan4p</v>
          </cell>
          <cell r="C6217" t="str">
            <v>Pantetheine 4'-phosphate</v>
          </cell>
        </row>
        <row r="6218">
          <cell r="A6218" t="str">
            <v>paps_n</v>
          </cell>
          <cell r="B6218" t="str">
            <v>paps</v>
          </cell>
          <cell r="C6218" t="str">
            <v>3'-Phosphoadenylyl sulfate</v>
          </cell>
        </row>
        <row r="6219">
          <cell r="A6219" t="str">
            <v>pchol_cho_g</v>
          </cell>
          <cell r="B6219" t="str">
            <v>pchol_cho</v>
          </cell>
          <cell r="C6219" t="str">
            <v>Phosphatidylcholine</v>
          </cell>
        </row>
        <row r="6220">
          <cell r="A6220" t="str">
            <v>pcollg5glys_c</v>
          </cell>
          <cell r="B6220" t="str">
            <v>pcollg5glys</v>
          </cell>
          <cell r="C6220" t="str">
            <v>Galactosylated erythro-5-hydroxy-L-lysine (part of procollagen)</v>
          </cell>
        </row>
        <row r="6221">
          <cell r="A6221" t="str">
            <v>pe_cho_c</v>
          </cell>
          <cell r="B6221" t="str">
            <v>pe_cho</v>
          </cell>
          <cell r="C6221" t="str">
            <v>Phosphatidylethanolamine</v>
          </cell>
        </row>
        <row r="6222">
          <cell r="A6222" t="str">
            <v>pe_cho_r</v>
          </cell>
          <cell r="B6222" t="str">
            <v>pe_cho</v>
          </cell>
          <cell r="C6222" t="str">
            <v>Phosphatidylethanolamine</v>
          </cell>
        </row>
        <row r="6223">
          <cell r="A6223" t="str">
            <v>pectindchac_e</v>
          </cell>
          <cell r="B6223" t="str">
            <v>pectindchac</v>
          </cell>
          <cell r="C6223" t="str">
            <v>Pectin-deoxycholic acid complex</v>
          </cell>
        </row>
        <row r="6224">
          <cell r="A6224" t="str">
            <v>pectingchol_e</v>
          </cell>
          <cell r="B6224" t="str">
            <v>pectingchol</v>
          </cell>
          <cell r="C6224" t="str">
            <v>Pectin-glycocholate complex</v>
          </cell>
        </row>
        <row r="6225">
          <cell r="A6225" t="str">
            <v>pglyc_cho_c</v>
          </cell>
          <cell r="B6225" t="str">
            <v>pglyc_cho</v>
          </cell>
          <cell r="C6225" t="str">
            <v>Phosphatidylglycerol(1-)</v>
          </cell>
        </row>
        <row r="6226">
          <cell r="A6226" t="str">
            <v>pgp_cho_c</v>
          </cell>
          <cell r="B6226" t="str">
            <v>pgp_cho</v>
          </cell>
          <cell r="C6226" t="str">
            <v>Phosphatidyl glycerol phosphate</v>
          </cell>
        </row>
        <row r="6227">
          <cell r="A6227" t="str">
            <v>ppa_x</v>
          </cell>
          <cell r="B6227" t="str">
            <v>ppa</v>
          </cell>
          <cell r="C6227" t="str">
            <v>Propionate (n-C3:0)</v>
          </cell>
        </row>
        <row r="6228">
          <cell r="A6228" t="str">
            <v>ps_cho_c</v>
          </cell>
          <cell r="B6228" t="str">
            <v>ps_cho</v>
          </cell>
          <cell r="C6228" t="str">
            <v>Phosphatidylserine</v>
          </cell>
        </row>
        <row r="6229">
          <cell r="A6229" t="str">
            <v>ps_cho_r</v>
          </cell>
          <cell r="B6229" t="str">
            <v>ps_cho</v>
          </cell>
          <cell r="C6229" t="str">
            <v>Phosphatidylserine</v>
          </cell>
        </row>
        <row r="6230">
          <cell r="A6230" t="str">
            <v>psyltdechol_e</v>
          </cell>
          <cell r="B6230" t="str">
            <v>psyltdechol</v>
          </cell>
          <cell r="C6230" t="str">
            <v>Psyllium-taurodeoxycholic acid complex</v>
          </cell>
        </row>
        <row r="6231">
          <cell r="A6231" t="str">
            <v>ptth_e</v>
          </cell>
          <cell r="B6231" t="str">
            <v>ptth</v>
          </cell>
          <cell r="C6231" t="str">
            <v>Pantetheine</v>
          </cell>
        </row>
        <row r="6232">
          <cell r="A6232" t="str">
            <v>retinal_r</v>
          </cell>
          <cell r="B6232" t="str">
            <v>retinal</v>
          </cell>
          <cell r="C6232" t="str">
            <v>All-trans-Retinal</v>
          </cell>
        </row>
        <row r="6233">
          <cell r="A6233" t="str">
            <v>retinal_cis_13_r</v>
          </cell>
          <cell r="B6233" t="str">
            <v>retinal_cis_13</v>
          </cell>
          <cell r="C6233" t="str">
            <v>Cis-13-retinal</v>
          </cell>
        </row>
        <row r="6234">
          <cell r="A6234" t="str">
            <v>retinol_r</v>
          </cell>
          <cell r="B6234" t="str">
            <v>retinol</v>
          </cell>
          <cell r="C6234" t="str">
            <v>All-trans-Retinol</v>
          </cell>
        </row>
        <row r="6235">
          <cell r="A6235" t="str">
            <v>s3l3fn3m2masn_g</v>
          </cell>
          <cell r="B6235" t="str">
            <v>s3l3fn3m2masn</v>
          </cell>
          <cell r="C6235" t="str">
            <v>S3l3fn3m2masn[g]</v>
          </cell>
        </row>
        <row r="6236">
          <cell r="A6236" t="str">
            <v>s3l3n3rm2masn_g</v>
          </cell>
          <cell r="B6236" t="str">
            <v>s3l3n3rm2masn</v>
          </cell>
          <cell r="C6236" t="str">
            <v>S3l3n3rm2masn[g]</v>
          </cell>
        </row>
        <row r="6237">
          <cell r="A6237" t="str">
            <v>s4l2n2cdl4n4m2masn_g</v>
          </cell>
          <cell r="B6237" t="str">
            <v>s4l2n2cdl4n4m2masn</v>
          </cell>
          <cell r="C6237" t="str">
            <v>S4l2n2cdl4n4m2masn[g]</v>
          </cell>
        </row>
        <row r="6238">
          <cell r="A6238" t="str">
            <v>s4lnbl4n4m2masn_g</v>
          </cell>
          <cell r="B6238" t="str">
            <v>s4lnbl4n4m2masn</v>
          </cell>
          <cell r="C6238" t="str">
            <v>S4lnbl4n4m2masn[g]</v>
          </cell>
        </row>
        <row r="6239">
          <cell r="A6239" t="str">
            <v>sbcoa_c</v>
          </cell>
          <cell r="B6239" t="str">
            <v>sbcoa</v>
          </cell>
          <cell r="C6239" t="str">
            <v>Suberyl-CoA; octadioyl-CoA</v>
          </cell>
        </row>
        <row r="6240">
          <cell r="A6240" t="str">
            <v>sbcoa_x</v>
          </cell>
          <cell r="B6240" t="str">
            <v>sbcoa</v>
          </cell>
          <cell r="C6240" t="str">
            <v>Suberyl-CoA; octadioyl-CoA</v>
          </cell>
        </row>
        <row r="6241">
          <cell r="A6241" t="str">
            <v>sebacid_c</v>
          </cell>
          <cell r="B6241" t="str">
            <v>sebacid</v>
          </cell>
          <cell r="C6241" t="str">
            <v>Sebacicacid</v>
          </cell>
        </row>
        <row r="6242">
          <cell r="A6242" t="str">
            <v>sebacid_x</v>
          </cell>
          <cell r="B6242" t="str">
            <v>sebacid</v>
          </cell>
          <cell r="C6242" t="str">
            <v>Sebacicacid</v>
          </cell>
        </row>
        <row r="6243">
          <cell r="A6243" t="str">
            <v>selmeth_n</v>
          </cell>
          <cell r="B6243" t="str">
            <v>selmeth</v>
          </cell>
          <cell r="C6243" t="str">
            <v>Selenomethionine</v>
          </cell>
        </row>
        <row r="6244">
          <cell r="A6244" t="str">
            <v>ser__L_g</v>
          </cell>
          <cell r="B6244" t="str">
            <v>ser__L</v>
          </cell>
          <cell r="C6244" t="str">
            <v>L-Serine</v>
          </cell>
        </row>
        <row r="6245">
          <cell r="A6245" t="str">
            <v>sgalside_cho_c</v>
          </cell>
          <cell r="B6245" t="str">
            <v>sgalside_cho</v>
          </cell>
          <cell r="C6245" t="str">
            <v>Sulfatide galactocerebroside</v>
          </cell>
        </row>
        <row r="6246">
          <cell r="A6246" t="str">
            <v>slfcys_e</v>
          </cell>
          <cell r="B6246" t="str">
            <v>slfcys</v>
          </cell>
          <cell r="C6246" t="str">
            <v>S-Sulfo-L-cysteine</v>
          </cell>
        </row>
        <row r="6247">
          <cell r="A6247" t="str">
            <v>sphmyln_cho_c</v>
          </cell>
          <cell r="B6247" t="str">
            <v>sphmyln_cho</v>
          </cell>
          <cell r="C6247" t="str">
            <v>Sphingomyelin betaine</v>
          </cell>
        </row>
        <row r="6248">
          <cell r="A6248" t="str">
            <v>stcoa_n</v>
          </cell>
          <cell r="B6248" t="str">
            <v>stcoa</v>
          </cell>
          <cell r="C6248" t="str">
            <v>Stearoyl-CoA (n-C18:0CoA)</v>
          </cell>
        </row>
        <row r="6249">
          <cell r="A6249" t="str">
            <v>tag_cho_e</v>
          </cell>
          <cell r="B6249" t="str">
            <v>tag_cho</v>
          </cell>
          <cell r="C6249" t="str">
            <v>Triglyceride</v>
          </cell>
        </row>
        <row r="6250">
          <cell r="A6250" t="str">
            <v>thf_r</v>
          </cell>
          <cell r="B6250" t="str">
            <v>thf</v>
          </cell>
          <cell r="C6250" t="str">
            <v>5,6,7,8-Tetrahydrofolate</v>
          </cell>
        </row>
        <row r="6251">
          <cell r="A6251" t="str">
            <v>thyox__L_r</v>
          </cell>
          <cell r="B6251" t="str">
            <v>thyox__L</v>
          </cell>
          <cell r="C6251" t="str">
            <v>L-Thyroxine</v>
          </cell>
        </row>
        <row r="6252">
          <cell r="A6252" t="str">
            <v>triodthy_r</v>
          </cell>
          <cell r="B6252" t="str">
            <v>triodthy</v>
          </cell>
          <cell r="C6252" t="str">
            <v>Triiodothyronine</v>
          </cell>
        </row>
        <row r="6253">
          <cell r="A6253" t="str">
            <v>uacgam_r</v>
          </cell>
          <cell r="B6253" t="str">
            <v>uacgam</v>
          </cell>
          <cell r="C6253" t="str">
            <v>UDP-N-acetyl-D-glucosamine</v>
          </cell>
        </row>
        <row r="6254">
          <cell r="A6254" t="str">
            <v>wharachd_c</v>
          </cell>
          <cell r="B6254" t="str">
            <v>wharachd</v>
          </cell>
          <cell r="C6254" t="str">
            <v>W-hydroxyl arachidonic acid</v>
          </cell>
        </row>
        <row r="6255">
          <cell r="A6255" t="str">
            <v>xolest2_cho_e</v>
          </cell>
          <cell r="B6255" t="str">
            <v>xolest2_cho</v>
          </cell>
          <cell r="C6255" t="str">
            <v>Cholesterol ester</v>
          </cell>
        </row>
        <row r="6256">
          <cell r="A6256" t="str">
            <v>xoltri27_m</v>
          </cell>
          <cell r="B6256" t="str">
            <v>xoltri27</v>
          </cell>
          <cell r="C6256" t="str">
            <v>7-alpha,27-Dihydroxycholesterol</v>
          </cell>
        </row>
        <row r="6257">
          <cell r="A6257" t="str">
            <v>12dgr_LLA_c</v>
          </cell>
          <cell r="B6257" t="str">
            <v>12dgr_LLA</v>
          </cell>
          <cell r="C6257" t="str">
            <v xml:space="preserve">1 2 diacylglycerol  lactis specific </v>
          </cell>
        </row>
        <row r="6258">
          <cell r="A6258" t="str">
            <v>2ctdeacp_c</v>
          </cell>
          <cell r="B6258" t="str">
            <v>2ctdeacp</v>
          </cell>
          <cell r="C6258" t="str">
            <v>Cis Tetradec 2 enoyl acyl carrier protein</v>
          </cell>
        </row>
        <row r="6259">
          <cell r="A6259" t="str">
            <v>2tddacp_c</v>
          </cell>
          <cell r="B6259" t="str">
            <v>2tddacp</v>
          </cell>
          <cell r="C6259" t="str">
            <v>Trans Dodec 2 enoyl acyl carrier protein</v>
          </cell>
        </row>
        <row r="6260">
          <cell r="A6260" t="str">
            <v>2tdeacp_c</v>
          </cell>
          <cell r="B6260" t="str">
            <v>2tdeacp</v>
          </cell>
          <cell r="C6260" t="str">
            <v>Trans Dec 2 enoyl acyl carrier protein</v>
          </cell>
        </row>
        <row r="6261">
          <cell r="A6261" t="str">
            <v>2toceacp_c</v>
          </cell>
          <cell r="B6261" t="str">
            <v>2toceacp</v>
          </cell>
          <cell r="C6261" t="str">
            <v>Trans Oct 2 enoyl acp</v>
          </cell>
        </row>
        <row r="6262">
          <cell r="A6262" t="str">
            <v>2ttdeacp_c</v>
          </cell>
          <cell r="B6262" t="str">
            <v>2ttdeacp</v>
          </cell>
          <cell r="C6262" t="str">
            <v>Trans Tetradec 2 enoyl acyl carrier protein</v>
          </cell>
        </row>
        <row r="6263">
          <cell r="A6263" t="str">
            <v>3hbacp_c</v>
          </cell>
          <cell r="B6263" t="str">
            <v>3hbacp</v>
          </cell>
          <cell r="C6263" t="str">
            <v>3R  3 Hydroxybutanoyl acyl carrier protein</v>
          </cell>
        </row>
        <row r="6264">
          <cell r="A6264" t="str">
            <v>3hpaacp_c</v>
          </cell>
          <cell r="B6264" t="str">
            <v>3hpaacp</v>
          </cell>
          <cell r="C6264" t="str">
            <v>3R  3 Hydroxypalmitoyl acyl carrier protein</v>
          </cell>
        </row>
        <row r="6265">
          <cell r="A6265" t="str">
            <v>3mba_e</v>
          </cell>
          <cell r="B6265" t="str">
            <v>3mba</v>
          </cell>
          <cell r="C6265" t="str">
            <v>3 methylbutanoic acid</v>
          </cell>
        </row>
        <row r="6266">
          <cell r="A6266" t="str">
            <v>3mbal_c</v>
          </cell>
          <cell r="B6266" t="str">
            <v>3mbal</v>
          </cell>
          <cell r="C6266" t="str">
            <v>3 methylbutanal</v>
          </cell>
        </row>
        <row r="6267">
          <cell r="A6267" t="str">
            <v>3oxddacp_c</v>
          </cell>
          <cell r="B6267" t="str">
            <v>3oxddacp</v>
          </cell>
          <cell r="C6267" t="str">
            <v>3 Oxododecanoyl acyl carrier protein</v>
          </cell>
        </row>
        <row r="6268">
          <cell r="A6268" t="str">
            <v>3oxhdacp_c</v>
          </cell>
          <cell r="B6268" t="str">
            <v>3oxhdacp</v>
          </cell>
          <cell r="C6268" t="str">
            <v>3 Oxohexadecanoyl acp</v>
          </cell>
        </row>
        <row r="6269">
          <cell r="A6269" t="str">
            <v>3oxocdacp_c</v>
          </cell>
          <cell r="B6269" t="str">
            <v>3oxocdacp</v>
          </cell>
          <cell r="C6269" t="str">
            <v>3 Oxooctadecanoyl acp</v>
          </cell>
        </row>
        <row r="6270">
          <cell r="A6270" t="str">
            <v>4h2oxg_c</v>
          </cell>
          <cell r="B6270" t="str">
            <v>4h2oxg</v>
          </cell>
          <cell r="C6270" t="str">
            <v>D 4 Hydroxy 2 oxoglutarate</v>
          </cell>
        </row>
        <row r="6271">
          <cell r="A6271" t="str">
            <v>RNA_LLA_c</v>
          </cell>
          <cell r="B6271" t="str">
            <v>RNA_LLA</v>
          </cell>
          <cell r="C6271" t="str">
            <v xml:space="preserve">RNA biosynthesis  lactis </v>
          </cell>
        </row>
        <row r="6272">
          <cell r="A6272" t="str">
            <v>al26da_c</v>
          </cell>
          <cell r="B6272" t="str">
            <v>al26da</v>
          </cell>
          <cell r="C6272" t="str">
            <v>N6 Acetyl LL 2 6 diaminoheptanedioate</v>
          </cell>
        </row>
        <row r="6273">
          <cell r="A6273" t="str">
            <v>cdpdag_LLA_c</v>
          </cell>
          <cell r="B6273" t="str">
            <v>cdpdag_LLA</v>
          </cell>
          <cell r="C6273" t="str">
            <v>CDPdiacylglycerol  lactis specific</v>
          </cell>
        </row>
        <row r="6274">
          <cell r="A6274" t="str">
            <v>clpn_LLA_c</v>
          </cell>
          <cell r="B6274" t="str">
            <v>clpn_LLA</v>
          </cell>
          <cell r="C6274" t="str">
            <v xml:space="preserve">Cardiolipin  lactis specific </v>
          </cell>
        </row>
        <row r="6275">
          <cell r="A6275" t="str">
            <v>dtdp6dm_c</v>
          </cell>
          <cell r="B6275" t="str">
            <v>dtdp6dm</v>
          </cell>
          <cell r="C6275" t="str">
            <v>DTDP 6 deoxy L mannose</v>
          </cell>
        </row>
        <row r="6276">
          <cell r="A6276" t="str">
            <v>dtdpglc_c</v>
          </cell>
          <cell r="B6276" t="str">
            <v>dtdpglc</v>
          </cell>
          <cell r="C6276" t="str">
            <v>DTDPglucose</v>
          </cell>
        </row>
        <row r="6277">
          <cell r="A6277" t="str">
            <v>lyspg_LLA_c</v>
          </cell>
          <cell r="B6277" t="str">
            <v>lyspg_LLA</v>
          </cell>
          <cell r="C6277" t="str">
            <v xml:space="preserve">1 lysyl phosphatidyl glycerol  lactis specific </v>
          </cell>
        </row>
        <row r="6278">
          <cell r="A6278" t="str">
            <v>pea_e</v>
          </cell>
          <cell r="B6278" t="str">
            <v>pea</v>
          </cell>
          <cell r="C6278" t="str">
            <v>Phenylethyl alcohol</v>
          </cell>
        </row>
        <row r="6279">
          <cell r="A6279" t="str">
            <v>pyrin_c</v>
          </cell>
          <cell r="B6279" t="str">
            <v>pyrin</v>
          </cell>
          <cell r="C6279" t="str">
            <v>Pyrimidine nucleoside</v>
          </cell>
        </row>
        <row r="6280">
          <cell r="A6280" t="str">
            <v>f_p</v>
          </cell>
          <cell r="B6280" t="str">
            <v>f</v>
          </cell>
          <cell r="C6280" t="str">
            <v>Fluoride</v>
          </cell>
        </row>
        <row r="6281">
          <cell r="A6281" t="str">
            <v>mththf_p</v>
          </cell>
          <cell r="B6281" t="str">
            <v>mththf</v>
          </cell>
          <cell r="C6281" t="str">
            <v>(2R,4S)-2-methyl-2,3,3,4-tetrahydroxytetrahydrofuran</v>
          </cell>
        </row>
        <row r="6282">
          <cell r="A6282" t="str">
            <v>sq_e</v>
          </cell>
          <cell r="B6282" t="str">
            <v>sq</v>
          </cell>
          <cell r="C6282" t="str">
            <v>Sulphoquinovose</v>
          </cell>
        </row>
        <row r="6283">
          <cell r="A6283" t="str">
            <v>dxylnt_p</v>
          </cell>
          <cell r="B6283" t="str">
            <v>dxylnt</v>
          </cell>
          <cell r="C6283" t="str">
            <v>D-Xylonate</v>
          </cell>
        </row>
        <row r="6284">
          <cell r="A6284" t="str">
            <v>mchtbs6p_c</v>
          </cell>
          <cell r="B6284" t="str">
            <v>mchtbs6p</v>
          </cell>
          <cell r="C6284" t="str">
            <v>N-monoacetylchitobiose 6'-phosphate</v>
          </cell>
        </row>
        <row r="6285">
          <cell r="A6285" t="str">
            <v>sqg_c</v>
          </cell>
          <cell r="B6285" t="str">
            <v>sqg</v>
          </cell>
          <cell r="C6285" t="str">
            <v>1-(?-D-sulfoquinovosyl)glycerol</v>
          </cell>
        </row>
        <row r="6286">
          <cell r="A6286" t="str">
            <v>thcur_c</v>
          </cell>
          <cell r="B6286" t="str">
            <v>thcur</v>
          </cell>
          <cell r="C6286" t="str">
            <v>Tetrahydrocurcumin</v>
          </cell>
        </row>
        <row r="6287">
          <cell r="A6287" t="str">
            <v>nadhx__R_c</v>
          </cell>
          <cell r="B6287" t="str">
            <v>nadhx__R</v>
          </cell>
          <cell r="C6287" t="str">
            <v>(R)-NADHX</v>
          </cell>
        </row>
        <row r="6288">
          <cell r="A6288" t="str">
            <v>f_c</v>
          </cell>
          <cell r="B6288" t="str">
            <v>f</v>
          </cell>
          <cell r="C6288" t="str">
            <v>Fluoride</v>
          </cell>
        </row>
        <row r="6289">
          <cell r="A6289" t="str">
            <v>ampnt_c</v>
          </cell>
          <cell r="B6289" t="str">
            <v>ampnt</v>
          </cell>
          <cell r="C6289" t="str">
            <v>Aminomethylphosphonate</v>
          </cell>
        </row>
        <row r="6290">
          <cell r="A6290" t="str">
            <v>cxsam_c</v>
          </cell>
          <cell r="B6290" t="str">
            <v>cxsam</v>
          </cell>
          <cell r="C6290" t="str">
            <v>Carboxy-S-adenosyl-L-methionine</v>
          </cell>
        </row>
        <row r="6291">
          <cell r="A6291" t="str">
            <v>psuri_e</v>
          </cell>
          <cell r="B6291" t="str">
            <v>psuri</v>
          </cell>
          <cell r="C6291" t="str">
            <v>Pseudouridine</v>
          </cell>
        </row>
        <row r="6292">
          <cell r="A6292" t="str">
            <v>dxylnt_c</v>
          </cell>
          <cell r="B6292" t="str">
            <v>dxylnt</v>
          </cell>
          <cell r="C6292" t="str">
            <v>D-Xylonate</v>
          </cell>
        </row>
        <row r="6293">
          <cell r="A6293" t="str">
            <v>erthrs_c</v>
          </cell>
          <cell r="B6293" t="str">
            <v>erthrs</v>
          </cell>
          <cell r="C6293" t="str">
            <v>D-erythrose</v>
          </cell>
        </row>
        <row r="6294">
          <cell r="A6294" t="str">
            <v>octe9ACP_c</v>
          </cell>
          <cell r="B6294" t="str">
            <v>octe9ACP</v>
          </cell>
          <cell r="C6294" t="str">
            <v>Cis-octadec-9-enoyl-[acyl-carrier protein] ((9Z)-n-C18:1)</v>
          </cell>
        </row>
        <row r="6295">
          <cell r="A6295" t="str">
            <v>2m6sbenzq_c</v>
          </cell>
          <cell r="B6295" t="str">
            <v>2m6sbenzq</v>
          </cell>
          <cell r="C6295" t="str">
            <v>2-Methyl-6-solanyl-1,4-benzoquinol</v>
          </cell>
        </row>
        <row r="6296">
          <cell r="A6296" t="str">
            <v>bm_memlip_c</v>
          </cell>
          <cell r="B6296" t="str">
            <v>bm_memlip</v>
          </cell>
          <cell r="C6296" t="str">
            <v>Lipid component of biomass</v>
          </cell>
        </row>
        <row r="6297">
          <cell r="A6297" t="str">
            <v>phyto_c</v>
          </cell>
          <cell r="B6297" t="str">
            <v>phyto</v>
          </cell>
          <cell r="C6297" t="str">
            <v>All-trans-Phytoene</v>
          </cell>
        </row>
        <row r="6298">
          <cell r="A6298" t="str">
            <v>phptna_c</v>
          </cell>
          <cell r="B6298" t="str">
            <v>phptna</v>
          </cell>
          <cell r="C6298" t="str">
            <v>Pheophytin a</v>
          </cell>
        </row>
        <row r="6299">
          <cell r="A6299" t="str">
            <v>phytol_c</v>
          </cell>
          <cell r="B6299" t="str">
            <v>phytol</v>
          </cell>
          <cell r="C6299" t="str">
            <v>Phytol</v>
          </cell>
        </row>
        <row r="6300">
          <cell r="A6300" t="str">
            <v>iscsh_c</v>
          </cell>
          <cell r="B6300" t="str">
            <v>iscsh</v>
          </cell>
          <cell r="C6300" t="str">
            <v>Thiamine biosynthesis intermediate 2</v>
          </cell>
        </row>
        <row r="6301">
          <cell r="A6301" t="str">
            <v>athis_c</v>
          </cell>
          <cell r="B6301" t="str">
            <v>athis</v>
          </cell>
          <cell r="C6301" t="str">
            <v>Thiamine biosynthesis intermediate 4</v>
          </cell>
        </row>
        <row r="6302">
          <cell r="A6302" t="str">
            <v>btnCCP_c</v>
          </cell>
          <cell r="B6302" t="str">
            <v>btnCCP</v>
          </cell>
          <cell r="C6302" t="str">
            <v>Holo-[carboxylase]</v>
          </cell>
        </row>
        <row r="6303">
          <cell r="A6303" t="str">
            <v>preqtrna_c</v>
          </cell>
          <cell r="B6303" t="str">
            <v>preqtrna</v>
          </cell>
          <cell r="C6303" t="str">
            <v>7-aminomethyl-7-deazaguaninyl tRNA</v>
          </cell>
        </row>
        <row r="6304">
          <cell r="A6304" t="str">
            <v>epxqtrna_c</v>
          </cell>
          <cell r="B6304" t="str">
            <v>epxqtrna</v>
          </cell>
          <cell r="C6304" t="str">
            <v>Epoxyquenosine34 tRNA</v>
          </cell>
        </row>
        <row r="6305">
          <cell r="A6305" t="str">
            <v>hpdcn_c</v>
          </cell>
          <cell r="B6305" t="str">
            <v>hpdcn</v>
          </cell>
          <cell r="C6305" t="str">
            <v>Heptadecane</v>
          </cell>
        </row>
        <row r="6306">
          <cell r="A6306" t="str">
            <v>12dgr1819Z1619Z_c</v>
          </cell>
          <cell r="B6306" t="str">
            <v>12dgr1819Z1619Z</v>
          </cell>
          <cell r="C6306" t="str">
            <v>1,2-Diacyl-sn-glycerol (1-(9Z)-octadecenoyl,2-(9Z)-hexadecenoyl, 18:1(9Z)/16:1(9Z))</v>
          </cell>
        </row>
        <row r="6307">
          <cell r="A6307" t="str">
            <v>12dgr1819Z160_c</v>
          </cell>
          <cell r="B6307" t="str">
            <v>12dgr1819Z160</v>
          </cell>
          <cell r="C6307" t="str">
            <v>1,2-Diacyl-sn-glycerol (1-(9Z)-octadecenoyl,2-hexadecanoyl, 18:1(9Z)/16:0)</v>
          </cell>
        </row>
        <row r="6308">
          <cell r="A6308" t="str">
            <v>dgdg1619Z160_c</v>
          </cell>
          <cell r="B6308" t="str">
            <v>dgdg1619Z160</v>
          </cell>
          <cell r="C6308" t="str">
            <v>Digalactosyl-diacylglycerol(16:1(9Z)/16:0)</v>
          </cell>
        </row>
        <row r="6309">
          <cell r="A6309" t="str">
            <v>glcdg161_c</v>
          </cell>
          <cell r="B6309" t="str">
            <v>glcdg161</v>
          </cell>
          <cell r="C6309" t="str">
            <v>1,2-Diacyl-3-O-(beta-D-glucopyranosyl)-sn-glycerol(16:1(9Z)/16:1(9Z))</v>
          </cell>
        </row>
        <row r="6310">
          <cell r="A6310" t="str">
            <v>glcdg1819Z1619Z_c</v>
          </cell>
          <cell r="B6310" t="str">
            <v>glcdg1819Z1619Z</v>
          </cell>
          <cell r="C6310" t="str">
            <v>1,2-Diacyl-3-O-(beta-D-glucopyranosyl)-sn-glycerol(18:1(9Z)/16:1(9Z))</v>
          </cell>
        </row>
        <row r="6311">
          <cell r="A6311" t="str">
            <v>glcdg1819Z160_c</v>
          </cell>
          <cell r="B6311" t="str">
            <v>glcdg1819Z160</v>
          </cell>
          <cell r="C6311" t="str">
            <v>1,2-Diacyl-3-O-(beta-D-glucopyranosyl)-sn-glycerol(18:1(9Z)/16:0)</v>
          </cell>
        </row>
        <row r="6312">
          <cell r="A6312" t="str">
            <v>photon410_e</v>
          </cell>
          <cell r="B6312" t="str">
            <v>photon410</v>
          </cell>
          <cell r="C6312" t="str">
            <v>Photon (400nm-420nm)</v>
          </cell>
        </row>
        <row r="6313">
          <cell r="A6313" t="str">
            <v>photon610_e</v>
          </cell>
          <cell r="B6313" t="str">
            <v>photon610</v>
          </cell>
          <cell r="C6313" t="str">
            <v>Photon (600nm-620nm)</v>
          </cell>
        </row>
        <row r="6314">
          <cell r="A6314" t="str">
            <v>nstxan_c</v>
          </cell>
          <cell r="B6314" t="str">
            <v>nstxan</v>
          </cell>
          <cell r="C6314" t="str">
            <v>Nostoxanthin</v>
          </cell>
        </row>
        <row r="6315">
          <cell r="A6315" t="str">
            <v>phycy_exc_c</v>
          </cell>
          <cell r="B6315" t="str">
            <v>phycy_exc</v>
          </cell>
          <cell r="C6315" t="str">
            <v>Excited phycocyanin</v>
          </cell>
        </row>
        <row r="6316">
          <cell r="A6316" t="str">
            <v>chla_qy1_exc_c</v>
          </cell>
          <cell r="B6316" t="str">
            <v>chla_qy1_exc</v>
          </cell>
          <cell r="C6316" t="str">
            <v>Photosystem I excited chlorophyll A, Qy band (long wavelength)</v>
          </cell>
        </row>
        <row r="6317">
          <cell r="A6317" t="str">
            <v>u3aga2_c</v>
          </cell>
          <cell r="B6317" t="str">
            <v>u3aga2</v>
          </cell>
          <cell r="C6317" t="str">
            <v>UDP-3-O-(3-hydroxyhexadecanoyl)-N-acetylglucosamine</v>
          </cell>
        </row>
        <row r="6318">
          <cell r="A6318" t="str">
            <v>kdolipid4cy_c</v>
          </cell>
          <cell r="B6318" t="str">
            <v>kdolipid4cy</v>
          </cell>
          <cell r="C6318" t="str">
            <v>KDO-lipid IV A (Synechococcus elongatus 7942)</v>
          </cell>
        </row>
        <row r="6319">
          <cell r="A6319" t="str">
            <v>colipacy_e</v>
          </cell>
          <cell r="B6319" t="str">
            <v>colipacy</v>
          </cell>
          <cell r="C6319" t="str">
            <v>O-antigen bound to core oligosaccharide lipid A (Synechococcus elongatus 7942)</v>
          </cell>
        </row>
        <row r="6320">
          <cell r="A6320" t="str">
            <v>p680_exc_um</v>
          </cell>
          <cell r="B6320" t="str">
            <v>p680_exc</v>
          </cell>
          <cell r="C6320" t="str">
            <v>PSII reaction center P680, excited</v>
          </cell>
        </row>
        <row r="6321">
          <cell r="A6321" t="str">
            <v>b14glucan_c</v>
          </cell>
          <cell r="B6321" t="str">
            <v>b14glucan</v>
          </cell>
          <cell r="C6321" t="str">
            <v>Cellulose (beta-1,4-glucan)</v>
          </cell>
        </row>
        <row r="6322">
          <cell r="A6322" t="str">
            <v>ps2d1_exc_um</v>
          </cell>
          <cell r="B6322" t="str">
            <v>ps2d1_exc</v>
          </cell>
          <cell r="C6322" t="str">
            <v>Damaged PSII D1 protein</v>
          </cell>
        </row>
        <row r="6323">
          <cell r="A6323" t="str">
            <v>26dap_LL_h</v>
          </cell>
          <cell r="B6323" t="str">
            <v>26dap_LL</v>
          </cell>
          <cell r="C6323" t="str">
            <v>LL-2,6-Diaminoheptanedioate</v>
          </cell>
        </row>
        <row r="6324">
          <cell r="A6324" t="str">
            <v>3c4mop_h</v>
          </cell>
          <cell r="B6324" t="str">
            <v>3c4mop</v>
          </cell>
          <cell r="C6324" t="str">
            <v>3-Carboxy-4-methyl-2-oxopentanoate</v>
          </cell>
        </row>
        <row r="6325">
          <cell r="A6325" t="str">
            <v>nacglc2p_c</v>
          </cell>
          <cell r="B6325" t="str">
            <v>nacglc2p</v>
          </cell>
          <cell r="C6325" t="str">
            <v>PP-Dol(-a1)GlcNAc</v>
          </cell>
        </row>
        <row r="6326">
          <cell r="A6326" t="str">
            <v>pser__L_m</v>
          </cell>
          <cell r="B6326" t="str">
            <v>pser__L</v>
          </cell>
          <cell r="C6326" t="str">
            <v>O-Phospho-L-serine</v>
          </cell>
        </row>
        <row r="6327">
          <cell r="A6327" t="str">
            <v>6pgc_m</v>
          </cell>
          <cell r="B6327" t="str">
            <v>6pgc</v>
          </cell>
          <cell r="C6327" t="str">
            <v>6-Phospho-D-gluconate</v>
          </cell>
        </row>
        <row r="6328">
          <cell r="A6328" t="str">
            <v>acglu_h</v>
          </cell>
          <cell r="B6328" t="str">
            <v>acglu</v>
          </cell>
          <cell r="C6328" t="str">
            <v>N-Acetyl-L-glutamate</v>
          </cell>
        </row>
        <row r="6329">
          <cell r="A6329" t="str">
            <v>acorn_h</v>
          </cell>
          <cell r="B6329" t="str">
            <v>acorn</v>
          </cell>
          <cell r="C6329" t="str">
            <v>N2-Acetyl-L-ornithine</v>
          </cell>
        </row>
        <row r="6330">
          <cell r="A6330" t="str">
            <v>3c2hmp_h</v>
          </cell>
          <cell r="B6330" t="str">
            <v>3c2hmp</v>
          </cell>
          <cell r="C6330" t="str">
            <v>3-Carboxy-2-hydroxy-4-methylpentanoate</v>
          </cell>
        </row>
        <row r="6331">
          <cell r="A6331" t="str">
            <v>Largn_h</v>
          </cell>
          <cell r="B6331" t="str">
            <v>Largn</v>
          </cell>
          <cell r="C6331" t="str">
            <v>L-Arogenate</v>
          </cell>
        </row>
        <row r="6332">
          <cell r="A6332" t="str">
            <v>hthbp_m</v>
          </cell>
          <cell r="B6332" t="str">
            <v>hthbp</v>
          </cell>
          <cell r="C6332" t="str">
            <v>4a-Hydroxytetrahydrobiopterin</v>
          </cell>
        </row>
        <row r="6333">
          <cell r="A6333" t="str">
            <v>hd6912coa_c</v>
          </cell>
          <cell r="B6333" t="str">
            <v>hd6912coa</v>
          </cell>
          <cell r="C6333" t="str">
            <v>(6Z,9Z,12Z)-hexadecatrienoyl-CoA (C16:3)</v>
          </cell>
        </row>
        <row r="6334">
          <cell r="A6334" t="str">
            <v>ethadmp_c</v>
          </cell>
          <cell r="B6334" t="str">
            <v>ethadmp</v>
          </cell>
          <cell r="C6334" t="str">
            <v>Phosphodimethylethanolamine</v>
          </cell>
        </row>
        <row r="6335">
          <cell r="A6335" t="str">
            <v>focytb5_m</v>
          </cell>
          <cell r="B6335" t="str">
            <v>focytb5</v>
          </cell>
          <cell r="C6335" t="str">
            <v>Ferrocytochrome b5</v>
          </cell>
        </row>
        <row r="6336">
          <cell r="A6336" t="str">
            <v>pa160140_c</v>
          </cell>
          <cell r="B6336" t="str">
            <v>pa160140</v>
          </cell>
          <cell r="C6336" t="str">
            <v>1-hexadecanoyl-2-tetradecanoyl-sn-glycerol-3-phosphate</v>
          </cell>
        </row>
        <row r="6337">
          <cell r="A6337" t="str">
            <v>pa160180_c</v>
          </cell>
          <cell r="B6337" t="str">
            <v>pa160180</v>
          </cell>
          <cell r="C6337" t="str">
            <v>1-hexadecanoyl-2-octadecanoyl-sn-glycerol-3-phosphate</v>
          </cell>
        </row>
        <row r="6338">
          <cell r="A6338" t="str">
            <v>pa1619Z140_c</v>
          </cell>
          <cell r="B6338" t="str">
            <v>pa1619Z140</v>
          </cell>
          <cell r="C6338" t="str">
            <v>1-9-hexadecenoyl-2-tetradecanoyl-sn-glycerol-3-phosphate</v>
          </cell>
        </row>
        <row r="6339">
          <cell r="A6339" t="str">
            <v>pa180140_c</v>
          </cell>
          <cell r="B6339" t="str">
            <v>pa180140</v>
          </cell>
          <cell r="C6339" t="str">
            <v>1-octadecanoyl-2-tetradecanoyl-sn-glycerol-3-phosphate</v>
          </cell>
        </row>
        <row r="6340">
          <cell r="A6340" t="str">
            <v>pa1801619Z_c</v>
          </cell>
          <cell r="B6340" t="str">
            <v>pa1801619Z</v>
          </cell>
          <cell r="C6340" t="str">
            <v>1-octadecanoyl-2-9-hexadecenoyl-sn-glycerol-3-phosphate</v>
          </cell>
        </row>
        <row r="6341">
          <cell r="A6341" t="str">
            <v>pa180205n3_c</v>
          </cell>
          <cell r="B6341" t="str">
            <v>pa180205n3</v>
          </cell>
          <cell r="C6341" t="str">
            <v>1-octadecanoyl-2-5,8,11,14,17-eicosapentaenoyl-sn-glycerol-3-phosphate</v>
          </cell>
        </row>
        <row r="6342">
          <cell r="A6342" t="str">
            <v>pa1819Z180_c</v>
          </cell>
          <cell r="B6342" t="str">
            <v>pa1819Z180</v>
          </cell>
          <cell r="C6342" t="str">
            <v>1-9-octadecenoyl-2-octadecanoyl-sn-glycerol-3-phosphate</v>
          </cell>
        </row>
        <row r="6343">
          <cell r="A6343" t="str">
            <v>pa1819Z226n3_c</v>
          </cell>
          <cell r="B6343" t="str">
            <v>pa1819Z226n3</v>
          </cell>
          <cell r="C6343" t="str">
            <v>1-9-octadecenoyl-2-4,7,10,13,16,19-docosahexaenoyl-sn-glycerol-3-phosphate</v>
          </cell>
        </row>
        <row r="6344">
          <cell r="A6344" t="str">
            <v>pa205n3180_c</v>
          </cell>
          <cell r="B6344" t="str">
            <v>pa205n3180</v>
          </cell>
          <cell r="C6344" t="str">
            <v>1-5,8,11,14,17-eicosapentaenoyl-2-octadecanoyl-sn-glycerol-3-phosphate</v>
          </cell>
        </row>
        <row r="6345">
          <cell r="A6345" t="str">
            <v>pa205n3_c</v>
          </cell>
          <cell r="B6345" t="str">
            <v>pa205n3</v>
          </cell>
          <cell r="C6345" t="str">
            <v>1-5,8,11,14,17-eicosapentaenoyl-2-5,8,11,14,17-eicosapentaenoyl-sn-glycerol-3-phosphate</v>
          </cell>
        </row>
        <row r="6346">
          <cell r="A6346" t="str">
            <v>pa226n3_c</v>
          </cell>
          <cell r="B6346" t="str">
            <v>pa226n3</v>
          </cell>
          <cell r="C6346" t="str">
            <v>1-4,7,10,13,16,19-docosahexaenoyl-2-4,7,10,13,16,19-docosahexaenoyl-sn-glycerol-3-phosphate</v>
          </cell>
        </row>
        <row r="6347">
          <cell r="A6347" t="str">
            <v>12dgr140205n3_c</v>
          </cell>
          <cell r="B6347" t="str">
            <v>12dgr140205n3</v>
          </cell>
          <cell r="C6347" t="str">
            <v>1,2-Diacyl-sn-glycerol(14:0/20:5(5Z,8Z,11Z,14Z,17Z))</v>
          </cell>
        </row>
        <row r="6348">
          <cell r="A6348" t="str">
            <v>12dgr160180_c</v>
          </cell>
          <cell r="B6348" t="str">
            <v>12dgr160180</v>
          </cell>
          <cell r="C6348" t="str">
            <v>1,2-Diacyl-sn-glycerol(16:0/18:0)</v>
          </cell>
        </row>
        <row r="6349">
          <cell r="A6349" t="str">
            <v>12dgr160226n3_c</v>
          </cell>
          <cell r="B6349" t="str">
            <v>12dgr160226n3</v>
          </cell>
          <cell r="C6349" t="str">
            <v>1,2-Diacyl-sn-glycerol(16:0/22:6(4Z,7Z,10Z,13Z,16Z,19Z))</v>
          </cell>
        </row>
        <row r="6350">
          <cell r="A6350" t="str">
            <v>12dgr180160_c</v>
          </cell>
          <cell r="B6350" t="str">
            <v>12dgr180160</v>
          </cell>
          <cell r="C6350" t="str">
            <v>1,2-Diacyl-sn-glycerol(18:0/16:0)</v>
          </cell>
        </row>
        <row r="6351">
          <cell r="A6351" t="str">
            <v>12dgr1801619Z_c</v>
          </cell>
          <cell r="B6351" t="str">
            <v>12dgr1801619Z</v>
          </cell>
          <cell r="C6351" t="str">
            <v>1,2-Diacyl-sn-glycerol(18:0/16:1(9Z))</v>
          </cell>
        </row>
        <row r="6352">
          <cell r="A6352" t="str">
            <v>12dgr1819Z226n3_c</v>
          </cell>
          <cell r="B6352" t="str">
            <v>12dgr1819Z226n3</v>
          </cell>
          <cell r="C6352" t="str">
            <v>1,2-Diacyl-sn-glycerol(18:1(9Z)/22:6(4Z,7Z,10Z,13Z,16Z,19Z))</v>
          </cell>
        </row>
        <row r="6353">
          <cell r="A6353" t="str">
            <v>12dgr226n3140_c</v>
          </cell>
          <cell r="B6353" t="str">
            <v>12dgr226n3140</v>
          </cell>
          <cell r="C6353" t="str">
            <v>1,2-Diacyl-sn-glycerol(22:6(4Z,7Z,10Z,13Z,16Z,19Z)/14:0)</v>
          </cell>
        </row>
        <row r="6354">
          <cell r="A6354" t="str">
            <v>12dgr226n3205n3_c</v>
          </cell>
          <cell r="B6354" t="str">
            <v>12dgr226n3205n3</v>
          </cell>
          <cell r="C6354" t="str">
            <v>1,2-Diacyl-sn-glycerol(22:6(4Z,7Z,10Z,13Z,16Z,19Z)/20:5(5Z,8Z,11Z,14Z,17Z))</v>
          </cell>
        </row>
        <row r="6355">
          <cell r="A6355" t="str">
            <v>12dgr226n3_c</v>
          </cell>
          <cell r="B6355" t="str">
            <v>12dgr226n3</v>
          </cell>
          <cell r="C6355" t="str">
            <v>1,2-Diacyl-sn-glycerol(22:6(4Z,7Z,10Z,13Z,16Z,19Z)/22:6(4Z,7Z,10Z,13Z,16Z,19Z))</v>
          </cell>
        </row>
        <row r="6356">
          <cell r="A6356" t="str">
            <v>pc140205n3_c</v>
          </cell>
          <cell r="B6356" t="str">
            <v>pc140205n3</v>
          </cell>
          <cell r="C6356" t="str">
            <v>Phosphatidylcholine(14:0/20:5(5Z,8Z,11Z,14Z,17Z))</v>
          </cell>
        </row>
        <row r="6357">
          <cell r="A6357" t="str">
            <v>pc160140_c</v>
          </cell>
          <cell r="B6357" t="str">
            <v>pc160140</v>
          </cell>
          <cell r="C6357" t="str">
            <v>Phosphatidylcholine(16:0/14:0)</v>
          </cell>
        </row>
        <row r="6358">
          <cell r="A6358" t="str">
            <v>pc160205n3_c</v>
          </cell>
          <cell r="B6358" t="str">
            <v>pc160205n3</v>
          </cell>
          <cell r="C6358" t="str">
            <v>Phosphatidylcholine(16:0/20:5(5Z,8Z,11Z,14Z,17Z))</v>
          </cell>
        </row>
        <row r="6359">
          <cell r="A6359" t="str">
            <v>pc1619Z160_c</v>
          </cell>
          <cell r="B6359" t="str">
            <v>pc1619Z160</v>
          </cell>
          <cell r="C6359" t="str">
            <v>Phosphatidylcholine(16:1(9Z)/16:0)</v>
          </cell>
        </row>
        <row r="6360">
          <cell r="A6360" t="str">
            <v>pc1619Z226n3_c</v>
          </cell>
          <cell r="B6360" t="str">
            <v>pc1619Z226n3</v>
          </cell>
          <cell r="C6360" t="str">
            <v>Phosphatidylcholine(16:1(9Z)/22:6(4Z,7Z,10Z,13Z,16Z,19Z))</v>
          </cell>
        </row>
        <row r="6361">
          <cell r="A6361" t="str">
            <v>pc180_c</v>
          </cell>
          <cell r="B6361" t="str">
            <v>pc180</v>
          </cell>
          <cell r="C6361" t="str">
            <v>Phosphatidylcholine(18:0/18:0)</v>
          </cell>
        </row>
        <row r="6362">
          <cell r="A6362" t="str">
            <v>pc180205n3_c</v>
          </cell>
          <cell r="B6362" t="str">
            <v>pc180205n3</v>
          </cell>
          <cell r="C6362" t="str">
            <v>Phosphatidylcholine(18:0/20:5(5Z,8Z,11Z,14Z,17Z))</v>
          </cell>
        </row>
        <row r="6363">
          <cell r="A6363" t="str">
            <v>pc180226n3_c</v>
          </cell>
          <cell r="B6363" t="str">
            <v>pc180226n3</v>
          </cell>
          <cell r="C6363" t="str">
            <v>Phosphatidylcholine(18:0/22:6(4Z,7Z,10Z,13Z,16Z,19Z))</v>
          </cell>
        </row>
        <row r="6364">
          <cell r="A6364" t="str">
            <v>pc1819Z140_c</v>
          </cell>
          <cell r="B6364" t="str">
            <v>pc1819Z140</v>
          </cell>
          <cell r="C6364" t="str">
            <v>Phosphatidylcholine(18:1(9Z)/14:0)</v>
          </cell>
        </row>
        <row r="6365">
          <cell r="A6365" t="str">
            <v>pc1819Z1619Z_c</v>
          </cell>
          <cell r="B6365" t="str">
            <v>pc1819Z1619Z</v>
          </cell>
          <cell r="C6365" t="str">
            <v>Phosphatidylcholine(18:1(9Z)/16:1(9Z))</v>
          </cell>
        </row>
        <row r="6366">
          <cell r="A6366" t="str">
            <v>pc1819Z180_c</v>
          </cell>
          <cell r="B6366" t="str">
            <v>pc1819Z180</v>
          </cell>
          <cell r="C6366" t="str">
            <v>Phosphatidylcholine(18:1(9Z)/18:0)</v>
          </cell>
        </row>
        <row r="6367">
          <cell r="A6367" t="str">
            <v>pc181_9_c</v>
          </cell>
          <cell r="B6367" t="str">
            <v>pc181_9</v>
          </cell>
          <cell r="C6367" t="str">
            <v>Phosphatidylcholine(18:1(9Z)/18:1(9Z))</v>
          </cell>
        </row>
        <row r="6368">
          <cell r="A6368" t="str">
            <v>pc205n3140_c</v>
          </cell>
          <cell r="B6368" t="str">
            <v>pc205n3140</v>
          </cell>
          <cell r="C6368" t="str">
            <v>Phosphatidylcholine(20:5(5Z,8Z,11Z,14Z,17Z)/14:0)</v>
          </cell>
        </row>
        <row r="6369">
          <cell r="A6369" t="str">
            <v>pc205n3160_c</v>
          </cell>
          <cell r="B6369" t="str">
            <v>pc205n3160</v>
          </cell>
          <cell r="C6369" t="str">
            <v>Phosphatidylcholine(20:5(5Z,8Z,11Z,14Z,17Z)/16:0)</v>
          </cell>
        </row>
        <row r="6370">
          <cell r="A6370" t="str">
            <v>pc205n3180_c</v>
          </cell>
          <cell r="B6370" t="str">
            <v>pc205n3180</v>
          </cell>
          <cell r="C6370" t="str">
            <v>Phosphatidylcholine(20:5(5Z,8Z,11Z,14Z,17Z)/18:0)</v>
          </cell>
        </row>
        <row r="6371">
          <cell r="A6371" t="str">
            <v>pc226n3205n3_c</v>
          </cell>
          <cell r="B6371" t="str">
            <v>pc226n3205n3</v>
          </cell>
          <cell r="C6371" t="str">
            <v>Phosphatidylcholine(22:6(4Z,7Z,10Z,13Z,16Z,19Z)/20:5(5Z,8Z,11Z,14Z,17Z))</v>
          </cell>
        </row>
        <row r="6372">
          <cell r="A6372" t="str">
            <v>pc226n3_c</v>
          </cell>
          <cell r="B6372" t="str">
            <v>pc226n3</v>
          </cell>
          <cell r="C6372" t="str">
            <v>Phosphatidylcholine(22:6(4Z,7Z,10Z,13Z,16Z,19Z)/22:6(4Z,7Z,10Z,13Z,16Z,19Z))</v>
          </cell>
        </row>
        <row r="6373">
          <cell r="A6373" t="str">
            <v>pc140182n6_c</v>
          </cell>
          <cell r="B6373" t="str">
            <v>pc140182n6</v>
          </cell>
          <cell r="C6373" t="str">
            <v>Phosphatidylcholine(14:0/18:2(9Z,12Z))</v>
          </cell>
        </row>
        <row r="6374">
          <cell r="A6374" t="str">
            <v>pc182n6140_c</v>
          </cell>
          <cell r="B6374" t="str">
            <v>pc182n6140</v>
          </cell>
          <cell r="C6374" t="str">
            <v>Phosphatidylcholine(18:2(9Z,12Z)/14:0)</v>
          </cell>
        </row>
        <row r="6375">
          <cell r="A6375" t="str">
            <v>pc1819Z182n6_c</v>
          </cell>
          <cell r="B6375" t="str">
            <v>pc1819Z182n6</v>
          </cell>
          <cell r="C6375" t="str">
            <v>Phosphatidylcholine(18:1(9Z)/18:2(9Z,12Z))</v>
          </cell>
        </row>
        <row r="6376">
          <cell r="A6376" t="str">
            <v>pc182n6205n3_c</v>
          </cell>
          <cell r="B6376" t="str">
            <v>pc182n6205n3</v>
          </cell>
          <cell r="C6376" t="str">
            <v>Phosphatidylcholine(18:2(9Z,12Z)/20:5(5Z,8Z,11Z,14Z,17Z))</v>
          </cell>
        </row>
        <row r="6377">
          <cell r="A6377" t="str">
            <v>pc182n6226n3_c</v>
          </cell>
          <cell r="B6377" t="str">
            <v>pc182n6226n3</v>
          </cell>
          <cell r="C6377" t="str">
            <v>Phosphatidylcholine(18:2(9Z,12Z)/22:6(4Z,7Z,10Z,13Z,16Z,19Z))</v>
          </cell>
        </row>
        <row r="6378">
          <cell r="A6378" t="str">
            <v>pc226n3182n6_c</v>
          </cell>
          <cell r="B6378" t="str">
            <v>pc226n3182n6</v>
          </cell>
          <cell r="C6378" t="str">
            <v>Phosphatidylcholine(22:6(4Z,7Z,10Z,13Z,16Z,19Z)/18:2(9Z,12Z))</v>
          </cell>
        </row>
        <row r="6379">
          <cell r="A6379" t="str">
            <v>pc140183n6_c</v>
          </cell>
          <cell r="B6379" t="str">
            <v>pc140183n6</v>
          </cell>
          <cell r="C6379" t="str">
            <v>Phosphatidylcholine(14:0/18:3(6Z,9Z,12Z))</v>
          </cell>
        </row>
        <row r="6380">
          <cell r="A6380" t="str">
            <v>pc180183n6_c</v>
          </cell>
          <cell r="B6380" t="str">
            <v>pc180183n6</v>
          </cell>
          <cell r="C6380" t="str">
            <v>Phosphatidylcholine(18:0/18:3(6Z,9Z,12Z))</v>
          </cell>
        </row>
        <row r="6381">
          <cell r="A6381" t="str">
            <v>pc180183n3_c</v>
          </cell>
          <cell r="B6381" t="str">
            <v>pc180183n3</v>
          </cell>
          <cell r="C6381" t="str">
            <v>Phosphatidylcholine(18:0/18:3(9Z,12Z,15Z))</v>
          </cell>
        </row>
        <row r="6382">
          <cell r="A6382" t="str">
            <v>pc226n3183n3_c</v>
          </cell>
          <cell r="B6382" t="str">
            <v>pc226n3183n3</v>
          </cell>
          <cell r="C6382" t="str">
            <v>Phosphatidylcholine(22:6(4Z,7Z,10Z,13Z,16Z,19Z)/18:3(9Z,12Z,15Z))</v>
          </cell>
        </row>
        <row r="6383">
          <cell r="A6383" t="str">
            <v>pc160184n3_c</v>
          </cell>
          <cell r="B6383" t="str">
            <v>pc160184n3</v>
          </cell>
          <cell r="C6383" t="str">
            <v>Phosphatidylcholine(16:0/18:4(6Z,9Z,12Z,15Z))</v>
          </cell>
        </row>
        <row r="6384">
          <cell r="A6384" t="str">
            <v>hd691215ea_c</v>
          </cell>
          <cell r="B6384" t="str">
            <v>hd691215ea</v>
          </cell>
          <cell r="C6384" t="str">
            <v>(6Z,9Z,12Z,15Z)-hexadecatetraenoate (C16:4)</v>
          </cell>
        </row>
        <row r="6385">
          <cell r="A6385" t="str">
            <v>behen_c</v>
          </cell>
          <cell r="B6385" t="str">
            <v>behen</v>
          </cell>
          <cell r="C6385" t="str">
            <v>Docosanoate (C22:0)</v>
          </cell>
        </row>
        <row r="6386">
          <cell r="A6386" t="str">
            <v>3hdcscoa_c</v>
          </cell>
          <cell r="B6386" t="str">
            <v>3hdcscoa</v>
          </cell>
          <cell r="C6386" t="str">
            <v>3-hydroxydocosanoyl-CoA</v>
          </cell>
        </row>
        <row r="6387">
          <cell r="A6387" t="str">
            <v>3ottccoa_c</v>
          </cell>
          <cell r="B6387" t="str">
            <v>3ottccoa</v>
          </cell>
          <cell r="C6387" t="str">
            <v>3-oxo-tetracosanoyl-CoA</v>
          </cell>
        </row>
        <row r="6388">
          <cell r="A6388" t="str">
            <v>pc160203n3_c</v>
          </cell>
          <cell r="B6388" t="str">
            <v>pc160203n3</v>
          </cell>
          <cell r="C6388" t="str">
            <v>Phosphatidylcholine(16:0/20:4(8Z,11Z,14Z,17Z))</v>
          </cell>
        </row>
        <row r="6389">
          <cell r="A6389" t="str">
            <v>pc1619Z203n3_c</v>
          </cell>
          <cell r="B6389" t="str">
            <v>pc1619Z203n3</v>
          </cell>
          <cell r="C6389" t="str">
            <v>Phosphatidylcholine(16:1(9Z)/20:4(8Z,11Z,14Z,17Z))</v>
          </cell>
        </row>
        <row r="6390">
          <cell r="A6390" t="str">
            <v>pc1819Z203n3_c</v>
          </cell>
          <cell r="B6390" t="str">
            <v>pc1819Z203n3</v>
          </cell>
          <cell r="C6390" t="str">
            <v>Phosphatidylcholine(18:1(9Z)/20:4(8Z,11Z,14Z,17Z))</v>
          </cell>
        </row>
        <row r="6391">
          <cell r="A6391" t="str">
            <v>pc1819Z204n6_c</v>
          </cell>
          <cell r="B6391" t="str">
            <v>pc1819Z204n6</v>
          </cell>
          <cell r="C6391" t="str">
            <v>Phosphatidylcholine(18:1(9Z)/20:4(5Z,8Z,11Z,14Z))</v>
          </cell>
        </row>
        <row r="6392">
          <cell r="A6392" t="str">
            <v>pc226n3204n6_c</v>
          </cell>
          <cell r="B6392" t="str">
            <v>pc226n3204n6</v>
          </cell>
          <cell r="C6392" t="str">
            <v>Phosphatidylcholine(22:6(4Z,7Z,10Z,13Z,16Z,19Z)/20:4(5Z,8Z,11Z,14Z))</v>
          </cell>
        </row>
        <row r="6393">
          <cell r="A6393" t="str">
            <v>pc140225n3_c</v>
          </cell>
          <cell r="B6393" t="str">
            <v>pc140225n3</v>
          </cell>
          <cell r="C6393" t="str">
            <v>Phosphatidylcholine(14:0/22:5(7Z,10Z,13Z,16Z,19Z))</v>
          </cell>
        </row>
        <row r="6394">
          <cell r="A6394" t="str">
            <v>pc180225n3_c</v>
          </cell>
          <cell r="B6394" t="str">
            <v>pc180225n3</v>
          </cell>
          <cell r="C6394" t="str">
            <v>Phosphatidylcholine(18:0/22:5(7Z,10Z,13Z,16Z,19Z))</v>
          </cell>
        </row>
        <row r="6395">
          <cell r="A6395" t="str">
            <v>pc226n3225n3_c</v>
          </cell>
          <cell r="B6395" t="str">
            <v>pc226n3225n3</v>
          </cell>
          <cell r="C6395" t="str">
            <v>Phosphatidylcholine(22:6(4Z,7Z,10Z,13Z,16Z,19Z)/22:5(7Z,10Z,13Z,16Z,19Z))</v>
          </cell>
        </row>
        <row r="6396">
          <cell r="A6396" t="str">
            <v>pa182n6205n3_c</v>
          </cell>
          <cell r="B6396" t="str">
            <v>pa182n6205n3</v>
          </cell>
          <cell r="C6396" t="str">
            <v>1-9,12-octadecadienoyl-2-5,8,11,14,17-eicosapentaenoyl-sn-glycerol-3-phosphate</v>
          </cell>
        </row>
        <row r="6397">
          <cell r="A6397" t="str">
            <v>pa205n3182n6_c</v>
          </cell>
          <cell r="B6397" t="str">
            <v>pa205n3182n6</v>
          </cell>
          <cell r="C6397" t="str">
            <v>1-5,8,11,14,17-eicosapentaenoyl-2-9,12-octadecadienoyl-sn-glycerol-3-phosphate</v>
          </cell>
        </row>
        <row r="6398">
          <cell r="A6398" t="str">
            <v>pa182n6183n6_c</v>
          </cell>
          <cell r="B6398" t="str">
            <v>pa182n6183n6</v>
          </cell>
          <cell r="C6398" t="str">
            <v>1-9,12-octadecadienoyl-2-6,9,12-octadecatrienoyl-sn-glycerol-3-phosphate</v>
          </cell>
        </row>
        <row r="6399">
          <cell r="A6399" t="str">
            <v>pa182n6183n3_c</v>
          </cell>
          <cell r="B6399" t="str">
            <v>pa182n6183n3</v>
          </cell>
          <cell r="C6399" t="str">
            <v>1-9,12-octadecadienoyl-2-9,12,15-octadecatrienoyl-sn-glycerol-3-phosphate</v>
          </cell>
        </row>
        <row r="6400">
          <cell r="A6400" t="str">
            <v>pa205n3183n3_c</v>
          </cell>
          <cell r="B6400" t="str">
            <v>pa205n3183n3</v>
          </cell>
          <cell r="C6400" t="str">
            <v>1-5,8,11,14,17-eicosapentaenoyl-2-9,12,15-octadecatrienoyl-sn-glycerol-3-phosphate</v>
          </cell>
        </row>
        <row r="6401">
          <cell r="A6401" t="str">
            <v>pa226n3183n3_c</v>
          </cell>
          <cell r="B6401" t="str">
            <v>pa226n3183n3</v>
          </cell>
          <cell r="C6401" t="str">
            <v>1-4,7,10,13,16,19-docosahexaenoyl-2-9,12,15-octadecatrienoyl-sn-glycerol-3-phosphate</v>
          </cell>
        </row>
        <row r="6402">
          <cell r="A6402" t="str">
            <v>pa1819Z204n6_c</v>
          </cell>
          <cell r="B6402" t="str">
            <v>pa1819Z204n6</v>
          </cell>
          <cell r="C6402" t="str">
            <v>1-9-octadecenoyl-2-5,8,11,14-eicosatetraenoyl-sn-glycerol-3-phosphate</v>
          </cell>
        </row>
        <row r="6403">
          <cell r="A6403" t="str">
            <v>12dgr1619Z182n6_c</v>
          </cell>
          <cell r="B6403" t="str">
            <v>12dgr1619Z182n6</v>
          </cell>
          <cell r="C6403" t="str">
            <v>1,2-Diacyl-sn-glycerol(16:1(9Z)/18:2(9Z,12Z))</v>
          </cell>
        </row>
        <row r="6404">
          <cell r="A6404" t="str">
            <v>12dgr1819Z182n6_c</v>
          </cell>
          <cell r="B6404" t="str">
            <v>12dgr1819Z182n6</v>
          </cell>
          <cell r="C6404" t="str">
            <v>1,2-Diacyl-sn-glycerol(18:1(9Z)/18:2(9Z,12Z))</v>
          </cell>
        </row>
        <row r="6405">
          <cell r="A6405" t="str">
            <v>12dgr182n6226n3_c</v>
          </cell>
          <cell r="B6405" t="str">
            <v>12dgr182n6226n3</v>
          </cell>
          <cell r="C6405" t="str">
            <v>1,2-Diacyl-sn-glycerol(18:2(9Z,12Z)/22:6(4Z,7Z,10Z,13Z,16Z,19Z))</v>
          </cell>
        </row>
        <row r="6406">
          <cell r="A6406" t="str">
            <v>12dgr180183n6_c</v>
          </cell>
          <cell r="B6406" t="str">
            <v>12dgr180183n6</v>
          </cell>
          <cell r="C6406" t="str">
            <v>1,2-Diacyl-sn-glycerol(18:0/18:3(6Z,9Z,12Z))</v>
          </cell>
        </row>
        <row r="6407">
          <cell r="A6407" t="str">
            <v>12dgr1819Z183n3_c</v>
          </cell>
          <cell r="B6407" t="str">
            <v>12dgr1819Z183n3</v>
          </cell>
          <cell r="C6407" t="str">
            <v>1,2-Diacyl-sn-glycerol(18:1(9Z)/18:3(9Z,12Z,15Z))</v>
          </cell>
        </row>
        <row r="6408">
          <cell r="A6408" t="str">
            <v>12dgr226n3183n3_c</v>
          </cell>
          <cell r="B6408" t="str">
            <v>12dgr226n3183n3</v>
          </cell>
          <cell r="C6408" t="str">
            <v>1,2-Diacyl-sn-glycerol(22:6(4Z,7Z,10Z,13Z,16Z,19Z)/18:3(9Z,12Z,15Z))</v>
          </cell>
        </row>
        <row r="6409">
          <cell r="A6409" t="str">
            <v>12dgr140204n6_c</v>
          </cell>
          <cell r="B6409" t="str">
            <v>12dgr140204n6</v>
          </cell>
          <cell r="C6409" t="str">
            <v>1,2-Diacyl-sn-glycerol(14:0/20:4(5Z,8Z,11Z,14Z))</v>
          </cell>
        </row>
        <row r="6410">
          <cell r="A6410" t="str">
            <v>12dgr182n6204n6_c</v>
          </cell>
          <cell r="B6410" t="str">
            <v>12dgr182n6204n6</v>
          </cell>
          <cell r="C6410" t="str">
            <v>1,2-Diacyl-sn-glycerol(18:2(9Z,12Z)/20:4(5Z,8Z,11Z,14Z))</v>
          </cell>
        </row>
        <row r="6411">
          <cell r="A6411" t="str">
            <v>12dgr1819Z204n6_c</v>
          </cell>
          <cell r="B6411" t="str">
            <v>12dgr1819Z204n6</v>
          </cell>
          <cell r="C6411" t="str">
            <v>1,2-Diacyl-sn-glycerol(18:1(9Z)/20:4(5Z,8Z,11Z,14Z))</v>
          </cell>
        </row>
        <row r="6412">
          <cell r="A6412" t="str">
            <v>12dgr205n3204n6_c</v>
          </cell>
          <cell r="B6412" t="str">
            <v>12dgr205n3204n6</v>
          </cell>
          <cell r="C6412" t="str">
            <v>1,2-Diacyl-sn-glycerol(20:5(5Z,8Z,11Z,14Z,17Z)/20:4(5Z,8Z,11Z,14Z))</v>
          </cell>
        </row>
        <row r="6413">
          <cell r="A6413" t="str">
            <v>cdp12dgr1619Z205n3_c</v>
          </cell>
          <cell r="B6413" t="str">
            <v>cdp12dgr1619Z205n3</v>
          </cell>
          <cell r="C6413" t="str">
            <v>CDP-1,2-diacyl-sn-glycerol(16:1(9Z)/20:5(5Z,8Z,11Z,14Z,17Z))</v>
          </cell>
        </row>
        <row r="6414">
          <cell r="A6414" t="str">
            <v>cdp12dgr205n3160_c</v>
          </cell>
          <cell r="B6414" t="str">
            <v>cdp12dgr205n3160</v>
          </cell>
          <cell r="C6414" t="str">
            <v>CDP-1,2-diacyl-sn-glycerol(20:5(5Z,8Z,11Z,14Z,17Z)/16:0)</v>
          </cell>
        </row>
        <row r="6415">
          <cell r="A6415" t="str">
            <v>cdp12dgr205n3_c</v>
          </cell>
          <cell r="B6415" t="str">
            <v>cdp12dgr205n3</v>
          </cell>
          <cell r="C6415" t="str">
            <v>CDP-1,2-diacyl-sn-glycerol(20:5(5Z,8Z,11Z,14Z,17Z)/20:5(5Z,8Z,11Z,14Z,17Z))</v>
          </cell>
        </row>
        <row r="6416">
          <cell r="A6416" t="str">
            <v>cdp12dgr1619Z182n6_c</v>
          </cell>
          <cell r="B6416" t="str">
            <v>cdp12dgr1619Z182n6</v>
          </cell>
          <cell r="C6416" t="str">
            <v>CDP-1,2-diacyl-sn-glycerol(16:1(9Z)/18:2(9Z,12Z))</v>
          </cell>
        </row>
        <row r="6417">
          <cell r="A6417" t="str">
            <v>cdp12dgr182n6160_c</v>
          </cell>
          <cell r="B6417" t="str">
            <v>cdp12dgr182n6160</v>
          </cell>
          <cell r="C6417" t="str">
            <v>CDP-1,2-diacyl-sn-glycerol(18:2(9Z,12Z)/16:0)</v>
          </cell>
        </row>
        <row r="6418">
          <cell r="A6418" t="str">
            <v>pe140160_c</v>
          </cell>
          <cell r="B6418" t="str">
            <v>pe140160</v>
          </cell>
          <cell r="C6418" t="str">
            <v>Phosphatidylethanolamine(14:0/16:0)</v>
          </cell>
        </row>
        <row r="6419">
          <cell r="A6419" t="str">
            <v>pe1401819Z_c</v>
          </cell>
          <cell r="B6419" t="str">
            <v>pe1401819Z</v>
          </cell>
          <cell r="C6419" t="str">
            <v>Phosphatidylethanolamine(14:0/18:1(9Z))</v>
          </cell>
        </row>
        <row r="6420">
          <cell r="A6420" t="str">
            <v>pe160140_c</v>
          </cell>
          <cell r="B6420" t="str">
            <v>pe160140</v>
          </cell>
          <cell r="C6420" t="str">
            <v>Phosphatidylethanolamine(16:0/14:0)</v>
          </cell>
        </row>
        <row r="6421">
          <cell r="A6421" t="str">
            <v>pe1619Z205n3_c</v>
          </cell>
          <cell r="B6421" t="str">
            <v>pe1619Z205n3</v>
          </cell>
          <cell r="C6421" t="str">
            <v>Phosphatidylethanolamine(16:1(9Z)/20:5(5Z,8Z,11Z,14Z,17Z))</v>
          </cell>
        </row>
        <row r="6422">
          <cell r="A6422" t="str">
            <v>pe180140_c</v>
          </cell>
          <cell r="B6422" t="str">
            <v>pe180140</v>
          </cell>
          <cell r="C6422" t="str">
            <v>Phosphatidylethanolamine(18:0/14:0)</v>
          </cell>
        </row>
        <row r="6423">
          <cell r="A6423" t="str">
            <v>pe180226n3_c</v>
          </cell>
          <cell r="B6423" t="str">
            <v>pe180226n3</v>
          </cell>
          <cell r="C6423" t="str">
            <v>Phosphatidylethanolamine(18:0/22:6(4Z,7Z,10Z,13Z,16Z,19Z))</v>
          </cell>
        </row>
        <row r="6424">
          <cell r="A6424" t="str">
            <v>pe1819Z180_c</v>
          </cell>
          <cell r="B6424" t="str">
            <v>pe1819Z180</v>
          </cell>
          <cell r="C6424" t="str">
            <v>Phosphatidylethanolamine(18:1(9Z)/18:0)</v>
          </cell>
        </row>
        <row r="6425">
          <cell r="A6425" t="str">
            <v>pe181_9_c</v>
          </cell>
          <cell r="B6425" t="str">
            <v>pe181_9</v>
          </cell>
          <cell r="C6425" t="str">
            <v>Phosphatidylethanolamine(18:1(9Z)/18:1(9Z))</v>
          </cell>
        </row>
        <row r="6426">
          <cell r="A6426" t="str">
            <v>pe205n3180_c</v>
          </cell>
          <cell r="B6426" t="str">
            <v>pe205n3180</v>
          </cell>
          <cell r="C6426" t="str">
            <v>Phosphatidylethanolamine(20:5(5Z,8Z,11Z,14Z,17Z)/18:0)</v>
          </cell>
        </row>
        <row r="6427">
          <cell r="A6427" t="str">
            <v>pe226n3180_c</v>
          </cell>
          <cell r="B6427" t="str">
            <v>pe226n3180</v>
          </cell>
          <cell r="C6427" t="str">
            <v>Phosphatidylethanolamine(22:6(4Z,7Z,10Z,13Z,16Z,19Z)/18:0)</v>
          </cell>
        </row>
        <row r="6428">
          <cell r="A6428" t="str">
            <v>pe1619Z182n6_c</v>
          </cell>
          <cell r="B6428" t="str">
            <v>pe1619Z182n6</v>
          </cell>
          <cell r="C6428" t="str">
            <v>Phosphatidylethanolamine(16:1(9Z)/18:2(9Z,12Z))</v>
          </cell>
        </row>
        <row r="6429">
          <cell r="A6429" t="str">
            <v>pe180182n6_c</v>
          </cell>
          <cell r="B6429" t="str">
            <v>pe180182n6</v>
          </cell>
          <cell r="C6429" t="str">
            <v>Phosphatidylethanolamine(18:0/18:2(9Z,12Z))</v>
          </cell>
        </row>
        <row r="6430">
          <cell r="A6430" t="str">
            <v>pe182n6160_c</v>
          </cell>
          <cell r="B6430" t="str">
            <v>pe182n6160</v>
          </cell>
          <cell r="C6430" t="str">
            <v>Phosphatidylethanolamine(18:2(9Z,12Z)/16:0)</v>
          </cell>
        </row>
        <row r="6431">
          <cell r="A6431" t="str">
            <v>pe182n6226n3_c</v>
          </cell>
          <cell r="B6431" t="str">
            <v>pe182n6226n3</v>
          </cell>
          <cell r="C6431" t="str">
            <v>Phosphatidylethanolamine(18:2(9Z,12Z)/22:6(4Z,7Z,10Z,13Z,16Z,19Z))</v>
          </cell>
        </row>
        <row r="6432">
          <cell r="A6432" t="str">
            <v>pe205n3182n6_c</v>
          </cell>
          <cell r="B6432" t="str">
            <v>pe205n3182n6</v>
          </cell>
          <cell r="C6432" t="str">
            <v>Phosphatidylethanolamine(20:5(5Z,8Z,11Z,14Z,17Z)/18:2(9Z,12Z))</v>
          </cell>
        </row>
        <row r="6433">
          <cell r="A6433" t="str">
            <v>pe160183n6_c</v>
          </cell>
          <cell r="B6433" t="str">
            <v>pe160183n6</v>
          </cell>
          <cell r="C6433" t="str">
            <v>Phosphatidylethanolamine(16:0/18:3(6Z,9Z,12Z))</v>
          </cell>
        </row>
        <row r="6434">
          <cell r="A6434" t="str">
            <v>pe180183n6_c</v>
          </cell>
          <cell r="B6434" t="str">
            <v>pe180183n6</v>
          </cell>
          <cell r="C6434" t="str">
            <v>Phosphatidylethanolamine(18:0/18:3(6Z,9Z,12Z))</v>
          </cell>
        </row>
        <row r="6435">
          <cell r="A6435" t="str">
            <v>pe1819Z183n6_c</v>
          </cell>
          <cell r="B6435" t="str">
            <v>pe1819Z183n6</v>
          </cell>
          <cell r="C6435" t="str">
            <v>Phosphatidylethanolamine(18:1(9Z)/18:3(6Z,9Z,12Z))</v>
          </cell>
        </row>
        <row r="6436">
          <cell r="A6436" t="str">
            <v>pe140183n3_c</v>
          </cell>
          <cell r="B6436" t="str">
            <v>pe140183n3</v>
          </cell>
          <cell r="C6436" t="str">
            <v>Phosphatidylethanolamine(14:0/18:3(9Z,12Z,15Z))</v>
          </cell>
        </row>
        <row r="6437">
          <cell r="A6437" t="str">
            <v>pail160205n3_c</v>
          </cell>
          <cell r="B6437" t="str">
            <v>pail160205n3</v>
          </cell>
          <cell r="C6437" t="str">
            <v>Phosphatidylinositol(16:0/20:5(5Z,8Z,11Z,14Z,17Z))</v>
          </cell>
        </row>
        <row r="6438">
          <cell r="A6438" t="str">
            <v>pail205n3160_c</v>
          </cell>
          <cell r="B6438" t="str">
            <v>pail205n3160</v>
          </cell>
          <cell r="C6438" t="str">
            <v>Phosphatidylinositol(20:5(5Z,8Z,11Z,14Z,17Z)/16:0)</v>
          </cell>
        </row>
        <row r="6439">
          <cell r="A6439" t="str">
            <v>pail205n3_c</v>
          </cell>
          <cell r="B6439" t="str">
            <v>pail205n3</v>
          </cell>
          <cell r="C6439" t="str">
            <v>Phosphatidylinositol(20:5(5Z,8Z,11Z,14Z,17Z)/20:5(5Z,8Z,11Z,14Z,17Z))</v>
          </cell>
        </row>
        <row r="6440">
          <cell r="A6440" t="str">
            <v>pail160182n6_c</v>
          </cell>
          <cell r="B6440" t="str">
            <v>pail160182n6</v>
          </cell>
          <cell r="C6440" t="str">
            <v>Phosphatidylinositol(16:0/18:2(9Z,12Z))</v>
          </cell>
        </row>
        <row r="6441">
          <cell r="A6441" t="str">
            <v>pail4p160_c</v>
          </cell>
          <cell r="B6441" t="str">
            <v>pail4p160</v>
          </cell>
          <cell r="C6441" t="str">
            <v>1-Phosphatidyl-1D-myo-inositol 4-phosphate(16:0/16:0)</v>
          </cell>
        </row>
        <row r="6442">
          <cell r="A6442" t="str">
            <v>pail4p205n3160_c</v>
          </cell>
          <cell r="B6442" t="str">
            <v>pail4p205n3160</v>
          </cell>
          <cell r="C6442" t="str">
            <v>1-Phosphatidyl-1D-myo-inositol 4-phosphate(20:5(5Z,8Z,11Z,14Z,17Z)/16:0)</v>
          </cell>
        </row>
        <row r="6443">
          <cell r="A6443" t="str">
            <v>pail4p205n31619Z_c</v>
          </cell>
          <cell r="B6443" t="str">
            <v>pail4p205n31619Z</v>
          </cell>
          <cell r="C6443" t="str">
            <v>1-Phosphatidyl-1D-myo-inositol 4-phosphate(20:5(5Z,8Z,11Z,14Z,17Z)/16:1(9Z))</v>
          </cell>
        </row>
        <row r="6444">
          <cell r="A6444" t="str">
            <v>pail4p160182n6_c</v>
          </cell>
          <cell r="B6444" t="str">
            <v>pail4p160182n6</v>
          </cell>
          <cell r="C6444" t="str">
            <v>1-Phosphatidyl-1D-myo-inositol 4-phosphate(16:0/18:2(9Z,12Z))</v>
          </cell>
        </row>
        <row r="6445">
          <cell r="A6445" t="str">
            <v>pail4p205n3182n6_c</v>
          </cell>
          <cell r="B6445" t="str">
            <v>pail4p205n3182n6</v>
          </cell>
          <cell r="C6445" t="str">
            <v>1-Phosphatidyl-1D-myo-inositol 4-phosphate(20:5(5Z,8Z,11Z,14Z,17Z)/18:2(9Z,12Z))</v>
          </cell>
        </row>
        <row r="6446">
          <cell r="A6446" t="str">
            <v>pail45p161_c</v>
          </cell>
          <cell r="B6446" t="str">
            <v>pail45p161</v>
          </cell>
          <cell r="C6446" t="str">
            <v>1-Phosphatidyl-1D-myo-inositol 4,5-bisphosphate(16:1(9Z)/16:1(9Z))</v>
          </cell>
        </row>
        <row r="6447">
          <cell r="A6447" t="str">
            <v>pail45p1619Z182n6_c</v>
          </cell>
          <cell r="B6447" t="str">
            <v>pail45p1619Z182n6</v>
          </cell>
          <cell r="C6447" t="str">
            <v>1-Phosphatidyl-1D-myo-inositol 4,5-bisphosphate(16:1(9Z)/18:2(9Z,12Z))</v>
          </cell>
        </row>
        <row r="6448">
          <cell r="A6448" t="str">
            <v>pail45p182n6160_c</v>
          </cell>
          <cell r="B6448" t="str">
            <v>pail45p182n6160</v>
          </cell>
          <cell r="C6448" t="str">
            <v>1-Phosphatidyl-1D-myo-inositol 4,5-bisphosphate(18:2(9Z,12Z)/16:0)</v>
          </cell>
        </row>
        <row r="6449">
          <cell r="A6449" t="str">
            <v>pail45p182_9_12_c</v>
          </cell>
          <cell r="B6449" t="str">
            <v>pail45p182_9_12</v>
          </cell>
          <cell r="C6449" t="str">
            <v>1-Phosphatidyl-1D-myo-inositol 4,5-bisphosphate(18:2(9Z,12Z)/18:2(9Z,12Z))</v>
          </cell>
        </row>
        <row r="6450">
          <cell r="A6450" t="str">
            <v>pail45p205n3182n6_c</v>
          </cell>
          <cell r="B6450" t="str">
            <v>pail45p205n3182n6</v>
          </cell>
          <cell r="C6450" t="str">
            <v>1-Phosphatidyl-1D-myo-inositol 4,5-bisphosphate(20:5(5Z,8Z,11Z,14Z,17Z)/18:2(9Z,12Z))</v>
          </cell>
        </row>
        <row r="6451">
          <cell r="A6451" t="str">
            <v>pail3p1601619Z_c</v>
          </cell>
          <cell r="B6451" t="str">
            <v>pail3p1601619Z</v>
          </cell>
          <cell r="C6451" t="str">
            <v>1-Phosphatidyl-1D-myo-inositol 3-phosphate(16:0/16:1(9Z))</v>
          </cell>
        </row>
        <row r="6452">
          <cell r="A6452" t="str">
            <v>pail3p205n3_c</v>
          </cell>
          <cell r="B6452" t="str">
            <v>pail3p205n3</v>
          </cell>
          <cell r="C6452" t="str">
            <v>1-Phosphatidyl-1D-myo-inositol 3-phosphate(20:5(5Z,8Z,11Z,14Z,17Z)/20:5(5Z,8Z,11Z,14Z,17Z))</v>
          </cell>
        </row>
        <row r="6453">
          <cell r="A6453" t="str">
            <v>pail3p160182n6_c</v>
          </cell>
          <cell r="B6453" t="str">
            <v>pail3p160182n6</v>
          </cell>
          <cell r="C6453" t="str">
            <v>1-Phosphatidyl-1D-myo-inositol 3-phosphate(16:0/18:2(9Z,12Z))</v>
          </cell>
        </row>
        <row r="6454">
          <cell r="A6454" t="str">
            <v>1agpe161_c</v>
          </cell>
          <cell r="B6454" t="str">
            <v>1agpe161</v>
          </cell>
          <cell r="C6454" t="str">
            <v>1-Acyl-sn-glycero-3-phosphoethanolamine (n-C16:1)</v>
          </cell>
        </row>
        <row r="6455">
          <cell r="A6455" t="str">
            <v>1agpe205_c</v>
          </cell>
          <cell r="B6455" t="str">
            <v>1agpe205</v>
          </cell>
          <cell r="C6455" t="str">
            <v>1-20:5(5Z,8Z,11Z,14Z,17Z)-2-lysophosphatidylethanolamine</v>
          </cell>
        </row>
        <row r="6456">
          <cell r="A6456" t="str">
            <v>tag1619Z204n6204n6_c</v>
          </cell>
          <cell r="B6456" t="str">
            <v>tag1619Z204n6204n6</v>
          </cell>
          <cell r="C6456" t="str">
            <v>Triacylglycerol (16:1(9Z)/20:4(5Z,8Z,11Z,14Z)/20:4(5Z,8Z,11Z,14Z))</v>
          </cell>
        </row>
        <row r="6457">
          <cell r="A6457" t="str">
            <v>tag140204n61619Z_c</v>
          </cell>
          <cell r="B6457" t="str">
            <v>tag140204n61619Z</v>
          </cell>
          <cell r="C6457" t="str">
            <v>Triacylglycerol (14:0/20:4(5Z,8Z,11Z,14Z)/16:1(9Z))</v>
          </cell>
        </row>
        <row r="6458">
          <cell r="A6458" t="str">
            <v>tag1819Z1619Z1819Z_c</v>
          </cell>
          <cell r="B6458" t="str">
            <v>tag1819Z1619Z1819Z</v>
          </cell>
          <cell r="C6458" t="str">
            <v>Triacylglycerol (18:1(9Z)/16:1(9Z)/18:1(9Z))</v>
          </cell>
        </row>
        <row r="6459">
          <cell r="A6459" t="str">
            <v>tag182n6205n3204n6_c</v>
          </cell>
          <cell r="B6459" t="str">
            <v>tag182n6205n3204n6</v>
          </cell>
          <cell r="C6459" t="str">
            <v>Triacylglycerol (18:2(9Z,12Z)/20:5(5Z,8Z,11Z,14Z,17Z)/20:4(5Z,8Z,11Z,14Z))</v>
          </cell>
        </row>
        <row r="6460">
          <cell r="A6460" t="str">
            <v>tag1401401619Z_c</v>
          </cell>
          <cell r="B6460" t="str">
            <v>tag1401401619Z</v>
          </cell>
          <cell r="C6460" t="str">
            <v>Triacylglycerol (14:0/14:0/16:1(9Z))</v>
          </cell>
        </row>
        <row r="6461">
          <cell r="A6461" t="str">
            <v>tag160140160_c</v>
          </cell>
          <cell r="B6461" t="str">
            <v>tag160140160</v>
          </cell>
          <cell r="C6461" t="str">
            <v>Triacylglycerol (16:0/14:0/16:0)</v>
          </cell>
        </row>
        <row r="6462">
          <cell r="A6462" t="str">
            <v>tag226n3205n3204n6_c</v>
          </cell>
          <cell r="B6462" t="str">
            <v>tag226n3205n3204n6</v>
          </cell>
          <cell r="C6462" t="str">
            <v>Triacylglycerol (22:6(4Z,7Z,10Z,13Z,16Z,19Z)/20:5(5Z,8Z,11Z,14Z,17Z)/20:4(5Z,8Z,11Z,14Z))</v>
          </cell>
        </row>
        <row r="6463">
          <cell r="A6463" t="str">
            <v>tag140205n3204n6_c</v>
          </cell>
          <cell r="B6463" t="str">
            <v>tag140205n3204n6</v>
          </cell>
          <cell r="C6463" t="str">
            <v>Triacylglycerol (14:0/20:5(5Z,8Z,11Z,14Z,17Z)/20:4(5Z,8Z,11Z,14Z))</v>
          </cell>
        </row>
        <row r="6464">
          <cell r="A6464" t="str">
            <v>tag140205n3160_c</v>
          </cell>
          <cell r="B6464" t="str">
            <v>tag140205n3160</v>
          </cell>
          <cell r="C6464" t="str">
            <v>Triacylglycerol (14:0/20:5(5Z,8Z,11Z,14Z,17Z)/16:0)</v>
          </cell>
        </row>
        <row r="6465">
          <cell r="A6465" t="str">
            <v>tag140205n3205n3_c</v>
          </cell>
          <cell r="B6465" t="str">
            <v>tag140205n3205n3</v>
          </cell>
          <cell r="C6465" t="str">
            <v>Triacylglycerol (14:0/20:5(5Z,8Z,11Z,14Z,17Z)/20:5(5Z,8Z,11Z,14Z,17Z))</v>
          </cell>
        </row>
        <row r="6466">
          <cell r="A6466" t="str">
            <v>tag1819Z205n3205n3_c</v>
          </cell>
          <cell r="B6466" t="str">
            <v>tag1819Z205n3205n3</v>
          </cell>
          <cell r="C6466" t="str">
            <v>Triacylglycerol (18:1(9Z)/20:5(5Z,8Z,11Z,14Z,17Z)/20:5(5Z,8Z,11Z,14Z,17Z))</v>
          </cell>
        </row>
        <row r="6467">
          <cell r="A6467" t="str">
            <v>tag205n3205n3205n3_c</v>
          </cell>
          <cell r="B6467" t="str">
            <v>tag205n3205n3205n3</v>
          </cell>
          <cell r="C6467" t="str">
            <v>Triacylglycerol (20:5(5Z,8Z,11Z,14Z,17Z)/20:5(5Z,8Z,11Z,14Z,17Z)/20:5(5Z,8Z,11Z,14Z,17Z))</v>
          </cell>
        </row>
        <row r="6468">
          <cell r="A6468" t="str">
            <v>mag1619Z_c</v>
          </cell>
          <cell r="B6468" t="str">
            <v>mag1619Z</v>
          </cell>
          <cell r="C6468" t="str">
            <v>1-acylglycerol (16:1(9Z))</v>
          </cell>
        </row>
        <row r="6469">
          <cell r="A6469" t="str">
            <v>mag205n3_c</v>
          </cell>
          <cell r="B6469" t="str">
            <v>mag205n3</v>
          </cell>
          <cell r="C6469" t="str">
            <v>1-acylglycerol (20:5(5Z,8Z,11Z,14Z,17Z))</v>
          </cell>
        </row>
        <row r="6470">
          <cell r="A6470" t="str">
            <v>1eicos58111417eg3p_h</v>
          </cell>
          <cell r="B6470" t="str">
            <v>1eicos58111417eg3p</v>
          </cell>
          <cell r="C6470" t="str">
            <v>1-(5Z,8Z,11Z,14Z,17Z)-Eicosapentaenoyl-sn-glycerol-3-phosphate</v>
          </cell>
        </row>
        <row r="6471">
          <cell r="A6471" t="str">
            <v>pa1401619Z_h</v>
          </cell>
          <cell r="B6471" t="str">
            <v>pa1401619Z</v>
          </cell>
          <cell r="C6471" t="str">
            <v>1-tetradecanoyl-2-9-hexadecenoyl-sn-glycerol-3-phosphate</v>
          </cell>
        </row>
        <row r="6472">
          <cell r="A6472" t="str">
            <v>pa1619Z160_h</v>
          </cell>
          <cell r="B6472" t="str">
            <v>pa1619Z160</v>
          </cell>
          <cell r="C6472" t="str">
            <v>1-9-Hexadecenoyl-2-Hexadecanoyl-sn-glycerol-3-phosphate</v>
          </cell>
        </row>
        <row r="6473">
          <cell r="A6473" t="str">
            <v>pa205n3160_h</v>
          </cell>
          <cell r="B6473" t="str">
            <v>pa205n3160</v>
          </cell>
          <cell r="C6473" t="str">
            <v>1-5,8,11,14,17-eicosapentaenoyl-2-hexadecanoyl-sn-glycerol-3-phosphate</v>
          </cell>
        </row>
        <row r="6474">
          <cell r="A6474" t="str">
            <v>12dgr140160_h</v>
          </cell>
          <cell r="B6474" t="str">
            <v>12dgr140160</v>
          </cell>
          <cell r="C6474" t="str">
            <v>1,2-Diacyl-sn-glycerol(14:0/16:0)</v>
          </cell>
        </row>
        <row r="6475">
          <cell r="A6475" t="str">
            <v>12dgr1401619Z_h</v>
          </cell>
          <cell r="B6475" t="str">
            <v>12dgr1401619Z</v>
          </cell>
          <cell r="C6475" t="str">
            <v>1,2-Diacyl-sn-glycerol(14:0/16:1(9Z))</v>
          </cell>
        </row>
        <row r="6476">
          <cell r="A6476" t="str">
            <v>mgdg1401619Z_h</v>
          </cell>
          <cell r="B6476" t="str">
            <v>mgdg1401619Z</v>
          </cell>
          <cell r="C6476" t="str">
            <v>1,2-Diacyl-3-O-galactosyl-sn-glycerol(14:0/16:1(9Z))</v>
          </cell>
        </row>
        <row r="6477">
          <cell r="A6477" t="str">
            <v>mgdg205n3160_h</v>
          </cell>
          <cell r="B6477" t="str">
            <v>mgdg205n3160</v>
          </cell>
          <cell r="C6477" t="str">
            <v>1,2-Diacyl-3-O-galactosyl-sn-glycerol(20:5(5Z,8Z,11Z,14Z,17Z)/16:0)</v>
          </cell>
        </row>
        <row r="6478">
          <cell r="A6478" t="str">
            <v>dgdg205n3160_h</v>
          </cell>
          <cell r="B6478" t="str">
            <v>dgdg205n3160</v>
          </cell>
          <cell r="C6478" t="str">
            <v>Digalactosyl-diacylglycerol(20:5(5Z,8Z,11Z,14Z,17Z)/16:0)</v>
          </cell>
        </row>
        <row r="6479">
          <cell r="A6479" t="str">
            <v>dgdg1819Z163n4_h</v>
          </cell>
          <cell r="B6479" t="str">
            <v>dgdg1819Z163n4</v>
          </cell>
          <cell r="C6479" t="str">
            <v>Digalactosyl-diacylglycerol(18:1(9Z)/16:3(6Z,9Z,12Z))</v>
          </cell>
        </row>
        <row r="6480">
          <cell r="A6480" t="str">
            <v>dgdg205n3163n4_h</v>
          </cell>
          <cell r="B6480" t="str">
            <v>dgdg205n3163n4</v>
          </cell>
          <cell r="C6480" t="str">
            <v>Digalactosyl-diacylglycerol(20:5(5Z,8Z,11Z,14Z,17Z)/16:3(6Z,9Z,12Z))</v>
          </cell>
        </row>
        <row r="6481">
          <cell r="A6481" t="str">
            <v>sqdg1619Z160_h</v>
          </cell>
          <cell r="B6481" t="str">
            <v>sqdg1619Z160</v>
          </cell>
          <cell r="C6481" t="str">
            <v>Sulfoquinovosyl diacylglycerol(16:1(9Z)/16:0)</v>
          </cell>
        </row>
        <row r="6482">
          <cell r="A6482" t="str">
            <v>cdp12dgr160_h</v>
          </cell>
          <cell r="B6482" t="str">
            <v>cdp12dgr160</v>
          </cell>
          <cell r="C6482" t="str">
            <v>CDP-1,2-diacyl-sn-glycerol(16:0/16:0)</v>
          </cell>
        </row>
        <row r="6483">
          <cell r="A6483" t="str">
            <v>cdp12dgr1619Z160_h</v>
          </cell>
          <cell r="B6483" t="str">
            <v>cdp12dgr1619Z160</v>
          </cell>
          <cell r="C6483" t="str">
            <v>CDP-1,2-diacyl-sn-glycerol(16:1(9Z)/16:0)</v>
          </cell>
        </row>
        <row r="6484">
          <cell r="A6484" t="str">
            <v>pgp205n3160_h</v>
          </cell>
          <cell r="B6484" t="str">
            <v>pgp205n3160</v>
          </cell>
          <cell r="C6484" t="str">
            <v>Phosphatidylglycerophosphate(20:5(5Z,8Z,11Z,14Z,17Z)/16:0)</v>
          </cell>
        </row>
        <row r="6485">
          <cell r="A6485" t="str">
            <v>pg205n3160_h</v>
          </cell>
          <cell r="B6485" t="str">
            <v>pg205n3160</v>
          </cell>
          <cell r="C6485" t="str">
            <v>Phosphatidylglycerol(20:5(5Z,8Z,11Z,14Z,17Z)/16:0)</v>
          </cell>
        </row>
        <row r="6486">
          <cell r="A6486" t="str">
            <v>12dgr205n3162n4_h</v>
          </cell>
          <cell r="B6486" t="str">
            <v>12dgr205n3162n4</v>
          </cell>
          <cell r="C6486" t="str">
            <v>1,2-Diacyl-sn-glycerol(20:5(5Z,8Z,11Z,14Z,17Z)/16:2(9Z,12Z))</v>
          </cell>
        </row>
        <row r="6487">
          <cell r="A6487" t="str">
            <v>12dgr1619Z163n4_h</v>
          </cell>
          <cell r="B6487" t="str">
            <v>12dgr1619Z163n4</v>
          </cell>
          <cell r="C6487" t="str">
            <v>1,2-Diacyl-sn-glycerol(16:1(9Z)/16:3(6Z,9Z,12Z))</v>
          </cell>
        </row>
        <row r="6488">
          <cell r="A6488" t="str">
            <v>12dgr1819Z163n4_h</v>
          </cell>
          <cell r="B6488" t="str">
            <v>12dgr1819Z163n4</v>
          </cell>
          <cell r="C6488" t="str">
            <v>1,2-Diacyl-sn-glycerol(18:1(9Z)/16:3(6Z,9Z,12Z))</v>
          </cell>
        </row>
        <row r="6489">
          <cell r="A6489" t="str">
            <v>tag1819Z1601619Z_h</v>
          </cell>
          <cell r="B6489" t="str">
            <v>tag1819Z1601619Z</v>
          </cell>
          <cell r="C6489" t="str">
            <v>Triacylglycerol (18:1(9Z)/16:0/16:1(9Z))</v>
          </cell>
        </row>
        <row r="6490">
          <cell r="A6490" t="str">
            <v>tag1619Z205n3163n4_c</v>
          </cell>
          <cell r="B6490" t="str">
            <v>tag1619Z205n3163n4</v>
          </cell>
          <cell r="C6490" t="str">
            <v>Triacylglycerol (16:1(9Z)/20:5(5Z,8Z,11Z,14Z,17Z)/16:3(6Z,9Z,12Z))</v>
          </cell>
        </row>
        <row r="6491">
          <cell r="A6491" t="str">
            <v>tag205n3205n3163n4_c</v>
          </cell>
          <cell r="B6491" t="str">
            <v>tag205n3205n3163n4</v>
          </cell>
          <cell r="C6491" t="str">
            <v>Triacylglycerol (20:5(5Z,8Z,11Z,14Z,17Z)/20:5(5Z,8Z,11Z,14Z,17Z)/16:3(6Z,9Z,12Z))</v>
          </cell>
        </row>
        <row r="6492">
          <cell r="A6492" t="str">
            <v>mgdg205n3_c</v>
          </cell>
          <cell r="B6492" t="str">
            <v>mgdg205n3</v>
          </cell>
          <cell r="C6492" t="str">
            <v>1,2-Diacyl-3-O-galactosyl-sn-glycerol(20:5(5Z,8Z,11Z,14Z,17Z)/20:5(5Z,8Z,11Z,14Z,17Z))</v>
          </cell>
        </row>
        <row r="6493">
          <cell r="A6493" t="str">
            <v>behen_x</v>
          </cell>
          <cell r="B6493" t="str">
            <v>behen</v>
          </cell>
          <cell r="C6493" t="str">
            <v>Docosanoate (C22:0)</v>
          </cell>
        </row>
        <row r="6494">
          <cell r="A6494" t="str">
            <v>3ottccoa_x</v>
          </cell>
          <cell r="B6494" t="str">
            <v>3ottccoa</v>
          </cell>
          <cell r="C6494" t="str">
            <v>3-oxo-tetracosanoyl-CoA</v>
          </cell>
        </row>
        <row r="6495">
          <cell r="A6495" t="str">
            <v>3hdocoscoa_x</v>
          </cell>
          <cell r="B6495" t="str">
            <v>3hdocoscoa</v>
          </cell>
          <cell r="C6495" t="str">
            <v>3-hydroxydocosanoyl-CoA</v>
          </cell>
        </row>
        <row r="6496">
          <cell r="A6496" t="str">
            <v>od36912coa_x</v>
          </cell>
          <cell r="B6496" t="str">
            <v>od36912coa</v>
          </cell>
          <cell r="C6496" t="str">
            <v>(3Z,6Z,9Z,12Z)-octadecatetraenoyl-CoA</v>
          </cell>
        </row>
        <row r="6497">
          <cell r="A6497" t="str">
            <v>3ood6912coa_x</v>
          </cell>
          <cell r="B6497" t="str">
            <v>3ood6912coa</v>
          </cell>
          <cell r="C6497" t="str">
            <v>3-oxo-(6Z,9Z,12Z)-octadecatrienoyl-CoA</v>
          </cell>
        </row>
        <row r="6498">
          <cell r="A6498" t="str">
            <v>hd4710coa_x</v>
          </cell>
          <cell r="B6498" t="str">
            <v>hd4710coa</v>
          </cell>
          <cell r="C6498" t="str">
            <v>(4Z,7Z,10Z)-hexadecatrienoyl-CoA</v>
          </cell>
        </row>
        <row r="6499">
          <cell r="A6499" t="str">
            <v>td58coa_x</v>
          </cell>
          <cell r="B6499" t="str">
            <v>td58coa</v>
          </cell>
          <cell r="C6499" t="str">
            <v>(5Z,8Z)-tetradecadienoyl-CoA</v>
          </cell>
        </row>
        <row r="6500">
          <cell r="A6500" t="str">
            <v>dd36coa_x</v>
          </cell>
          <cell r="B6500" t="str">
            <v>dd36coa</v>
          </cell>
          <cell r="C6500" t="str">
            <v>(3Z,6Z)-dodecadienoyl-CoA</v>
          </cell>
        </row>
        <row r="6501">
          <cell r="A6501" t="str">
            <v>3hod691215coa_x</v>
          </cell>
          <cell r="B6501" t="str">
            <v>3hod691215coa</v>
          </cell>
          <cell r="C6501" t="str">
            <v>3-hydroxy-(6Z,9Z,12Z,15Z)-octadecatetraenoyl-CoA</v>
          </cell>
        </row>
        <row r="6502">
          <cell r="A6502" t="str">
            <v>hd471013coa_x</v>
          </cell>
          <cell r="B6502" t="str">
            <v>hd471013coa</v>
          </cell>
          <cell r="C6502" t="str">
            <v>(4Z,7Z,10Z,13Z)-hexadecatetraenoyl-CoA</v>
          </cell>
        </row>
        <row r="6503">
          <cell r="A6503" t="str">
            <v>3hdd69coa_x</v>
          </cell>
          <cell r="B6503" t="str">
            <v>3hdd69coa</v>
          </cell>
          <cell r="C6503" t="str">
            <v>3-hydroxy-(6Z,9Z)-dodecadienoyl-CoA</v>
          </cell>
        </row>
        <row r="6504">
          <cell r="A6504" t="str">
            <v>dc47coa_x</v>
          </cell>
          <cell r="B6504" t="str">
            <v>dc47coa</v>
          </cell>
          <cell r="C6504" t="str">
            <v>(4Z,7Z)-decadienoyl-CoA</v>
          </cell>
        </row>
        <row r="6505">
          <cell r="A6505" t="str">
            <v>dc247coa_x</v>
          </cell>
          <cell r="B6505" t="str">
            <v>dc247coa</v>
          </cell>
          <cell r="C6505" t="str">
            <v>(2E,4Z,7Z)-decatrienoyl-CoA</v>
          </cell>
        </row>
        <row r="6506">
          <cell r="A6506" t="str">
            <v>dc37coa_x</v>
          </cell>
          <cell r="B6506" t="str">
            <v>dc37coa</v>
          </cell>
          <cell r="C6506" t="str">
            <v>(3E,7Z)-decadienoyl-CoA</v>
          </cell>
        </row>
        <row r="6507">
          <cell r="A6507" t="str">
            <v>oc5coa_x</v>
          </cell>
          <cell r="B6507" t="str">
            <v>oc5coa</v>
          </cell>
          <cell r="C6507" t="str">
            <v>(5Z)-octenoyl-CoA</v>
          </cell>
        </row>
        <row r="6508">
          <cell r="A6508" t="str">
            <v>dcos3710131619coa_x</v>
          </cell>
          <cell r="B6508" t="str">
            <v>dcos3710131619coa</v>
          </cell>
          <cell r="C6508" t="str">
            <v>(3E,7Z,10Z,13Z,16Z,19Z)-docosahexaenoyl-CoA</v>
          </cell>
        </row>
        <row r="6509">
          <cell r="A6509" t="str">
            <v>dcos2710131619coa_x</v>
          </cell>
          <cell r="B6509" t="str">
            <v>dcos2710131619coa</v>
          </cell>
          <cell r="C6509" t="str">
            <v>(2E,7Z,10Z,13Z,16Z,19Z)-docosahexaenoyl-CoA</v>
          </cell>
        </row>
        <row r="6510">
          <cell r="A6510" t="str">
            <v>3hdcos710131619coa_x</v>
          </cell>
          <cell r="B6510" t="str">
            <v>3hdcos710131619coa</v>
          </cell>
          <cell r="C6510" t="str">
            <v>3-hydroxy-(7Z,10Z,13Z,16Z,19Z)-docosapentaenoyl-CoA</v>
          </cell>
        </row>
        <row r="6511">
          <cell r="A6511" t="str">
            <v>octcrn_x</v>
          </cell>
          <cell r="B6511" t="str">
            <v>octcrn</v>
          </cell>
          <cell r="C6511" t="str">
            <v>L-octanoylcarnitine</v>
          </cell>
        </row>
        <row r="6512">
          <cell r="A6512" t="str">
            <v>octcrn_c</v>
          </cell>
          <cell r="B6512" t="str">
            <v>octcrn</v>
          </cell>
          <cell r="C6512" t="str">
            <v>L-octanoylcarnitine</v>
          </cell>
        </row>
        <row r="6513">
          <cell r="A6513" t="str">
            <v>hd912crn_m</v>
          </cell>
          <cell r="B6513" t="str">
            <v>hd912crn</v>
          </cell>
          <cell r="C6513" t="str">
            <v>(9Z,12Z)-hexadecadienoyl-l-carnitine</v>
          </cell>
        </row>
        <row r="6514">
          <cell r="A6514" t="str">
            <v>ocdccoa_m</v>
          </cell>
          <cell r="B6514" t="str">
            <v>ocdccoa</v>
          </cell>
          <cell r="C6514" t="str">
            <v>Octadecanoyl-coa</v>
          </cell>
        </row>
        <row r="6515">
          <cell r="A6515" t="str">
            <v>hx3coa_m</v>
          </cell>
          <cell r="B6515" t="str">
            <v>hx3coa</v>
          </cell>
          <cell r="C6515" t="str">
            <v>(3Z)-hexenoyl-CoA</v>
          </cell>
        </row>
        <row r="6516">
          <cell r="A6516" t="str">
            <v>3ood912coa_m</v>
          </cell>
          <cell r="B6516" t="str">
            <v>3ood912coa</v>
          </cell>
          <cell r="C6516" t="str">
            <v>3-oxo-(9Z,12Z)-octadecadienoyl-CoA</v>
          </cell>
        </row>
        <row r="6517">
          <cell r="A6517" t="str">
            <v>3otd58coa_m</v>
          </cell>
          <cell r="B6517" t="str">
            <v>3otd58coa</v>
          </cell>
          <cell r="C6517" t="str">
            <v>3-oxo-(5Z,8Z)-tetradecadienoyl-CoA</v>
          </cell>
        </row>
        <row r="6518">
          <cell r="A6518" t="str">
            <v>dd26coa_m</v>
          </cell>
          <cell r="B6518" t="str">
            <v>dd26coa</v>
          </cell>
          <cell r="C6518" t="str">
            <v>(2E,6Z)-dodecadienoyl-CoA</v>
          </cell>
        </row>
        <row r="6519">
          <cell r="A6519" t="str">
            <v>c6912odtte2coa_m</v>
          </cell>
          <cell r="B6519" t="str">
            <v>c6912odtte2coa</v>
          </cell>
          <cell r="C6519" t="str">
            <v>(2E,6Z,9Z,12Z)-octadecatetraenoyl-CoA</v>
          </cell>
        </row>
        <row r="6520">
          <cell r="A6520" t="str">
            <v>3hod6912coa_m</v>
          </cell>
          <cell r="B6520" t="str">
            <v>3hod6912coa</v>
          </cell>
          <cell r="C6520" t="str">
            <v>3-hydroxy-(6Z,9Z,12Z)-octadecatrienoyl-CoA</v>
          </cell>
        </row>
        <row r="6521">
          <cell r="A6521" t="str">
            <v>3ood91215coa_m</v>
          </cell>
          <cell r="B6521" t="str">
            <v>3ood91215coa</v>
          </cell>
          <cell r="C6521" t="str">
            <v>3-oxo-(9Z,12Z,15Z)-octadecatrienoyl-CoA</v>
          </cell>
        </row>
        <row r="6522">
          <cell r="A6522" t="str">
            <v>hd271013coa_m</v>
          </cell>
          <cell r="B6522" t="str">
            <v>hd271013coa</v>
          </cell>
          <cell r="C6522" t="str">
            <v>(2E,7Z,10Z,13Z)-hexadecatetraenoyl-CoA</v>
          </cell>
        </row>
        <row r="6523">
          <cell r="A6523" t="str">
            <v>3hhd71013coa_m</v>
          </cell>
          <cell r="B6523" t="str">
            <v>3hhd71013coa</v>
          </cell>
          <cell r="C6523" t="str">
            <v>3-hydroxy-(7Z,10Z,13Z)-hexadecatrienoyl-CoA</v>
          </cell>
        </row>
        <row r="6524">
          <cell r="A6524" t="str">
            <v>3otd5811coa_m</v>
          </cell>
          <cell r="B6524" t="str">
            <v>3otd5811coa</v>
          </cell>
          <cell r="C6524" t="str">
            <v>3-oxo-(5Z,8Z,11Z)-tetradecatrienoyl-CoA</v>
          </cell>
        </row>
        <row r="6525">
          <cell r="A6525" t="str">
            <v>3odc7coa_m</v>
          </cell>
          <cell r="B6525" t="str">
            <v>3odc7coa</v>
          </cell>
          <cell r="C6525" t="str">
            <v>3-oxo-(7Z)-decenoyl-CoA</v>
          </cell>
        </row>
        <row r="6526">
          <cell r="A6526" t="str">
            <v>3odd5coc_m</v>
          </cell>
          <cell r="B6526" t="str">
            <v>3odd5coc</v>
          </cell>
          <cell r="C6526" t="str">
            <v>3-oxo-(5Z)-dodecenoyl-CoA</v>
          </cell>
        </row>
        <row r="6527">
          <cell r="A6527" t="str">
            <v>dd258coa_m</v>
          </cell>
          <cell r="B6527" t="str">
            <v>dd258coa</v>
          </cell>
          <cell r="C6527" t="str">
            <v>(2E,5Z,8Z)-dodecatrienoyl-CoA</v>
          </cell>
        </row>
        <row r="6528">
          <cell r="A6528" t="str">
            <v>3hdd58coa_m</v>
          </cell>
          <cell r="B6528" t="str">
            <v>3hdd58coa</v>
          </cell>
          <cell r="C6528" t="str">
            <v>3-hydroxy-(5Z,8Z)-dodecadienoyl-CoA</v>
          </cell>
        </row>
        <row r="6529">
          <cell r="A6529" t="str">
            <v>dc26coa_m</v>
          </cell>
          <cell r="B6529" t="str">
            <v>dc26coa</v>
          </cell>
          <cell r="C6529" t="str">
            <v>(2E,6Z)-decadienoyl-CoA</v>
          </cell>
        </row>
        <row r="6530">
          <cell r="A6530" t="str">
            <v>hd26912coa_m</v>
          </cell>
          <cell r="B6530" t="str">
            <v>hd26912coa</v>
          </cell>
          <cell r="C6530" t="str">
            <v>(2E,6Z,9Z,12Z)-hexadecatetraenoyl-CoA</v>
          </cell>
        </row>
        <row r="6531">
          <cell r="A6531" t="str">
            <v>3hhd6912coa_m</v>
          </cell>
          <cell r="B6531" t="str">
            <v>3hhd6912coa</v>
          </cell>
          <cell r="C6531" t="str">
            <v>3-hydroxy-(6Z,9Z,12Z)-hexadecatrienoyl-CoA</v>
          </cell>
        </row>
        <row r="6532">
          <cell r="A6532" t="str">
            <v>td24710coa_m</v>
          </cell>
          <cell r="B6532" t="str">
            <v>td24710coa</v>
          </cell>
          <cell r="C6532" t="str">
            <v>(2E,4Z,7Z,10Z)-tetradecatetraenoyl-CoA</v>
          </cell>
        </row>
        <row r="6533">
          <cell r="A6533" t="str">
            <v>td3710coa_m</v>
          </cell>
          <cell r="B6533" t="str">
            <v>td3710coa</v>
          </cell>
          <cell r="C6533" t="str">
            <v>(3E,7Z,10Z)-tetradecatrienoyl-CoA</v>
          </cell>
        </row>
        <row r="6534">
          <cell r="A6534" t="str">
            <v>hd2691215coa_m</v>
          </cell>
          <cell r="B6534" t="str">
            <v>hd2691215coa</v>
          </cell>
          <cell r="C6534" t="str">
            <v>(2E,6Z,9Z,12Z,15Z)-hexadecapentaenoyl-CoA</v>
          </cell>
        </row>
        <row r="6535">
          <cell r="A6535" t="str">
            <v>td2471013coa_m</v>
          </cell>
          <cell r="B6535" t="str">
            <v>td2471013coa</v>
          </cell>
          <cell r="C6535" t="str">
            <v>(2E,4Z,7Z,10Z,13Z)-tetradecapentaenoyl-CoA</v>
          </cell>
        </row>
        <row r="6536">
          <cell r="A6536" t="str">
            <v>td371013coa_m</v>
          </cell>
          <cell r="B6536" t="str">
            <v>td371013coa</v>
          </cell>
          <cell r="C6536" t="str">
            <v>(3E,7Z,10Z,13Z)-tetradecatetraenoyl-CoA</v>
          </cell>
        </row>
        <row r="6537">
          <cell r="A6537" t="str">
            <v>dd5811coa_m</v>
          </cell>
          <cell r="B6537" t="str">
            <v>dd5811coa</v>
          </cell>
          <cell r="C6537" t="str">
            <v>(5Z,8Z,11Z)-dodecatrienoyl-CoA</v>
          </cell>
        </row>
        <row r="6538">
          <cell r="A6538" t="str">
            <v>3hoc7coa_m</v>
          </cell>
          <cell r="B6538" t="str">
            <v>3hoc7coa</v>
          </cell>
          <cell r="C6538" t="str">
            <v>3-hydroxy-(7Z)-octenoyl-CoA</v>
          </cell>
        </row>
        <row r="6539">
          <cell r="A6539" t="str">
            <v>3ooc7coa_m</v>
          </cell>
          <cell r="B6539" t="str">
            <v>3ooc7coa</v>
          </cell>
          <cell r="C6539" t="str">
            <v>3-oxo-(7Z)-octenoyl-CoA</v>
          </cell>
        </row>
        <row r="6540">
          <cell r="A6540" t="str">
            <v>hx5coa_m</v>
          </cell>
          <cell r="B6540" t="str">
            <v>hx5coa</v>
          </cell>
          <cell r="C6540" t="str">
            <v>(5Z)-hexenoyl-CoA</v>
          </cell>
        </row>
        <row r="6541">
          <cell r="A6541" t="str">
            <v>3oh5coa_m</v>
          </cell>
          <cell r="B6541" t="str">
            <v>3oh5coa</v>
          </cell>
          <cell r="C6541" t="str">
            <v>3-oxo-(5Z)-hexenoyl-CoA</v>
          </cell>
        </row>
        <row r="6542">
          <cell r="A6542" t="str">
            <v>ala__L_h</v>
          </cell>
          <cell r="B6542" t="str">
            <v>ala__L</v>
          </cell>
          <cell r="C6542" t="str">
            <v>L-Alanine</v>
          </cell>
        </row>
        <row r="6543">
          <cell r="A6543" t="str">
            <v>3hbutACP_m</v>
          </cell>
          <cell r="B6543" t="str">
            <v>3hbutACP</v>
          </cell>
          <cell r="C6543" t="str">
            <v>(R)-3-Hydroxybutanoyl-[acyl-carrier protein]</v>
          </cell>
        </row>
        <row r="6544">
          <cell r="A6544" t="str">
            <v>toct2eACP_m</v>
          </cell>
          <cell r="B6544" t="str">
            <v>toct2eACP</v>
          </cell>
          <cell r="C6544" t="str">
            <v>Trans-Oct-2-enoyl-[acyl-carrier protein]</v>
          </cell>
        </row>
        <row r="6545">
          <cell r="A6545" t="str">
            <v>3hdecACP_m</v>
          </cell>
          <cell r="B6545" t="str">
            <v>3hdecACP</v>
          </cell>
          <cell r="C6545" t="str">
            <v>(R)-3-Hydroxydecanoyl-[acyl-carrier protein]</v>
          </cell>
        </row>
        <row r="6546">
          <cell r="A6546" t="str">
            <v>3opalmACP_m</v>
          </cell>
          <cell r="B6546" t="str">
            <v>3opalmACP</v>
          </cell>
          <cell r="C6546" t="str">
            <v>3-Oxohexadecanoyl-[acyl-carrier protein]</v>
          </cell>
        </row>
        <row r="6547">
          <cell r="A6547" t="str">
            <v>hdca_m</v>
          </cell>
          <cell r="B6547" t="str">
            <v>hdca</v>
          </cell>
          <cell r="C6547" t="str">
            <v>Hexadecanoate (n-C16:0)</v>
          </cell>
        </row>
        <row r="6548">
          <cell r="A6548" t="str">
            <v>cdp12dgr160_m</v>
          </cell>
          <cell r="B6548" t="str">
            <v>cdp12dgr160</v>
          </cell>
          <cell r="C6548" t="str">
            <v>CDP-1,2-diacyl-sn-glycerol(16:0/16:0)</v>
          </cell>
        </row>
        <row r="6549">
          <cell r="A6549" t="str">
            <v>hom__L_m</v>
          </cell>
          <cell r="B6549" t="str">
            <v>hom__L</v>
          </cell>
          <cell r="C6549" t="str">
            <v>L-Homoserine</v>
          </cell>
        </row>
        <row r="6550">
          <cell r="A6550" t="str">
            <v>gdpgal_c</v>
          </cell>
          <cell r="B6550" t="str">
            <v>gdpgal</v>
          </cell>
          <cell r="C6550" t="str">
            <v>GDP-L-galactose</v>
          </cell>
        </row>
        <row r="6551">
          <cell r="A6551" t="str">
            <v>gal__L_c</v>
          </cell>
          <cell r="B6551" t="str">
            <v>gal__L</v>
          </cell>
          <cell r="C6551" t="str">
            <v>L-Galactose</v>
          </cell>
        </row>
        <row r="6552">
          <cell r="A6552" t="str">
            <v>5mtr_m</v>
          </cell>
          <cell r="B6552" t="str">
            <v>5mtr</v>
          </cell>
          <cell r="C6552" t="str">
            <v>5-Methylthio-D-ribose</v>
          </cell>
        </row>
        <row r="6553">
          <cell r="A6553" t="str">
            <v>m7mpdol_c</v>
          </cell>
          <cell r="B6553" t="str">
            <v>m7mpdol</v>
          </cell>
          <cell r="C6553" t="str">
            <v>(alpha-D-Mannosyl)7-beta-D-mannosyl-diacetylchitobiosyldiphosphodolichol</v>
          </cell>
        </row>
        <row r="6554">
          <cell r="A6554" t="str">
            <v>g2m8mpdol_c</v>
          </cell>
          <cell r="B6554" t="str">
            <v>g2m8mpdol</v>
          </cell>
          <cell r="C6554" t="str">
            <v>(alpha-D-Glucosyl)2-(alpha-D-mannosyl)8-beta-D-mannosyl-diacetylchitobiosyldiphosphodolichol</v>
          </cell>
        </row>
        <row r="6555">
          <cell r="A6555" t="str">
            <v>grdp_m</v>
          </cell>
          <cell r="B6555" t="str">
            <v>grdp</v>
          </cell>
          <cell r="C6555" t="str">
            <v>Geranyl diphosphate</v>
          </cell>
        </row>
        <row r="6556">
          <cell r="A6556" t="str">
            <v>npdp_m</v>
          </cell>
          <cell r="B6556" t="str">
            <v>npdp</v>
          </cell>
          <cell r="C6556" t="str">
            <v>All-trans-Nonaprenyl diphosphate</v>
          </cell>
        </row>
        <row r="6557">
          <cell r="A6557" t="str">
            <v>npdp_h</v>
          </cell>
          <cell r="B6557" t="str">
            <v>npdp</v>
          </cell>
          <cell r="C6557" t="str">
            <v>All-trans-Nonaprenyl diphosphate</v>
          </cell>
        </row>
        <row r="6558">
          <cell r="A6558" t="str">
            <v>3npdhb_m</v>
          </cell>
          <cell r="B6558" t="str">
            <v>3npdhb</v>
          </cell>
          <cell r="C6558" t="str">
            <v>3-Nonaprenyl-4,5-dihydroxybenzoate</v>
          </cell>
        </row>
        <row r="6559">
          <cell r="A6559" t="str">
            <v>2np6mep_m</v>
          </cell>
          <cell r="B6559" t="str">
            <v>2np6mep</v>
          </cell>
          <cell r="C6559" t="str">
            <v>2-nonaprenyl-6-methoxyphenol</v>
          </cell>
        </row>
        <row r="6560">
          <cell r="A6560" t="str">
            <v>2npmhmobq_m</v>
          </cell>
          <cell r="B6560" t="str">
            <v>2npmhmobq</v>
          </cell>
          <cell r="C6560" t="str">
            <v>2-Decaprenyl-3-methyl-5-hydroxy-6-methoxy-1,4-benzoquinone</v>
          </cell>
        </row>
        <row r="6561">
          <cell r="A6561" t="str">
            <v>dhepstrl_c</v>
          </cell>
          <cell r="B6561" t="str">
            <v>dhepstrl</v>
          </cell>
          <cell r="C6561" t="str">
            <v>5-Dehydroepisterol</v>
          </cell>
        </row>
        <row r="6562">
          <cell r="A6562" t="str">
            <v>brasstrl_c</v>
          </cell>
          <cell r="B6562" t="str">
            <v>brasstrl</v>
          </cell>
          <cell r="C6562" t="str">
            <v>Brassicasterol</v>
          </cell>
        </row>
        <row r="6563">
          <cell r="A6563" t="str">
            <v>pydx5p_h</v>
          </cell>
          <cell r="B6563" t="str">
            <v>pydx5p</v>
          </cell>
          <cell r="C6563" t="str">
            <v>Pyridoxal 5'-phosphate</v>
          </cell>
        </row>
        <row r="6564">
          <cell r="A6564" t="str">
            <v>met__L_h</v>
          </cell>
          <cell r="B6564" t="str">
            <v>met__L</v>
          </cell>
          <cell r="C6564" t="str">
            <v>L-Methionine</v>
          </cell>
        </row>
        <row r="6565">
          <cell r="A6565" t="str">
            <v>this_h</v>
          </cell>
          <cell r="B6565" t="str">
            <v>this</v>
          </cell>
          <cell r="C6565" t="str">
            <v>Thiamine biosynthesis intermediate 1</v>
          </cell>
        </row>
        <row r="6566">
          <cell r="A6566" t="str">
            <v>imgly_h</v>
          </cell>
          <cell r="B6566" t="str">
            <v>imgly</v>
          </cell>
          <cell r="C6566" t="str">
            <v>Iminoglycine</v>
          </cell>
        </row>
        <row r="6567">
          <cell r="A6567" t="str">
            <v>2c4mthzep_h</v>
          </cell>
          <cell r="B6567" t="str">
            <v>2c4mthzep</v>
          </cell>
          <cell r="C6567" t="str">
            <v>2-[(2R,5Z)-2-Carboxy-4-methylthiazol-5(2H)-ylidene]ethyl phosphate</v>
          </cell>
        </row>
        <row r="6568">
          <cell r="A6568" t="str">
            <v>cthzp_h</v>
          </cell>
          <cell r="B6568" t="str">
            <v>cthzp</v>
          </cell>
          <cell r="C6568" t="str">
            <v>4-Methyl-5-[2-(phosphonooxy)ethyl]-1,3-thiazole-2-carboxylate</v>
          </cell>
        </row>
        <row r="6569">
          <cell r="A6569" t="str">
            <v>dhncoa_x</v>
          </cell>
          <cell r="B6569" t="str">
            <v>dhncoa</v>
          </cell>
          <cell r="C6569" t="str">
            <v>1,4-Dihydroxy-2-naphthoyl-CoA</v>
          </cell>
        </row>
        <row r="6570">
          <cell r="A6570" t="str">
            <v>trnaser_h</v>
          </cell>
          <cell r="B6570" t="str">
            <v>trnaser</v>
          </cell>
          <cell r="C6570" t="str">
            <v>TRNA(Ser)</v>
          </cell>
        </row>
        <row r="6571">
          <cell r="A6571" t="str">
            <v>trnahis_h</v>
          </cell>
          <cell r="B6571" t="str">
            <v>trnahis</v>
          </cell>
          <cell r="C6571" t="str">
            <v>TRNA(His)</v>
          </cell>
        </row>
        <row r="6572">
          <cell r="A6572" t="str">
            <v>trnatrp_h</v>
          </cell>
          <cell r="B6572" t="str">
            <v>trnatrp</v>
          </cell>
          <cell r="C6572" t="str">
            <v>TRNA(Trp)</v>
          </cell>
        </row>
        <row r="6573">
          <cell r="A6573" t="str">
            <v>cholphyc1_h</v>
          </cell>
          <cell r="B6573" t="str">
            <v>cholphyc1</v>
          </cell>
          <cell r="C6573" t="str">
            <v>Chlorophyll c1</v>
          </cell>
        </row>
        <row r="6574">
          <cell r="A6574" t="str">
            <v>cholphyc2_h</v>
          </cell>
          <cell r="B6574" t="str">
            <v>cholphyc2</v>
          </cell>
          <cell r="C6574" t="str">
            <v>Chlorophyll c2</v>
          </cell>
        </row>
        <row r="6575">
          <cell r="A6575" t="str">
            <v>dczcaro_h</v>
          </cell>
          <cell r="B6575" t="str">
            <v>dczcaro</v>
          </cell>
          <cell r="C6575" t="str">
            <v>9,9-dicis-zeta-Carotene</v>
          </cell>
        </row>
        <row r="6576">
          <cell r="A6576" t="str">
            <v>diadinx_h</v>
          </cell>
          <cell r="B6576" t="str">
            <v>diadinx</v>
          </cell>
          <cell r="C6576" t="str">
            <v>Diadinoxanthin</v>
          </cell>
        </row>
        <row r="6577">
          <cell r="A6577" t="str">
            <v>selmethtrna_c</v>
          </cell>
          <cell r="B6577" t="str">
            <v>selmethtrna</v>
          </cell>
          <cell r="C6577" t="str">
            <v>Selenomethionyl-tRNA(Met)</v>
          </cell>
        </row>
        <row r="6578">
          <cell r="A6578" t="str">
            <v>btn_h</v>
          </cell>
          <cell r="B6578" t="str">
            <v>btn</v>
          </cell>
          <cell r="C6578" t="str">
            <v>Biotin</v>
          </cell>
        </row>
        <row r="6579">
          <cell r="A6579" t="str">
            <v>biomass_dna_c</v>
          </cell>
          <cell r="B6579" t="str">
            <v>biomass_dna</v>
          </cell>
          <cell r="C6579" t="str">
            <v>Biomass: DNA</v>
          </cell>
        </row>
        <row r="6580">
          <cell r="A6580" t="str">
            <v>mgdg1801619Z_h</v>
          </cell>
          <cell r="B6580" t="str">
            <v>mgdg1801619Z</v>
          </cell>
          <cell r="C6580" t="str">
            <v>1,2-Diacyl-3-O-galactosyl-sn-glycerol(18:0/16:1(9Z))</v>
          </cell>
        </row>
        <row r="6581">
          <cell r="A6581" t="str">
            <v>pa1619Z1819Z_h</v>
          </cell>
          <cell r="B6581" t="str">
            <v>pa1619Z1819Z</v>
          </cell>
          <cell r="C6581" t="str">
            <v>1-9-hexadecenoyl-2-9-octadecenoyl-sn-glycerol-3-phosphate</v>
          </cell>
        </row>
        <row r="6582">
          <cell r="A6582" t="str">
            <v>12dgr1619Z1819Z_h</v>
          </cell>
          <cell r="B6582" t="str">
            <v>12dgr1619Z1819Z</v>
          </cell>
          <cell r="C6582" t="str">
            <v>1,2-Diacyl-sn-glycerol(16:1(9Z)/18:1(9Z))</v>
          </cell>
        </row>
        <row r="6583">
          <cell r="A6583" t="str">
            <v>mgdg1619Z1819Z_h</v>
          </cell>
          <cell r="B6583" t="str">
            <v>mgdg1619Z1819Z</v>
          </cell>
          <cell r="C6583" t="str">
            <v>1,2-Diacyl-3-O-galactosyl-sn-glycerol(16:1(9Z)/18:1(9Z))</v>
          </cell>
        </row>
        <row r="6584">
          <cell r="A6584" t="str">
            <v>12dgr1619Z240_c</v>
          </cell>
          <cell r="B6584" t="str">
            <v>12dgr1619Z240</v>
          </cell>
          <cell r="C6584" t="str">
            <v>1,2-Diacyl-sn-glycerol (16:1(9Z)/24:0)</v>
          </cell>
        </row>
        <row r="6585">
          <cell r="A6585" t="str">
            <v>asq205n31602o205n3_h</v>
          </cell>
          <cell r="B6585" t="str">
            <v>asq205n31602o205n3</v>
          </cell>
          <cell r="C6585" t="str">
            <v>2-O-acyl-sulfoquinovosyl diacylglycerol(20:5(5Z,8Z,11Z,14Z,17Z)/16:0/2-O-20:5(5Z,8Z,11Z,14Z,17Z))</v>
          </cell>
        </row>
        <row r="6586">
          <cell r="A6586" t="str">
            <v>dgta205n3182n6_c</v>
          </cell>
          <cell r="B6586" t="str">
            <v>dgta205n3182n6</v>
          </cell>
          <cell r="C6586" t="str">
            <v>Diacylglyceryl-N,N,N-trimethyl-beta-alanine (20:5(5Z,8Z,11Z,14Z,17Z)/18:2(9Z,12Z))</v>
          </cell>
        </row>
        <row r="6587">
          <cell r="A6587" t="str">
            <v>tag1619Z160160_h</v>
          </cell>
          <cell r="B6587" t="str">
            <v>tag1619Z160160</v>
          </cell>
          <cell r="C6587" t="str">
            <v>Triacylglycerol (16:1(9Z)/16:0/16:0)</v>
          </cell>
        </row>
        <row r="6588">
          <cell r="A6588" t="str">
            <v>HC00619_c</v>
          </cell>
          <cell r="B6588" t="str">
            <v>HC00619</v>
          </cell>
          <cell r="C6588" t="str">
            <v>Ferrocytochrome B5</v>
          </cell>
        </row>
        <row r="6589">
          <cell r="A6589" t="str">
            <v>HC01415_m</v>
          </cell>
          <cell r="B6589" t="str">
            <v>HC01415</v>
          </cell>
          <cell r="C6589" t="str">
            <v>(2E)-Octenoyl Coenzyme A</v>
          </cell>
        </row>
        <row r="6590">
          <cell r="A6590" t="str">
            <v>adp_l</v>
          </cell>
          <cell r="B6590" t="str">
            <v>adp</v>
          </cell>
          <cell r="C6590" t="str">
            <v>ADP C10H12N5O10P2</v>
          </cell>
        </row>
        <row r="6591">
          <cell r="A6591" t="str">
            <v>CE2421_x</v>
          </cell>
          <cell r="B6591" t="str">
            <v>CE2421</v>
          </cell>
          <cell r="C6591" t="str">
            <v>(3S)-3-hydroxylinoleoyl-CoA</v>
          </cell>
        </row>
        <row r="6592">
          <cell r="A6592" t="str">
            <v>pail_hs_g</v>
          </cell>
          <cell r="B6592" t="str">
            <v>pail_hs</v>
          </cell>
          <cell r="C6592" t="str">
            <v>Phosphatidylinositol (homo sapiens)</v>
          </cell>
        </row>
        <row r="6593">
          <cell r="A6593" t="str">
            <v>CE2434_m</v>
          </cell>
          <cell r="B6593" t="str">
            <v>CE2434</v>
          </cell>
          <cell r="C6593" t="str">
            <v>Trans,Cis,Cis-2,9,12-Octadecatrienoyl Coenzyme A</v>
          </cell>
        </row>
        <row r="6594">
          <cell r="A6594" t="str">
            <v>CE0785_x</v>
          </cell>
          <cell r="B6594" t="str">
            <v>CE0785</v>
          </cell>
          <cell r="C6594" t="str">
            <v>Cis,Cis-Myristo-5,8-Dienoyl Coenzyme A</v>
          </cell>
        </row>
        <row r="6595">
          <cell r="A6595" t="str">
            <v>dec24dicoa_x</v>
          </cell>
          <cell r="B6595" t="str">
            <v>dec24dicoa</v>
          </cell>
          <cell r="C6595" t="str">
            <v>2,4-Decadienoyl Coenzyme A</v>
          </cell>
        </row>
        <row r="6596">
          <cell r="A6596" t="str">
            <v>dece4coa_x</v>
          </cell>
          <cell r="B6596" t="str">
            <v>dece4coa</v>
          </cell>
          <cell r="C6596" t="str">
            <v>4-Decenoyl Coenzyme A</v>
          </cell>
        </row>
        <row r="6597">
          <cell r="A6597" t="str">
            <v>C05279_m</v>
          </cell>
          <cell r="B6597" t="str">
            <v>C05279</v>
          </cell>
          <cell r="C6597" t="str">
            <v>Trans,Cis-Lauro-2,6-Dienoyl Coenzyme A</v>
          </cell>
        </row>
        <row r="6598">
          <cell r="A6598" t="str">
            <v>CE2418_m</v>
          </cell>
          <cell r="B6598" t="str">
            <v>CE2418</v>
          </cell>
          <cell r="C6598" t="str">
            <v>(3S)-3-hydroxy-cis,cis-palmito-7,10-dienoyl-CoA</v>
          </cell>
        </row>
        <row r="6599">
          <cell r="A6599" t="str">
            <v>CE2424_x</v>
          </cell>
          <cell r="B6599" t="str">
            <v>CE2424</v>
          </cell>
          <cell r="C6599" t="str">
            <v>3-oxo-cis,cis-5,8-tetradecadienoyl-CoA</v>
          </cell>
        </row>
        <row r="6600">
          <cell r="A6600" t="str">
            <v>CE0693_m</v>
          </cell>
          <cell r="B6600" t="str">
            <v>CE0693</v>
          </cell>
          <cell r="C6600" t="str">
            <v>3-oxolaur-6-cis-enoyl-CoA</v>
          </cell>
        </row>
        <row r="6601">
          <cell r="A6601" t="str">
            <v>CE5787_e</v>
          </cell>
          <cell r="B6601" t="str">
            <v>CE5787</v>
          </cell>
          <cell r="C6601" t="str">
            <v>Kinetensin 1-3</v>
          </cell>
        </row>
        <row r="6602">
          <cell r="A6602" t="str">
            <v>CE6252_c</v>
          </cell>
          <cell r="B6602" t="str">
            <v>CE6252</v>
          </cell>
          <cell r="C6602" t="str">
            <v>Urate Radical</v>
          </cell>
        </row>
        <row r="6603">
          <cell r="A6603" t="str">
            <v>CE5166_m</v>
          </cell>
          <cell r="B6603" t="str">
            <v>CE5166</v>
          </cell>
          <cell r="C6603" t="str">
            <v>25(S)-Trihydroxycoprostanoyl Coenzyme A</v>
          </cell>
        </row>
        <row r="6604">
          <cell r="A6604" t="str">
            <v>CE4872_m</v>
          </cell>
          <cell r="B6604" t="str">
            <v>CE4872</v>
          </cell>
          <cell r="C6604" t="str">
            <v>3alpha,7alpha,12alpha-trihydroxy-5beta-cholestan-27-al</v>
          </cell>
        </row>
        <row r="6605">
          <cell r="A6605" t="str">
            <v>HC02192_x</v>
          </cell>
          <cell r="B6605" t="str">
            <v>HC02192</v>
          </cell>
          <cell r="C6605" t="str">
            <v>Taurolithocholate</v>
          </cell>
        </row>
        <row r="6606">
          <cell r="A6606" t="str">
            <v>HC02191_x</v>
          </cell>
          <cell r="B6606" t="str">
            <v>HC02191</v>
          </cell>
          <cell r="C6606" t="str">
            <v>Lithocholate</v>
          </cell>
        </row>
        <row r="6607">
          <cell r="A6607" t="str">
            <v>galside_hs_e</v>
          </cell>
          <cell r="B6607" t="str">
            <v>galside_hs</v>
          </cell>
          <cell r="C6607" t="str">
            <v>Galactocerebroside (homo sapiens)</v>
          </cell>
        </row>
        <row r="6608">
          <cell r="A6608" t="str">
            <v>CE5126_x</v>
          </cell>
          <cell r="B6608" t="str">
            <v>CE5126</v>
          </cell>
          <cell r="C6608" t="str">
            <v>(2R)-pristanoyl-CoA</v>
          </cell>
        </row>
        <row r="6609">
          <cell r="A6609" t="str">
            <v>pail35p_hs_n</v>
          </cell>
          <cell r="B6609" t="str">
            <v>pail35p_hs</v>
          </cell>
          <cell r="C6609" t="str">
            <v>Phosphatidylinositol-3,5-bisphosphate (Homo sapiens)</v>
          </cell>
        </row>
        <row r="6610">
          <cell r="A6610" t="str">
            <v>CE4795_m</v>
          </cell>
          <cell r="B6610" t="str">
            <v>CE4795</v>
          </cell>
          <cell r="C6610" t="str">
            <v>2-Trans-Cis,Cis,Cis,Cis-4,8,11,14-Eicosapentaenoyl Coenzyme A</v>
          </cell>
        </row>
        <row r="6611">
          <cell r="A6611" t="str">
            <v>CE4791_x</v>
          </cell>
          <cell r="B6611" t="str">
            <v>CE4791</v>
          </cell>
          <cell r="C6611" t="str">
            <v>3(S)-Hydroxy-Dihomo-Gama-Linolenoyl Coenzyme A</v>
          </cell>
        </row>
        <row r="6612">
          <cell r="A6612" t="str">
            <v>CE2442_x</v>
          </cell>
          <cell r="B6612" t="str">
            <v>CE2442</v>
          </cell>
          <cell r="C6612" t="str">
            <v>3Z,7Z,10Z-Hexadecatrienoyl Coenzyme A</v>
          </cell>
        </row>
        <row r="6613">
          <cell r="A6613" t="str">
            <v>CE2441_x</v>
          </cell>
          <cell r="B6613" t="str">
            <v>CE2441</v>
          </cell>
          <cell r="C6613" t="str">
            <v>2E,4Z,7Z,10Z-Hexadecatetraenoyl Coenzyme A</v>
          </cell>
        </row>
        <row r="6614">
          <cell r="A6614" t="str">
            <v>CE5117_m</v>
          </cell>
          <cell r="B6614" t="str">
            <v>CE5117</v>
          </cell>
          <cell r="C6614" t="str">
            <v>(3E,5Z,8Z)-Tetradecatrienoyl Coenzyme A</v>
          </cell>
        </row>
        <row r="6615">
          <cell r="A6615" t="str">
            <v>CE4794_m</v>
          </cell>
          <cell r="B6615" t="str">
            <v>CE4794</v>
          </cell>
          <cell r="C6615" t="str">
            <v>Cis-6-Dodecenoyl Coenzyme A</v>
          </cell>
        </row>
        <row r="6616">
          <cell r="A6616" t="str">
            <v>eicostetcoa_r</v>
          </cell>
          <cell r="B6616" t="str">
            <v>eicostetcoa</v>
          </cell>
          <cell r="C6616" t="str">
            <v>Eicosatetranoyl coenzyme A</v>
          </cell>
        </row>
        <row r="6617">
          <cell r="A6617" t="str">
            <v>tmndnccoa_r</v>
          </cell>
          <cell r="B6617" t="str">
            <v>tmndnccoa</v>
          </cell>
          <cell r="C6617" t="str">
            <v>Timnodonyl coenzyme A</v>
          </cell>
        </row>
        <row r="6618">
          <cell r="A6618" t="str">
            <v>tethex3_r</v>
          </cell>
          <cell r="B6618" t="str">
            <v>tethex3</v>
          </cell>
          <cell r="C6618" t="str">
            <v>Tetracosahexaenoic acid, n-3</v>
          </cell>
        </row>
        <row r="6619">
          <cell r="A6619" t="str">
            <v>tetpent6coa_r</v>
          </cell>
          <cell r="B6619" t="str">
            <v>tetpent6coa</v>
          </cell>
          <cell r="C6619" t="str">
            <v>Tetracosapentaenoyl coenzyme A, n-6</v>
          </cell>
        </row>
        <row r="6620">
          <cell r="A6620" t="str">
            <v>CE4801_m</v>
          </cell>
          <cell r="B6620" t="str">
            <v>CE4801</v>
          </cell>
          <cell r="C6620" t="str">
            <v>3(S)-Hydroxy-4(R),8-Dimethyl-Nonanoyl Coenzyme A</v>
          </cell>
        </row>
        <row r="6621">
          <cell r="A6621" t="str">
            <v>CE4807_m</v>
          </cell>
          <cell r="B6621" t="str">
            <v>CE4807</v>
          </cell>
          <cell r="C6621" t="str">
            <v>4-Methyl-Trans-2-Pentenoyl Coenzyme A</v>
          </cell>
        </row>
        <row r="6622">
          <cell r="A6622" t="str">
            <v>CE6031_c</v>
          </cell>
          <cell r="B6622" t="str">
            <v>CE6031</v>
          </cell>
          <cell r="C6622" t="str">
            <v>Androsterone Sulfate</v>
          </cell>
        </row>
        <row r="6623">
          <cell r="A6623" t="str">
            <v>cdpea_e</v>
          </cell>
          <cell r="B6623" t="str">
            <v>cdpea</v>
          </cell>
          <cell r="C6623" t="str">
            <v>CDPethanolamine C11H19N4O11P2</v>
          </cell>
        </row>
        <row r="6624">
          <cell r="A6624" t="str">
            <v>dece3coa_m</v>
          </cell>
          <cell r="B6624" t="str">
            <v>dece3coa</v>
          </cell>
          <cell r="C6624" t="str">
            <v>3-Decenoyl Coenzyme A</v>
          </cell>
        </row>
        <row r="6625">
          <cell r="A6625" t="str">
            <v>c101crn_c</v>
          </cell>
          <cell r="B6625" t="str">
            <v>c101crn</v>
          </cell>
          <cell r="C6625" t="str">
            <v>Decenoyl Carnitine</v>
          </cell>
        </row>
        <row r="6626">
          <cell r="A6626" t="str">
            <v>decdicoa_c</v>
          </cell>
          <cell r="B6626" t="str">
            <v>decdicoa</v>
          </cell>
          <cell r="C6626" t="str">
            <v>Decadienoyl Coenzyme A</v>
          </cell>
        </row>
        <row r="6627">
          <cell r="A6627" t="str">
            <v>ddeccrn_c</v>
          </cell>
          <cell r="B6627" t="str">
            <v>ddeccrn</v>
          </cell>
          <cell r="C6627" t="str">
            <v>Lauroyl Carnitine</v>
          </cell>
        </row>
        <row r="6628">
          <cell r="A6628" t="str">
            <v>3tetd7ecoa_c</v>
          </cell>
          <cell r="B6628" t="str">
            <v>3tetd7ecoa</v>
          </cell>
          <cell r="C6628" t="str">
            <v>3-Hydroxy Tetradecenoyl-7 Coenzyme A</v>
          </cell>
        </row>
        <row r="6629">
          <cell r="A6629" t="str">
            <v>tetdece1crn_c</v>
          </cell>
          <cell r="B6629" t="str">
            <v>tetdece1crn</v>
          </cell>
          <cell r="C6629" t="str">
            <v>Tetradecenoyl Carnitine</v>
          </cell>
        </row>
        <row r="6630">
          <cell r="A6630" t="str">
            <v>3tetd7ecoacrn_e</v>
          </cell>
          <cell r="B6630" t="str">
            <v>3tetd7ecoacrn</v>
          </cell>
          <cell r="C6630" t="str">
            <v>3-Hydroxy Tetradecenoyl-7-Carnitine</v>
          </cell>
        </row>
        <row r="6631">
          <cell r="A6631" t="str">
            <v>tetdec2coa_c</v>
          </cell>
          <cell r="B6631" t="str">
            <v>tetdec2coa</v>
          </cell>
          <cell r="C6631" t="str">
            <v>Tetradecadienoyl Coenzyme A</v>
          </cell>
        </row>
        <row r="6632">
          <cell r="A6632" t="str">
            <v>3ttetddcoacrn_e</v>
          </cell>
          <cell r="B6632" t="str">
            <v>3ttetddcoacrn</v>
          </cell>
          <cell r="C6632" t="str">
            <v>3-Hydroxy Trans5,8Tetradecadienoyl Carnitine</v>
          </cell>
        </row>
        <row r="6633">
          <cell r="A6633" t="str">
            <v>3thexddcoa_c</v>
          </cell>
          <cell r="B6633" t="str">
            <v>3thexddcoa</v>
          </cell>
          <cell r="C6633" t="str">
            <v>3-Hydroxy Trans7,10-Hexadecadienoyl Coenzyme A</v>
          </cell>
        </row>
        <row r="6634">
          <cell r="A6634" t="str">
            <v>c16dc_e</v>
          </cell>
          <cell r="B6634" t="str">
            <v>c16dc</v>
          </cell>
          <cell r="C6634" t="str">
            <v>Hexadecanedioic Acid Mono-L-Carnitine Ester</v>
          </cell>
        </row>
        <row r="6635">
          <cell r="A6635" t="str">
            <v>docosac_r</v>
          </cell>
          <cell r="B6635" t="str">
            <v>docosac</v>
          </cell>
          <cell r="C6635" t="str">
            <v>Behenate, Docosanoate</v>
          </cell>
        </row>
        <row r="6636">
          <cell r="A6636" t="str">
            <v>docosdiac_r</v>
          </cell>
          <cell r="B6636" t="str">
            <v>docosdiac</v>
          </cell>
          <cell r="C6636" t="str">
            <v>Docosanedioicacid</v>
          </cell>
        </row>
        <row r="6637">
          <cell r="A6637" t="str">
            <v>docosdiac_c</v>
          </cell>
          <cell r="B6637" t="str">
            <v>docosdiac</v>
          </cell>
          <cell r="C6637" t="str">
            <v>Docosanedioicacid</v>
          </cell>
        </row>
        <row r="6638">
          <cell r="A6638" t="str">
            <v>3octdec2crn_e</v>
          </cell>
          <cell r="B6638" t="str">
            <v>3octdec2crn</v>
          </cell>
          <cell r="C6638" t="str">
            <v>3-Hydroxyoctadecadienoylcarnitine</v>
          </cell>
        </row>
        <row r="6639">
          <cell r="A6639" t="str">
            <v>3octdeccrn_e</v>
          </cell>
          <cell r="B6639" t="str">
            <v>3octdeccrn</v>
          </cell>
          <cell r="C6639" t="str">
            <v>3-Hydroxyoctadecanoyl Carnitine</v>
          </cell>
        </row>
        <row r="6640">
          <cell r="A6640" t="str">
            <v>2decdicoa_m</v>
          </cell>
          <cell r="B6640" t="str">
            <v>2decdicoa</v>
          </cell>
          <cell r="C6640" t="str">
            <v>2,7-Decadienoyl Coenzyme A</v>
          </cell>
        </row>
        <row r="6641">
          <cell r="A6641" t="str">
            <v>2ddecdicoa_m</v>
          </cell>
          <cell r="B6641" t="str">
            <v>2ddecdicoa</v>
          </cell>
          <cell r="C6641" t="str">
            <v>2,6-Dodecadienoyl Coenzyme A</v>
          </cell>
        </row>
        <row r="6642">
          <cell r="A6642" t="str">
            <v>3ddecdicoa_m</v>
          </cell>
          <cell r="B6642" t="str">
            <v>3ddecdicoa</v>
          </cell>
          <cell r="C6642" t="str">
            <v>3,6-Dodecadienoyl Coenzyme A</v>
          </cell>
        </row>
        <row r="6643">
          <cell r="A6643" t="str">
            <v>tridcoa_m</v>
          </cell>
          <cell r="B6643" t="str">
            <v>tridcoa</v>
          </cell>
          <cell r="C6643" t="str">
            <v>Tridecanoyl Coenzyme A</v>
          </cell>
        </row>
        <row r="6644">
          <cell r="A6644" t="str">
            <v>tetd7ecoa_m</v>
          </cell>
          <cell r="B6644" t="str">
            <v>tetd7ecoa</v>
          </cell>
          <cell r="C6644" t="str">
            <v>7-Tetradecenoyl Coenzyme A</v>
          </cell>
        </row>
        <row r="6645">
          <cell r="A6645" t="str">
            <v>tetde5coa_x</v>
          </cell>
          <cell r="B6645" t="str">
            <v>tetde5coa</v>
          </cell>
          <cell r="C6645" t="str">
            <v>5-Tetradecenoyl Coenzyme A</v>
          </cell>
        </row>
        <row r="6646">
          <cell r="A6646" t="str">
            <v>tetdecdicoa_m</v>
          </cell>
          <cell r="B6646" t="str">
            <v>tetdecdicoa</v>
          </cell>
          <cell r="C6646" t="str">
            <v>5,8-Tetradecadienoyl Coenzyme A</v>
          </cell>
        </row>
        <row r="6647">
          <cell r="A6647" t="str">
            <v>5tedtricoa_m</v>
          </cell>
          <cell r="B6647" t="str">
            <v>5tedtricoa</v>
          </cell>
          <cell r="C6647" t="str">
            <v>5,8,11-Tetradecatrienoyl Coenzyme A</v>
          </cell>
        </row>
        <row r="6648">
          <cell r="A6648" t="str">
            <v>hexddcoa_m</v>
          </cell>
          <cell r="B6648" t="str">
            <v>hexddcoa</v>
          </cell>
          <cell r="C6648" t="str">
            <v>7,10-Hexadecadienoyl Coenzyme A</v>
          </cell>
        </row>
        <row r="6649">
          <cell r="A6649" t="str">
            <v>2hexdtricoa_x</v>
          </cell>
          <cell r="B6649" t="str">
            <v>2hexdtricoa</v>
          </cell>
          <cell r="C6649" t="str">
            <v>2,7,10-Hexadecatrienoyl Coenzyme A</v>
          </cell>
        </row>
        <row r="6650">
          <cell r="A6650" t="str">
            <v>hexdtrcoa_m</v>
          </cell>
          <cell r="B6650" t="str">
            <v>hexdtrcoa</v>
          </cell>
          <cell r="C6650" t="str">
            <v>7,10,13-Hexadecatrienoyl Coenzyme A</v>
          </cell>
        </row>
        <row r="6651">
          <cell r="A6651" t="str">
            <v>2hexdtetcoa_x</v>
          </cell>
          <cell r="B6651" t="str">
            <v>2hexdtetcoa</v>
          </cell>
          <cell r="C6651" t="str">
            <v>2,7,10,13-Hexadecatetraenoyl Coenzyme A</v>
          </cell>
        </row>
        <row r="6652">
          <cell r="A6652" t="str">
            <v>4hexdtetcoa_m</v>
          </cell>
          <cell r="B6652" t="str">
            <v>4hexdtetcoa</v>
          </cell>
          <cell r="C6652" t="str">
            <v>4,7,10,13-Hexadecatetraenoyl Coenzyme A</v>
          </cell>
        </row>
        <row r="6653">
          <cell r="A6653" t="str">
            <v>hexdpencoa_m</v>
          </cell>
          <cell r="B6653" t="str">
            <v>hexdpencoa</v>
          </cell>
          <cell r="C6653" t="str">
            <v>2,4,7,10,13-Hexadecapentaenoyl Coenzyme A</v>
          </cell>
        </row>
        <row r="6654">
          <cell r="A6654" t="str">
            <v>ocde9ecoa_x</v>
          </cell>
          <cell r="B6654" t="str">
            <v>ocde9ecoa</v>
          </cell>
          <cell r="C6654" t="str">
            <v>9-Octadecenoyl Coenzyme A</v>
          </cell>
        </row>
        <row r="6655">
          <cell r="A6655" t="str">
            <v>3octpencoa_m</v>
          </cell>
          <cell r="B6655" t="str">
            <v>3octpencoa</v>
          </cell>
          <cell r="C6655" t="str">
            <v>3,6,9,12,15-Octadecapentenoyl Coenzyme A</v>
          </cell>
        </row>
        <row r="6656">
          <cell r="A6656" t="str">
            <v>docohexcoa_x</v>
          </cell>
          <cell r="B6656" t="str">
            <v>docohexcoa</v>
          </cell>
          <cell r="C6656" t="str">
            <v>2,4,7,10,13,16-Docosahexenoyl Coenzyme A</v>
          </cell>
        </row>
        <row r="6657">
          <cell r="A6657" t="str">
            <v>2docohexecoa_m</v>
          </cell>
          <cell r="B6657" t="str">
            <v>2docohexecoa</v>
          </cell>
          <cell r="C6657" t="str">
            <v>2,7,10,13,16,19-Docosahexenoyl Coenzyme A</v>
          </cell>
        </row>
        <row r="6658">
          <cell r="A6658" t="str">
            <v>docosahexcoa_m</v>
          </cell>
          <cell r="B6658" t="str">
            <v>docosahexcoa</v>
          </cell>
          <cell r="C6658" t="str">
            <v>3,7,10,13,16,19-Docosahexenoyl Coenzyme A</v>
          </cell>
        </row>
        <row r="6659">
          <cell r="A6659" t="str">
            <v>omhdocosac_r</v>
          </cell>
          <cell r="B6659" t="str">
            <v>omhdocosac</v>
          </cell>
          <cell r="C6659" t="str">
            <v>W-Hydroxydocosanoicacid</v>
          </cell>
        </row>
        <row r="6660">
          <cell r="A6660" t="str">
            <v>pentcoa_m</v>
          </cell>
          <cell r="B6660" t="str">
            <v>pentcoa</v>
          </cell>
          <cell r="C6660" t="str">
            <v>Pentanoyl Coenzyme A</v>
          </cell>
        </row>
        <row r="6661">
          <cell r="A6661" t="str">
            <v>3ivcoa_m</v>
          </cell>
          <cell r="B6661" t="str">
            <v>3ivcoa</v>
          </cell>
          <cell r="C6661" t="str">
            <v>3-Hydroxyisovaleryl Coenzyme A</v>
          </cell>
        </row>
        <row r="6662">
          <cell r="A6662" t="str">
            <v>3ivcrn_c</v>
          </cell>
          <cell r="B6662" t="str">
            <v>3ivcrn</v>
          </cell>
          <cell r="C6662" t="str">
            <v>3-Hydroxy-Isovaleryl Carnitine</v>
          </cell>
        </row>
        <row r="6663">
          <cell r="A6663" t="str">
            <v>hexe3coa_m</v>
          </cell>
          <cell r="B6663" t="str">
            <v>hexe3coa</v>
          </cell>
          <cell r="C6663" t="str">
            <v>3-Hexenoyl Coenzyme A</v>
          </cell>
        </row>
        <row r="6664">
          <cell r="A6664" t="str">
            <v>omhdocosac_c</v>
          </cell>
          <cell r="B6664" t="str">
            <v>omhdocosac</v>
          </cell>
          <cell r="C6664" t="str">
            <v>W-Hydroxydocosanoicacid</v>
          </cell>
        </row>
        <row r="6665">
          <cell r="A6665" t="str">
            <v>tdec4ecoa_m</v>
          </cell>
          <cell r="B6665" t="str">
            <v>tdec4ecoa</v>
          </cell>
          <cell r="C6665" t="str">
            <v>Trans4Decenoyl Coenzyme A</v>
          </cell>
        </row>
        <row r="6666">
          <cell r="A6666" t="str">
            <v>ctdecdcoa_m</v>
          </cell>
          <cell r="B6666" t="str">
            <v>ctdecdcoa</v>
          </cell>
          <cell r="C6666" t="str">
            <v>Cis2Trans4Decadienoyl Coenzyme A</v>
          </cell>
        </row>
        <row r="6667">
          <cell r="A6667" t="str">
            <v>octdececoa_c</v>
          </cell>
          <cell r="B6667" t="str">
            <v>octdececoa</v>
          </cell>
          <cell r="C6667" t="str">
            <v>Octadecenoyl Coenzyme A</v>
          </cell>
        </row>
        <row r="6668">
          <cell r="A6668" t="str">
            <v>Lkynr_e</v>
          </cell>
          <cell r="B6668" t="str">
            <v>Lkynr</v>
          </cell>
          <cell r="C6668" t="str">
            <v>L Kynurenine C10H12N2O3</v>
          </cell>
        </row>
        <row r="6669">
          <cell r="A6669" t="str">
            <v>ethamp_e</v>
          </cell>
          <cell r="B6669" t="str">
            <v>ethamp</v>
          </cell>
          <cell r="C6669" t="str">
            <v>Ethanolamine phosphate C2H7NO4P</v>
          </cell>
        </row>
        <row r="6670">
          <cell r="A6670" t="str">
            <v>pcreat_e</v>
          </cell>
          <cell r="B6670" t="str">
            <v>pcreat</v>
          </cell>
          <cell r="C6670" t="str">
            <v>Phosphocreatine</v>
          </cell>
        </row>
        <row r="6671">
          <cell r="A6671" t="str">
            <v>and19one_c</v>
          </cell>
          <cell r="B6671" t="str">
            <v>and19one</v>
          </cell>
          <cell r="C6671" t="str">
            <v>19-Hydroxyandrost-4-Ene-3,17-Dione</v>
          </cell>
        </row>
        <row r="6672">
          <cell r="A6672" t="str">
            <v>pcholole_hs_e</v>
          </cell>
          <cell r="B6672" t="str">
            <v>pcholole_hs</v>
          </cell>
          <cell r="C6672" t="str">
            <v>1-Oleoylglycerophosphocholine (Delta 9)</v>
          </cell>
        </row>
        <row r="6673">
          <cell r="A6673" t="str">
            <v>pcholpalme_hs_e</v>
          </cell>
          <cell r="B6673" t="str">
            <v>pcholpalme_hs</v>
          </cell>
          <cell r="C6673" t="str">
            <v>1-Palmitoleoylglycerophosphocholine (Delta 9)</v>
          </cell>
        </row>
        <row r="6674">
          <cell r="A6674" t="str">
            <v>pcholste_hs_e</v>
          </cell>
          <cell r="B6674" t="str">
            <v>pcholste_hs</v>
          </cell>
          <cell r="C6674" t="str">
            <v>1-Stearoylglycerophosphocholine</v>
          </cell>
        </row>
        <row r="6675">
          <cell r="A6675" t="str">
            <v>pe2linl_hs_e</v>
          </cell>
          <cell r="B6675" t="str">
            <v>pe2linl_hs</v>
          </cell>
          <cell r="C6675" t="str">
            <v>2-Linoleoylglycerophosphoethanolamine</v>
          </cell>
        </row>
        <row r="6676">
          <cell r="A6676" t="str">
            <v>xolest181_hs_e</v>
          </cell>
          <cell r="B6676" t="str">
            <v>xolest181_hs</v>
          </cell>
          <cell r="C6676" t="str">
            <v>1-Vaccenoyl-Cholesterol, Cholesterol-Ester (18:1, Delta 11)</v>
          </cell>
        </row>
        <row r="6677">
          <cell r="A6677" t="str">
            <v>pcholn1836_hs_e</v>
          </cell>
          <cell r="B6677" t="str">
            <v>pcholn1836_hs</v>
          </cell>
          <cell r="C6677" t="str">
            <v>1-Octadeca-Trienoylglycerophosphocholine, Sn1-Lpc (18:3, Delta 6, 9, 12)</v>
          </cell>
        </row>
        <row r="6678">
          <cell r="A6678" t="str">
            <v>pcholn19_hs_e</v>
          </cell>
          <cell r="B6678" t="str">
            <v>pcholn19_hs</v>
          </cell>
          <cell r="C6678" t="str">
            <v>1-Nonadecanoylglycerophosphocholine, Sn1-Lpc (19:0)</v>
          </cell>
        </row>
        <row r="6679">
          <cell r="A6679" t="str">
            <v>pcholn2254_hs_e</v>
          </cell>
          <cell r="B6679" t="str">
            <v>pcholn2254_hs</v>
          </cell>
          <cell r="C6679" t="str">
            <v>1-Docosapentenoylglycerophosphocholine (Delta 4, 7, 10, 13, 16), Sn1-Lpc (22:5)-W6</v>
          </cell>
        </row>
        <row r="6680">
          <cell r="A6680" t="str">
            <v>pcholn226_hs_e</v>
          </cell>
          <cell r="B6680" t="str">
            <v>pcholn226_hs</v>
          </cell>
          <cell r="C6680" t="str">
            <v>1-Docosahexenoylglycerophosphocholine (Delta 4, 7, 10, 13, 16, 19), Sn1-Lpc (22:6)</v>
          </cell>
        </row>
        <row r="6681">
          <cell r="A6681" t="str">
            <v>pear_hs_e</v>
          </cell>
          <cell r="B6681" t="str">
            <v>pear_hs</v>
          </cell>
          <cell r="C6681" t="str">
            <v>1-Arachidonoyl-Sn-Glycero-3-Phosphoethanolamine</v>
          </cell>
        </row>
        <row r="6682">
          <cell r="A6682" t="str">
            <v>pe161_hs_e</v>
          </cell>
          <cell r="B6682" t="str">
            <v>pe161_hs</v>
          </cell>
          <cell r="C6682" t="str">
            <v>1-Hexadecenoylglycerophosphoethanolamine (C16:1 Pe, Delta 9)</v>
          </cell>
        </row>
        <row r="6683">
          <cell r="A6683" t="str">
            <v>pe15_hs_e</v>
          </cell>
          <cell r="B6683" t="str">
            <v>pe15_hs</v>
          </cell>
          <cell r="C6683" t="str">
            <v>1-Pentadecanoylglycerophosphoethanolamine (C15:0 Pe)</v>
          </cell>
        </row>
        <row r="6684">
          <cell r="A6684" t="str">
            <v>pcholn203_hs_e</v>
          </cell>
          <cell r="B6684" t="str">
            <v>pcholn203_hs</v>
          </cell>
          <cell r="C6684" t="str">
            <v>1-Dihomo-Linolenoylglycerophosphocholine (20:3, Delta 8, 11, 14), Lysopc A C20:3</v>
          </cell>
        </row>
        <row r="6685">
          <cell r="A6685" t="str">
            <v>pcholdoc_hs_e</v>
          </cell>
          <cell r="B6685" t="str">
            <v>pcholdoc_hs</v>
          </cell>
          <cell r="C6685" t="str">
            <v>1-Docosahexaenoylglycerophosphocholine</v>
          </cell>
        </row>
        <row r="6686">
          <cell r="A6686" t="str">
            <v>sphmyln18123_hs_c</v>
          </cell>
          <cell r="B6686" t="str">
            <v>sphmyln18123_hs</v>
          </cell>
          <cell r="C6686" t="str">
            <v>Sm (D18:1/23:0), Sphingomyelin</v>
          </cell>
        </row>
        <row r="6687">
          <cell r="A6687" t="str">
            <v>sphmyln181161_hs_c</v>
          </cell>
          <cell r="B6687" t="str">
            <v>sphmyln181161_hs</v>
          </cell>
          <cell r="C6687" t="str">
            <v>Sm (D18:1/16:1), Sphingomyelin</v>
          </cell>
        </row>
        <row r="6688">
          <cell r="A6688" t="str">
            <v>crvnc_l</v>
          </cell>
          <cell r="B6688" t="str">
            <v>crvnc</v>
          </cell>
          <cell r="C6688" t="str">
            <v>Cervonic acid, C22:6 n-3</v>
          </cell>
        </row>
        <row r="6689">
          <cell r="A6689" t="str">
            <v>magole_hs_e</v>
          </cell>
          <cell r="B6689" t="str">
            <v>magole_hs</v>
          </cell>
          <cell r="C6689" t="str">
            <v>1-Oleoylglycerol</v>
          </cell>
        </row>
        <row r="6690">
          <cell r="A6690" t="str">
            <v>pcholpalm_hs_c</v>
          </cell>
          <cell r="B6690" t="str">
            <v>pcholpalm_hs</v>
          </cell>
          <cell r="C6690" t="str">
            <v>1-Palmitoylglycerophosphocholine</v>
          </cell>
        </row>
        <row r="6691">
          <cell r="A6691" t="str">
            <v>pcholar_hs_c</v>
          </cell>
          <cell r="B6691" t="str">
            <v>pcholar_hs</v>
          </cell>
          <cell r="C6691" t="str">
            <v>1-Arachidonoyl-Glycero-3-Phosphocholine</v>
          </cell>
        </row>
        <row r="6692">
          <cell r="A6692" t="str">
            <v>pcholn201_hs_c</v>
          </cell>
          <cell r="B6692" t="str">
            <v>pcholn201_hs</v>
          </cell>
          <cell r="C6692" t="str">
            <v>1-Eicosenoylglycerophosphocholine (Delta 11) ,Sn1-Lpc (20:1)</v>
          </cell>
        </row>
        <row r="6693">
          <cell r="A6693" t="str">
            <v>pcholn205_hs_c</v>
          </cell>
          <cell r="B6693" t="str">
            <v>pcholn205_hs</v>
          </cell>
          <cell r="C6693" t="str">
            <v>1-Eicosapentenoylglycerophosphocholine (Delta 5, 8, 11, 14, 17), Sn1-Lpc (20:5)</v>
          </cell>
        </row>
        <row r="6694">
          <cell r="A6694" t="str">
            <v>pcholn224_hs_c</v>
          </cell>
          <cell r="B6694" t="str">
            <v>pcholn224_hs</v>
          </cell>
          <cell r="C6694" t="str">
            <v>1-Docosatetraenoylglycerophosphocholine (Delta 7, 10, 13, 16), Sn1-Lpc (22:4)</v>
          </cell>
        </row>
        <row r="6695">
          <cell r="A6695" t="str">
            <v>pe226_hs_c</v>
          </cell>
          <cell r="B6695" t="str">
            <v>pe226_hs</v>
          </cell>
          <cell r="C6695" t="str">
            <v>1-Docosahexenoylglyceroethanolamine (Delta 4, 7, 10, 13, 16, 19), Lpe (22:6)</v>
          </cell>
        </row>
        <row r="6696">
          <cell r="A6696" t="str">
            <v>pailar_hs_c</v>
          </cell>
          <cell r="B6696" t="str">
            <v>pailar_hs</v>
          </cell>
          <cell r="C6696" t="str">
            <v>1-Arachidonoylglycerophosphoinositol</v>
          </cell>
        </row>
        <row r="6697">
          <cell r="A6697" t="str">
            <v>pelinl_hs_c</v>
          </cell>
          <cell r="B6697" t="str">
            <v>pelinl_hs</v>
          </cell>
          <cell r="C6697" t="str">
            <v>1-Linoleoylglycerophosphoethanolamine (Delta 9,12)</v>
          </cell>
        </row>
        <row r="6698">
          <cell r="A6698" t="str">
            <v>hmcarn_c</v>
          </cell>
          <cell r="B6698" t="str">
            <v>hmcarn</v>
          </cell>
          <cell r="C6698" t="str">
            <v>Homocarnosine</v>
          </cell>
        </row>
        <row r="6699">
          <cell r="A6699" t="str">
            <v>elaidcrn_e</v>
          </cell>
          <cell r="B6699" t="str">
            <v>elaidcrn</v>
          </cell>
          <cell r="C6699" t="str">
            <v>Elaidic carnitine</v>
          </cell>
        </row>
        <row r="6700">
          <cell r="A6700" t="str">
            <v>lnlccrn_e</v>
          </cell>
          <cell r="B6700" t="str">
            <v>lnlccrn</v>
          </cell>
          <cell r="C6700" t="str">
            <v>Linoleyl carnitine</v>
          </cell>
        </row>
        <row r="6701">
          <cell r="A6701" t="str">
            <v>15kprostgf2_e</v>
          </cell>
          <cell r="B6701" t="str">
            <v>15kprostgf2</v>
          </cell>
          <cell r="C6701" t="str">
            <v>15-Keto-Prostaglandin F2A</v>
          </cell>
        </row>
        <row r="6702">
          <cell r="A6702" t="str">
            <v>acgly_m</v>
          </cell>
          <cell r="B6702" t="str">
            <v>acgly</v>
          </cell>
          <cell r="C6702" t="str">
            <v>Acetyl-Glycine</v>
          </cell>
        </row>
        <row r="6703">
          <cell r="A6703" t="str">
            <v>acthr__L_e</v>
          </cell>
          <cell r="B6703" t="str">
            <v>acthr__L</v>
          </cell>
          <cell r="C6703" t="str">
            <v xml:space="preserve">Acetyl-Threonine </v>
          </cell>
        </row>
        <row r="6704">
          <cell r="A6704" t="str">
            <v>C06314_e</v>
          </cell>
          <cell r="B6704" t="str">
            <v>C06314</v>
          </cell>
          <cell r="C6704" t="str">
            <v>Lipoxin A4(1-)</v>
          </cell>
        </row>
        <row r="6705">
          <cell r="A6705" t="str">
            <v>CE0955_e</v>
          </cell>
          <cell r="B6705" t="str">
            <v>CE0955</v>
          </cell>
          <cell r="C6705" t="str">
            <v>6-oxo-prostaglandin F1alpha</v>
          </cell>
        </row>
        <row r="6706">
          <cell r="A6706" t="str">
            <v>CE1297_e</v>
          </cell>
          <cell r="B6706" t="str">
            <v>CE1297</v>
          </cell>
          <cell r="C6706" t="str">
            <v>8-dehydrocholesterol; 3beta-Cholesta-5,8-dien-3-ol</v>
          </cell>
        </row>
        <row r="6707">
          <cell r="A6707" t="str">
            <v>eidi1114ac_e</v>
          </cell>
          <cell r="B6707" t="str">
            <v>eidi1114ac</v>
          </cell>
          <cell r="C6707" t="str">
            <v>Cis,Cis-11,14-Eicosadienoic Acid</v>
          </cell>
        </row>
        <row r="6708">
          <cell r="A6708" t="str">
            <v>CE6247_e</v>
          </cell>
          <cell r="B6708" t="str">
            <v>CE6247</v>
          </cell>
          <cell r="C6708" t="str">
            <v>5,12,20-TriHETE</v>
          </cell>
        </row>
        <row r="6709">
          <cell r="A6709" t="str">
            <v>CE7083_e</v>
          </cell>
          <cell r="B6709" t="str">
            <v>CE7083</v>
          </cell>
          <cell r="C6709" t="str">
            <v>Leukotriene B5</v>
          </cell>
        </row>
        <row r="6710">
          <cell r="A6710" t="str">
            <v>cortsn_e</v>
          </cell>
          <cell r="B6710" t="str">
            <v>cortsn</v>
          </cell>
          <cell r="C6710" t="str">
            <v>Cortsn r</v>
          </cell>
        </row>
        <row r="6711">
          <cell r="A6711" t="str">
            <v>diholineth_e</v>
          </cell>
          <cell r="B6711" t="str">
            <v>diholineth</v>
          </cell>
          <cell r="C6711" t="str">
            <v>Dihomo-Gamma-Linolenoyl Ethanolamide</v>
          </cell>
        </row>
        <row r="6712">
          <cell r="A6712" t="str">
            <v>docteteth_e</v>
          </cell>
          <cell r="B6712" t="str">
            <v>docteteth</v>
          </cell>
          <cell r="C6712" t="str">
            <v>Docosatetraenoyl Ethanolamide (22:4, Delta 7, 10, 13, 16)</v>
          </cell>
        </row>
        <row r="6713">
          <cell r="A6713" t="str">
            <v>hexdiac_e</v>
          </cell>
          <cell r="B6713" t="str">
            <v>hexdiac</v>
          </cell>
          <cell r="C6713" t="str">
            <v>Hexadecanediocacid</v>
          </cell>
        </row>
        <row r="6714">
          <cell r="A6714" t="str">
            <v>leuktrB4wcooh_e</v>
          </cell>
          <cell r="B6714" t="str">
            <v>leuktrB4wcooh</v>
          </cell>
          <cell r="C6714" t="str">
            <v>W-carboxy leukotriene B4</v>
          </cell>
        </row>
        <row r="6715">
          <cell r="A6715" t="str">
            <v>nwharg_e</v>
          </cell>
          <cell r="B6715" t="str">
            <v>nwharg</v>
          </cell>
          <cell r="C6715" t="str">
            <v>N-(omega)-Hydroxyarginine</v>
          </cell>
        </row>
        <row r="6716">
          <cell r="A6716" t="str">
            <v>sphmyln18115_hs_e</v>
          </cell>
          <cell r="B6716" t="str">
            <v>sphmyln18115_hs</v>
          </cell>
          <cell r="C6716" t="str">
            <v>Sm (D18:1/15:0), Sphingomyelin</v>
          </cell>
        </row>
        <row r="6717">
          <cell r="A6717" t="str">
            <v>sphmyln18117_hs_e</v>
          </cell>
          <cell r="B6717" t="str">
            <v>sphmyln18117_hs</v>
          </cell>
          <cell r="C6717" t="str">
            <v>Sm (D18:1/17:0), Sphingomyelin</v>
          </cell>
        </row>
        <row r="6718">
          <cell r="A6718" t="str">
            <v>sphmyln181181_hs_e</v>
          </cell>
          <cell r="B6718" t="str">
            <v>sphmyln181181_hs</v>
          </cell>
          <cell r="C6718" t="str">
            <v>Sm (D18:1/18:1), Sphingomyelin</v>
          </cell>
        </row>
        <row r="6719">
          <cell r="A6719" t="str">
            <v>sphmyln1824_hs_e</v>
          </cell>
          <cell r="B6719" t="str">
            <v>sphmyln1824_hs</v>
          </cell>
          <cell r="C6719" t="str">
            <v>Sm (D18:0/24:0), Sphingomyelin</v>
          </cell>
        </row>
        <row r="6720">
          <cell r="A6720" t="str">
            <v>sphmyln1825_hs_e</v>
          </cell>
          <cell r="B6720" t="str">
            <v>sphmyln1825_hs</v>
          </cell>
          <cell r="C6720" t="str">
            <v>Sm (D18:0/25:0), Sphingomyelin</v>
          </cell>
        </row>
        <row r="6721">
          <cell r="A6721" t="str">
            <v>subeac_e</v>
          </cell>
          <cell r="B6721" t="str">
            <v>subeac</v>
          </cell>
          <cell r="C6721" t="str">
            <v>Suberic acid</v>
          </cell>
        </row>
        <row r="6722">
          <cell r="A6722" t="str">
            <v>txb2_e</v>
          </cell>
          <cell r="B6722" t="str">
            <v>txb2</v>
          </cell>
          <cell r="C6722" t="str">
            <v>Thromboxane B2 cytosol</v>
          </cell>
        </row>
        <row r="6723">
          <cell r="A6723" t="str">
            <v>xolest182_hs_e</v>
          </cell>
          <cell r="B6723" t="str">
            <v>xolest182_hs</v>
          </cell>
          <cell r="C6723" t="str">
            <v>1-Linoleoyl-Cholesterol, Cholesterol-Ester (18:2, Delta 9, 12)</v>
          </cell>
        </row>
        <row r="6724">
          <cell r="A6724" t="str">
            <v>acile__L_m</v>
          </cell>
          <cell r="B6724" t="str">
            <v>acile__L</v>
          </cell>
          <cell r="C6724" t="str">
            <v>Acetyl Isoleucine (Chemspider Id: 9964364)</v>
          </cell>
        </row>
        <row r="6725">
          <cell r="A6725" t="str">
            <v>acleu__L_m</v>
          </cell>
          <cell r="B6725" t="str">
            <v>acleu__L</v>
          </cell>
          <cell r="C6725" t="str">
            <v>N-Acetylleucine</v>
          </cell>
        </row>
        <row r="6726">
          <cell r="A6726" t="str">
            <v>achom__L_c</v>
          </cell>
          <cell r="B6726" t="str">
            <v>achom__L</v>
          </cell>
          <cell r="C6726" t="str">
            <v>Acetylhomoserine</v>
          </cell>
        </row>
        <row r="6727">
          <cell r="A6727" t="str">
            <v>phacgly_e</v>
          </cell>
          <cell r="B6727" t="str">
            <v>phacgly</v>
          </cell>
          <cell r="C6727" t="str">
            <v>Phenylacetylglycine</v>
          </cell>
        </row>
        <row r="6728">
          <cell r="A6728" t="str">
            <v>urscholcoa_c</v>
          </cell>
          <cell r="B6728" t="str">
            <v>urscholcoa</v>
          </cell>
          <cell r="C6728" t="str">
            <v>Ursodeoxycholyl Coenzyme A</v>
          </cell>
        </row>
        <row r="6729">
          <cell r="A6729" t="str">
            <v>bgly_m</v>
          </cell>
          <cell r="B6729" t="str">
            <v>bgly</v>
          </cell>
          <cell r="C6729" t="str">
            <v>N-Benzoylglycine</v>
          </cell>
        </row>
        <row r="6730">
          <cell r="A6730" t="str">
            <v>pheacgly_e</v>
          </cell>
          <cell r="B6730" t="str">
            <v>pheacgly</v>
          </cell>
          <cell r="C6730" t="str">
            <v>Phenylacetylglycine</v>
          </cell>
        </row>
        <row r="6731">
          <cell r="A6731" t="str">
            <v>pcs_e</v>
          </cell>
          <cell r="B6731" t="str">
            <v>pcs</v>
          </cell>
          <cell r="C6731" t="str">
            <v>P-Cresol Sulfate</v>
          </cell>
        </row>
        <row r="6732">
          <cell r="A6732" t="str">
            <v>thbpt_e</v>
          </cell>
          <cell r="B6732" t="str">
            <v>thbpt</v>
          </cell>
          <cell r="C6732" t="str">
            <v>Tetrahydrobiopterin</v>
          </cell>
        </row>
        <row r="6733">
          <cell r="A6733" t="str">
            <v>alaarggly_e</v>
          </cell>
          <cell r="B6733" t="str">
            <v>alaarggly</v>
          </cell>
          <cell r="C6733" t="str">
            <v>Alanyl-Arginyl-Glycine</v>
          </cell>
        </row>
        <row r="6734">
          <cell r="A6734" t="str">
            <v>alahisala_e</v>
          </cell>
          <cell r="B6734" t="str">
            <v>alahisala</v>
          </cell>
          <cell r="C6734" t="str">
            <v>Alanyl-Histidyl-Alanine</v>
          </cell>
        </row>
        <row r="6735">
          <cell r="A6735" t="str">
            <v>argalaphe_e</v>
          </cell>
          <cell r="B6735" t="str">
            <v>argalaphe</v>
          </cell>
          <cell r="C6735" t="str">
            <v>Arginyl-Alanine-Phenylalanine</v>
          </cell>
        </row>
        <row r="6736">
          <cell r="A6736" t="str">
            <v>argcysgly_e</v>
          </cell>
          <cell r="B6736" t="str">
            <v>argcysgly</v>
          </cell>
          <cell r="C6736" t="str">
            <v>Arginyl-Cystinyl-Glycine</v>
          </cell>
        </row>
        <row r="6737">
          <cell r="A6737" t="str">
            <v>argcysser_e</v>
          </cell>
          <cell r="B6737" t="str">
            <v>argcysser</v>
          </cell>
          <cell r="C6737" t="str">
            <v>Arginyl-Cystinyl-Serine</v>
          </cell>
        </row>
        <row r="6738">
          <cell r="A6738" t="str">
            <v>argglygly_e</v>
          </cell>
          <cell r="B6738" t="str">
            <v>argglygly</v>
          </cell>
          <cell r="C6738" t="str">
            <v>Arginyl-Glycyl-Glycine</v>
          </cell>
        </row>
        <row r="6739">
          <cell r="A6739" t="str">
            <v>arghisthr_e</v>
          </cell>
          <cell r="B6739" t="str">
            <v>arghisthr</v>
          </cell>
          <cell r="C6739" t="str">
            <v>Arginyl-Histidyl-Threonine</v>
          </cell>
        </row>
        <row r="6740">
          <cell r="A6740" t="str">
            <v>argpromet_e</v>
          </cell>
          <cell r="B6740" t="str">
            <v>argpromet</v>
          </cell>
          <cell r="C6740" t="str">
            <v>Arginyl-Prolyl-Methionine</v>
          </cell>
        </row>
        <row r="6741">
          <cell r="A6741" t="str">
            <v>argvaltrp_e</v>
          </cell>
          <cell r="B6741" t="str">
            <v>argvaltrp</v>
          </cell>
          <cell r="C6741" t="str">
            <v>Arginyl-Valyl-Tryptophan</v>
          </cell>
        </row>
        <row r="6742">
          <cell r="A6742" t="str">
            <v>asncyscys_e</v>
          </cell>
          <cell r="B6742" t="str">
            <v>asncyscys</v>
          </cell>
          <cell r="C6742" t="str">
            <v>Asparaginyl-Cysteinyl-Cysteine</v>
          </cell>
        </row>
        <row r="6743">
          <cell r="A6743" t="str">
            <v>asntyrthr_e</v>
          </cell>
          <cell r="B6743" t="str">
            <v>asntyrthr</v>
          </cell>
          <cell r="C6743" t="str">
            <v>Asparaginyl-Tyrosyl-Threonine</v>
          </cell>
        </row>
        <row r="6744">
          <cell r="A6744" t="str">
            <v>aspglutrp_e</v>
          </cell>
          <cell r="B6744" t="str">
            <v>aspglutrp</v>
          </cell>
          <cell r="C6744" t="str">
            <v>Aspartyl-Glutamyl-Tryptophan</v>
          </cell>
        </row>
        <row r="6745">
          <cell r="A6745" t="str">
            <v>aspmetasp_e</v>
          </cell>
          <cell r="B6745" t="str">
            <v>aspmetasp</v>
          </cell>
          <cell r="C6745" t="str">
            <v>Aspartyl-Methionyl-Aspartate</v>
          </cell>
        </row>
        <row r="6746">
          <cell r="A6746" t="str">
            <v>cysaspphe_e</v>
          </cell>
          <cell r="B6746" t="str">
            <v>cysaspphe</v>
          </cell>
          <cell r="C6746" t="str">
            <v>Cystyl-Aspartyl-Phenylalanine</v>
          </cell>
        </row>
        <row r="6747">
          <cell r="A6747" t="str">
            <v>glnhishis_e</v>
          </cell>
          <cell r="B6747" t="str">
            <v>glnhishis</v>
          </cell>
          <cell r="C6747" t="str">
            <v>Glutaminyl-Histidyl-Histidine</v>
          </cell>
        </row>
        <row r="6748">
          <cell r="A6748" t="str">
            <v>glnhislys_e</v>
          </cell>
          <cell r="B6748" t="str">
            <v>glnhislys</v>
          </cell>
          <cell r="C6748" t="str">
            <v>Glutaminyl-Histidyl-Lysine</v>
          </cell>
        </row>
        <row r="6749">
          <cell r="A6749" t="str">
            <v>gluargleu_e</v>
          </cell>
          <cell r="B6749" t="str">
            <v>gluargleu</v>
          </cell>
          <cell r="C6749" t="str">
            <v>Glutaminyl-Arginyl-Leucine</v>
          </cell>
        </row>
        <row r="6750">
          <cell r="A6750" t="str">
            <v>gluasnleu_e</v>
          </cell>
          <cell r="B6750" t="str">
            <v>gluasnleu</v>
          </cell>
          <cell r="C6750" t="str">
            <v>Glutaminyl-Asparaginyl-Leucine</v>
          </cell>
        </row>
        <row r="6751">
          <cell r="A6751" t="str">
            <v>gluglu_e</v>
          </cell>
          <cell r="B6751" t="str">
            <v>gluglu</v>
          </cell>
          <cell r="C6751" t="str">
            <v>Glutamyl-Glutamate</v>
          </cell>
        </row>
        <row r="6752">
          <cell r="A6752" t="str">
            <v>glylysphe_e</v>
          </cell>
          <cell r="B6752" t="str">
            <v>glylysphe</v>
          </cell>
          <cell r="C6752" t="str">
            <v>Glycyl-Lysyl-Phenylalanine</v>
          </cell>
        </row>
        <row r="6753">
          <cell r="A6753" t="str">
            <v>glytyrlys_e</v>
          </cell>
          <cell r="B6753" t="str">
            <v>glytyrlys</v>
          </cell>
          <cell r="C6753" t="str">
            <v>Glycyl-Tyrosyl-Lysine</v>
          </cell>
        </row>
        <row r="6754">
          <cell r="A6754" t="str">
            <v>glyvalhis_e</v>
          </cell>
          <cell r="B6754" t="str">
            <v>glyvalhis</v>
          </cell>
          <cell r="C6754" t="str">
            <v>Glycyl-Valyl-Histidine</v>
          </cell>
        </row>
        <row r="6755">
          <cell r="A6755" t="str">
            <v>hisasp_e</v>
          </cell>
          <cell r="B6755" t="str">
            <v>hisasp</v>
          </cell>
          <cell r="C6755" t="str">
            <v>Histidyl-Aspartate</v>
          </cell>
        </row>
        <row r="6756">
          <cell r="A6756" t="str">
            <v>hisglylys_e</v>
          </cell>
          <cell r="B6756" t="str">
            <v>hisglylys</v>
          </cell>
          <cell r="C6756" t="str">
            <v>Histidyl-Lysyl-Lysine</v>
          </cell>
        </row>
        <row r="6757">
          <cell r="A6757" t="str">
            <v>ileglnglu_e</v>
          </cell>
          <cell r="B6757" t="str">
            <v>ileglnglu</v>
          </cell>
          <cell r="C6757" t="str">
            <v>Isolecyl-Glutaminyl-Glutamate</v>
          </cell>
        </row>
        <row r="6758">
          <cell r="A6758" t="str">
            <v>iletrptyr_e</v>
          </cell>
          <cell r="B6758" t="str">
            <v>iletrptyr</v>
          </cell>
          <cell r="C6758" t="str">
            <v>Isolecyl-Tryptophanyl-Tyrosine</v>
          </cell>
        </row>
        <row r="6759">
          <cell r="A6759" t="str">
            <v>leualaarg_e</v>
          </cell>
          <cell r="B6759" t="str">
            <v>leualaarg</v>
          </cell>
          <cell r="C6759" t="str">
            <v>Leucyl-Alanyl-Arginine</v>
          </cell>
        </row>
        <row r="6760">
          <cell r="A6760" t="str">
            <v>leutrp_e</v>
          </cell>
          <cell r="B6760" t="str">
            <v>leutrp</v>
          </cell>
          <cell r="C6760" t="str">
            <v>Leucyl-Tryptophan</v>
          </cell>
        </row>
        <row r="6761">
          <cell r="A6761" t="str">
            <v>metasntyr_e</v>
          </cell>
          <cell r="B6761" t="str">
            <v>metasntyr</v>
          </cell>
          <cell r="C6761" t="str">
            <v>Methionyl-Asparaginyl-Tyrosine</v>
          </cell>
        </row>
        <row r="6762">
          <cell r="A6762" t="str">
            <v>metmetile_e</v>
          </cell>
          <cell r="B6762" t="str">
            <v>metmetile</v>
          </cell>
          <cell r="C6762" t="str">
            <v>Methionyl-Methionyl-Isoleucine</v>
          </cell>
        </row>
        <row r="6763">
          <cell r="A6763" t="str">
            <v>pheleu_e</v>
          </cell>
          <cell r="B6763" t="str">
            <v>pheleu</v>
          </cell>
          <cell r="C6763" t="str">
            <v>Phenylalanyl-Leucine</v>
          </cell>
        </row>
        <row r="6764">
          <cell r="A6764" t="str">
            <v>pheleuasp_e</v>
          </cell>
          <cell r="B6764" t="str">
            <v>pheleuasp</v>
          </cell>
          <cell r="C6764" t="str">
            <v>Phenylalanyl-Leucyl-Aspartate</v>
          </cell>
        </row>
        <row r="6765">
          <cell r="A6765" t="str">
            <v>phephe_e</v>
          </cell>
          <cell r="B6765" t="str">
            <v>phephe</v>
          </cell>
          <cell r="C6765" t="str">
            <v>Phenylalanyl-Phenylalanine</v>
          </cell>
        </row>
        <row r="6766">
          <cell r="A6766" t="str">
            <v>phethrlys_e</v>
          </cell>
          <cell r="B6766" t="str">
            <v>phethrlys</v>
          </cell>
          <cell r="C6766" t="str">
            <v>Phenylalanyl-Threonyl-Lysine</v>
          </cell>
        </row>
        <row r="6767">
          <cell r="A6767" t="str">
            <v>phetrpleu_e</v>
          </cell>
          <cell r="B6767" t="str">
            <v>phetrpleu</v>
          </cell>
          <cell r="C6767" t="str">
            <v>Phenylalanyl-Tryptophanyl-Leucine</v>
          </cell>
        </row>
        <row r="6768">
          <cell r="A6768" t="str">
            <v>phetyrlys_e</v>
          </cell>
          <cell r="B6768" t="str">
            <v>phetyrlys</v>
          </cell>
          <cell r="C6768" t="str">
            <v>Phenylalanyl-Tyrosinyl-Lysine</v>
          </cell>
        </row>
        <row r="6769">
          <cell r="A6769" t="str">
            <v>prophe_e</v>
          </cell>
          <cell r="B6769" t="str">
            <v>prophe</v>
          </cell>
          <cell r="C6769" t="str">
            <v>Prolyl-Phenylalanine</v>
          </cell>
        </row>
        <row r="6770">
          <cell r="A6770" t="str">
            <v>propropro_e</v>
          </cell>
          <cell r="B6770" t="str">
            <v>propropro</v>
          </cell>
          <cell r="C6770" t="str">
            <v>Prolyl-Prolyl-Proline</v>
          </cell>
        </row>
        <row r="6771">
          <cell r="A6771" t="str">
            <v>serargala_e</v>
          </cell>
          <cell r="B6771" t="str">
            <v>serargala</v>
          </cell>
          <cell r="C6771" t="str">
            <v>Seryl-Arginyl-Alanine</v>
          </cell>
        </row>
        <row r="6772">
          <cell r="A6772" t="str">
            <v>thrasntyr_e</v>
          </cell>
          <cell r="B6772" t="str">
            <v>thrasntyr</v>
          </cell>
          <cell r="C6772" t="str">
            <v>Threonyl-Asparaginyl-Tyrosine</v>
          </cell>
        </row>
        <row r="6773">
          <cell r="A6773" t="str">
            <v>trpalapro_e</v>
          </cell>
          <cell r="B6773" t="str">
            <v>trpalapro</v>
          </cell>
          <cell r="C6773" t="str">
            <v>Tryptophanyl-Alanyl-Proline</v>
          </cell>
        </row>
        <row r="6774">
          <cell r="A6774" t="str">
            <v>trpglngln_e</v>
          </cell>
          <cell r="B6774" t="str">
            <v>trpglngln</v>
          </cell>
          <cell r="C6774" t="str">
            <v>Tryptophanyl-Glutaminyl-Glutamine</v>
          </cell>
        </row>
        <row r="6775">
          <cell r="A6775" t="str">
            <v>trpglugly_e</v>
          </cell>
          <cell r="B6775" t="str">
            <v>trpglugly</v>
          </cell>
          <cell r="C6775" t="str">
            <v>Tryptophanyl-Glutamyl-Glycine</v>
          </cell>
        </row>
        <row r="6776">
          <cell r="A6776" t="str">
            <v>trpglutyr_e</v>
          </cell>
          <cell r="B6776" t="str">
            <v>trpglutyr</v>
          </cell>
          <cell r="C6776" t="str">
            <v>Tryptophanyl-Glutamyl-Tyrosine</v>
          </cell>
        </row>
        <row r="6777">
          <cell r="A6777" t="str">
            <v>trpilelys_e</v>
          </cell>
          <cell r="B6777" t="str">
            <v>trpilelys</v>
          </cell>
          <cell r="C6777" t="str">
            <v>Tryptophanyl-Isoleucyl-Lysine</v>
          </cell>
        </row>
        <row r="6778">
          <cell r="A6778" t="str">
            <v>trplys_e</v>
          </cell>
          <cell r="B6778" t="str">
            <v>trplys</v>
          </cell>
          <cell r="C6778" t="str">
            <v>Tryptophanyl-Lysine</v>
          </cell>
        </row>
        <row r="6779">
          <cell r="A6779" t="str">
            <v>trptyrtyr_e</v>
          </cell>
          <cell r="B6779" t="str">
            <v>trptyrtyr</v>
          </cell>
          <cell r="C6779" t="str">
            <v>Tryptophanyl-Tyrosyl-Tyrosine</v>
          </cell>
        </row>
        <row r="6780">
          <cell r="A6780" t="str">
            <v>tyrala_e</v>
          </cell>
          <cell r="B6780" t="str">
            <v>tyrala</v>
          </cell>
          <cell r="C6780" t="str">
            <v>Tyrosyl-Alanine</v>
          </cell>
        </row>
        <row r="6781">
          <cell r="A6781" t="str">
            <v>tyralaphe_e</v>
          </cell>
          <cell r="B6781" t="str">
            <v>tyralaphe</v>
          </cell>
          <cell r="C6781" t="str">
            <v>Tyrosyl-Alaninyl-Phenylalanine</v>
          </cell>
        </row>
        <row r="6782">
          <cell r="A6782" t="str">
            <v>tyrcysgly_e</v>
          </cell>
          <cell r="B6782" t="str">
            <v>tyrcysgly</v>
          </cell>
          <cell r="C6782" t="str">
            <v>Tyrosyl-Cysteinyl-Glycine</v>
          </cell>
        </row>
        <row r="6783">
          <cell r="A6783" t="str">
            <v>tyrcysthr_e</v>
          </cell>
          <cell r="B6783" t="str">
            <v>tyrcysthr</v>
          </cell>
          <cell r="C6783" t="str">
            <v>Tyrosyl-Cysteinyl-Threonine</v>
          </cell>
        </row>
        <row r="6784">
          <cell r="A6784" t="str">
            <v>tyrleuarg_e</v>
          </cell>
          <cell r="B6784" t="str">
            <v>tyrleuarg</v>
          </cell>
          <cell r="C6784" t="str">
            <v>Tyrosyl-Leucyl-Arginine</v>
          </cell>
        </row>
        <row r="6785">
          <cell r="A6785" t="str">
            <v>tyrtrpphe_e</v>
          </cell>
          <cell r="B6785" t="str">
            <v>tyrtrpphe</v>
          </cell>
          <cell r="C6785" t="str">
            <v>Tyrosyl-Tryptophanyl-Phenylalanine</v>
          </cell>
        </row>
        <row r="6786">
          <cell r="A6786" t="str">
            <v>tyrvalmet_e</v>
          </cell>
          <cell r="B6786" t="str">
            <v>tyrvalmet</v>
          </cell>
          <cell r="C6786" t="str">
            <v>Tyrosyl-Valyl-Methionine</v>
          </cell>
        </row>
        <row r="6787">
          <cell r="A6787" t="str">
            <v>valval_e</v>
          </cell>
          <cell r="B6787" t="str">
            <v>valval</v>
          </cell>
          <cell r="C6787" t="str">
            <v>Valyl-Valine</v>
          </cell>
        </row>
        <row r="6788">
          <cell r="A6788" t="str">
            <v>trpglyasp_e</v>
          </cell>
          <cell r="B6788" t="str">
            <v>trpglyasp</v>
          </cell>
          <cell r="C6788" t="str">
            <v>Tryptophanyl-Glycyl-Aspartate</v>
          </cell>
        </row>
        <row r="6789">
          <cell r="A6789" t="str">
            <v>alaargcys_c</v>
          </cell>
          <cell r="B6789" t="str">
            <v>alaargcys</v>
          </cell>
          <cell r="C6789" t="str">
            <v>Alanyl-Arginyl-Cysteine</v>
          </cell>
        </row>
        <row r="6790">
          <cell r="A6790" t="str">
            <v>alaasnleu_c</v>
          </cell>
          <cell r="B6790" t="str">
            <v>alaasnleu</v>
          </cell>
          <cell r="C6790" t="str">
            <v>Alanyl-Asparaginyl-Leucine</v>
          </cell>
        </row>
        <row r="6791">
          <cell r="A6791" t="str">
            <v>alaglylys_c</v>
          </cell>
          <cell r="B6791" t="str">
            <v>alaglylys</v>
          </cell>
          <cell r="C6791" t="str">
            <v>Alanyl-Glycyl-Lysine</v>
          </cell>
        </row>
        <row r="6792">
          <cell r="A6792" t="str">
            <v>argarglys_c</v>
          </cell>
          <cell r="B6792" t="str">
            <v>argarglys</v>
          </cell>
          <cell r="C6792" t="str">
            <v>Arginyl-Arginyl-Lysine</v>
          </cell>
        </row>
        <row r="6793">
          <cell r="A6793" t="str">
            <v>argargmet_c</v>
          </cell>
          <cell r="B6793" t="str">
            <v>argargmet</v>
          </cell>
          <cell r="C6793" t="str">
            <v>Arginyl-Arginyl-Metheonine</v>
          </cell>
        </row>
        <row r="6794">
          <cell r="A6794" t="str">
            <v>argleuphe_c</v>
          </cell>
          <cell r="B6794" t="str">
            <v>argleuphe</v>
          </cell>
          <cell r="C6794" t="str">
            <v>Arginyl-Leucyl-Phenylalanine</v>
          </cell>
        </row>
        <row r="6795">
          <cell r="A6795" t="str">
            <v>arglysasp_c</v>
          </cell>
          <cell r="B6795" t="str">
            <v>arglysasp</v>
          </cell>
          <cell r="C6795" t="str">
            <v>Arginyl-Lysyl-Aspartate</v>
          </cell>
        </row>
        <row r="6796">
          <cell r="A6796" t="str">
            <v>argtyrval_c</v>
          </cell>
          <cell r="B6796" t="str">
            <v>argtyrval</v>
          </cell>
          <cell r="C6796" t="str">
            <v>Argtyrval</v>
          </cell>
        </row>
        <row r="6797">
          <cell r="A6797" t="str">
            <v>asnmetpro_c</v>
          </cell>
          <cell r="B6797" t="str">
            <v>asnmetpro</v>
          </cell>
          <cell r="C6797" t="str">
            <v>Asparaginyl-Methionyl-Proline</v>
          </cell>
        </row>
        <row r="6798">
          <cell r="A6798" t="str">
            <v>asnphecys_c</v>
          </cell>
          <cell r="B6798" t="str">
            <v>asnphecys</v>
          </cell>
          <cell r="C6798" t="str">
            <v>Asparaginyl-Phenylalanyl-Cysteine</v>
          </cell>
        </row>
        <row r="6799">
          <cell r="A6799" t="str">
            <v>aspalaarg_c</v>
          </cell>
          <cell r="B6799" t="str">
            <v>aspalaarg</v>
          </cell>
          <cell r="C6799" t="str">
            <v>Asparaginyl-Alanyl-Arginine</v>
          </cell>
        </row>
        <row r="6800">
          <cell r="A6800" t="str">
            <v>aspglu_c</v>
          </cell>
          <cell r="B6800" t="str">
            <v>aspglu</v>
          </cell>
          <cell r="C6800" t="str">
            <v>Aspartyl-Glutamate</v>
          </cell>
        </row>
        <row r="6801">
          <cell r="A6801" t="str">
            <v>asphispro_c</v>
          </cell>
          <cell r="B6801" t="str">
            <v>asphispro</v>
          </cell>
          <cell r="C6801" t="str">
            <v>Aspartyl-Histidyl-Proline</v>
          </cell>
        </row>
        <row r="6802">
          <cell r="A6802" t="str">
            <v>aspprolys_c</v>
          </cell>
          <cell r="B6802" t="str">
            <v>aspprolys</v>
          </cell>
          <cell r="C6802" t="str">
            <v>Aspartyl-Prolyl-Lysine</v>
          </cell>
        </row>
        <row r="6803">
          <cell r="A6803" t="str">
            <v>cyssermet_c</v>
          </cell>
          <cell r="B6803" t="str">
            <v>cyssermet</v>
          </cell>
          <cell r="C6803" t="str">
            <v>Cystyl-Seryl-Methionine</v>
          </cell>
        </row>
        <row r="6804">
          <cell r="A6804" t="str">
            <v>glnlystrp_c</v>
          </cell>
          <cell r="B6804" t="str">
            <v>glnlystrp</v>
          </cell>
          <cell r="C6804" t="str">
            <v>Glutaminyl-Lysyl-Tryptophan</v>
          </cell>
        </row>
        <row r="6805">
          <cell r="A6805" t="str">
            <v>gluthr_c</v>
          </cell>
          <cell r="B6805" t="str">
            <v>gluthr</v>
          </cell>
          <cell r="C6805" t="str">
            <v>Glutamyl-Threonine</v>
          </cell>
        </row>
        <row r="6806">
          <cell r="A6806" t="str">
            <v>hisargcys_c</v>
          </cell>
          <cell r="B6806" t="str">
            <v>hisargcys</v>
          </cell>
          <cell r="C6806" t="str">
            <v>Histidyl-Arginyl-Cysteine</v>
          </cell>
        </row>
        <row r="6807">
          <cell r="A6807" t="str">
            <v>hiscyscys_c</v>
          </cell>
          <cell r="B6807" t="str">
            <v>hiscyscys</v>
          </cell>
          <cell r="C6807" t="str">
            <v>Histidyl-Cystyl-Cysteine</v>
          </cell>
        </row>
        <row r="6808">
          <cell r="A6808" t="str">
            <v>hisglugln_c</v>
          </cell>
          <cell r="B6808" t="str">
            <v>hisglugln</v>
          </cell>
          <cell r="C6808" t="str">
            <v>Histidyl-Glutamyl-Glutamine</v>
          </cell>
        </row>
        <row r="6809">
          <cell r="A6809" t="str">
            <v>hislysval_c</v>
          </cell>
          <cell r="B6809" t="str">
            <v>hislysval</v>
          </cell>
          <cell r="C6809" t="str">
            <v>Histidyl-Lysyl-Valine</v>
          </cell>
        </row>
        <row r="6810">
          <cell r="A6810" t="str">
            <v>hismet_c</v>
          </cell>
          <cell r="B6810" t="str">
            <v>hismet</v>
          </cell>
          <cell r="C6810" t="str">
            <v>Histidyl-Methionine</v>
          </cell>
        </row>
        <row r="6811">
          <cell r="A6811" t="str">
            <v>ileargile_c</v>
          </cell>
          <cell r="B6811" t="str">
            <v>ileargile</v>
          </cell>
          <cell r="C6811" t="str">
            <v>Isoleucyl-Arginyl-Isoleucine</v>
          </cell>
        </row>
        <row r="6812">
          <cell r="A6812" t="str">
            <v>ileasnhis_c</v>
          </cell>
          <cell r="B6812" t="str">
            <v>ileasnhis</v>
          </cell>
          <cell r="C6812" t="str">
            <v>Isoleucyl-Asparaginyl-Histidine</v>
          </cell>
        </row>
        <row r="6813">
          <cell r="A6813" t="str">
            <v>leupro_c</v>
          </cell>
          <cell r="B6813" t="str">
            <v>leupro</v>
          </cell>
          <cell r="C6813" t="str">
            <v>Leucyl-Proline</v>
          </cell>
        </row>
        <row r="6814">
          <cell r="A6814" t="str">
            <v>leusertrp_c</v>
          </cell>
          <cell r="B6814" t="str">
            <v>leusertrp</v>
          </cell>
          <cell r="C6814" t="str">
            <v>Leucyl-Seryl-Tryptophan</v>
          </cell>
        </row>
        <row r="6815">
          <cell r="A6815" t="str">
            <v>leutrparg_c</v>
          </cell>
          <cell r="B6815" t="str">
            <v>leutrparg</v>
          </cell>
          <cell r="C6815" t="str">
            <v>Leucyl-Tryptophanyl-Arginine</v>
          </cell>
        </row>
        <row r="6816">
          <cell r="A6816" t="str">
            <v>lysargleu_c</v>
          </cell>
          <cell r="B6816" t="str">
            <v>lysargleu</v>
          </cell>
          <cell r="C6816" t="str">
            <v>Lysyl-Arginyl-Leucine</v>
          </cell>
        </row>
        <row r="6817">
          <cell r="A6817" t="str">
            <v>lysgluglu_c</v>
          </cell>
          <cell r="B6817" t="str">
            <v>lysgluglu</v>
          </cell>
          <cell r="C6817" t="str">
            <v>Lysyl-Glutamyl-Glutamate</v>
          </cell>
        </row>
        <row r="6818">
          <cell r="A6818" t="str">
            <v>lyspheile_c</v>
          </cell>
          <cell r="B6818" t="str">
            <v>lyspheile</v>
          </cell>
          <cell r="C6818" t="str">
            <v>Lysyl-Phenylalanyl-Isoleucine</v>
          </cell>
        </row>
        <row r="6819">
          <cell r="A6819" t="str">
            <v>lysvalphe_c</v>
          </cell>
          <cell r="B6819" t="str">
            <v>lysvalphe</v>
          </cell>
          <cell r="C6819" t="str">
            <v>Lysyl-Valyl-Phenylalanine</v>
          </cell>
        </row>
        <row r="6820">
          <cell r="A6820" t="str">
            <v>metargleu_c</v>
          </cell>
          <cell r="B6820" t="str">
            <v>metargleu</v>
          </cell>
          <cell r="C6820" t="str">
            <v>Methionyl-Arginyl-Leucine</v>
          </cell>
        </row>
        <row r="6821">
          <cell r="A6821" t="str">
            <v>metphearg_c</v>
          </cell>
          <cell r="B6821" t="str">
            <v>metphearg</v>
          </cell>
          <cell r="C6821" t="str">
            <v>Methionyl-Phenylalanyl-Arginine</v>
          </cell>
        </row>
        <row r="6822">
          <cell r="A6822" t="str">
            <v>pheasnmet_c</v>
          </cell>
          <cell r="B6822" t="str">
            <v>pheasnmet</v>
          </cell>
          <cell r="C6822" t="str">
            <v>Phenylalanyl-Asparaginyl-Methionine</v>
          </cell>
        </row>
        <row r="6823">
          <cell r="A6823" t="str">
            <v>phetyr_c</v>
          </cell>
          <cell r="B6823" t="str">
            <v>phetyr</v>
          </cell>
          <cell r="C6823" t="str">
            <v>Phenylalanyl-Tyrosine</v>
          </cell>
        </row>
        <row r="6824">
          <cell r="A6824" t="str">
            <v>phetyrgln_c</v>
          </cell>
          <cell r="B6824" t="str">
            <v>phetyrgln</v>
          </cell>
          <cell r="C6824" t="str">
            <v>Phenylalanyl-Tyrosinyl-Glutamine</v>
          </cell>
        </row>
        <row r="6825">
          <cell r="A6825" t="str">
            <v>proargasp_c</v>
          </cell>
          <cell r="B6825" t="str">
            <v>proargasp</v>
          </cell>
          <cell r="C6825" t="str">
            <v>Prolyl-Arginyl-Aspartate</v>
          </cell>
        </row>
        <row r="6826">
          <cell r="A6826" t="str">
            <v>proargcys_c</v>
          </cell>
          <cell r="B6826" t="str">
            <v>proargcys</v>
          </cell>
          <cell r="C6826" t="str">
            <v>Prolyl-Arginyl-Cysteine</v>
          </cell>
        </row>
        <row r="6827">
          <cell r="A6827" t="str">
            <v>proasncys_c</v>
          </cell>
          <cell r="B6827" t="str">
            <v>proasncys</v>
          </cell>
          <cell r="C6827" t="str">
            <v>Prolyl-Asparaginyl-Cysteine</v>
          </cell>
        </row>
        <row r="6828">
          <cell r="A6828" t="str">
            <v>procys_c</v>
          </cell>
          <cell r="B6828" t="str">
            <v>procys</v>
          </cell>
          <cell r="C6828" t="str">
            <v>Prolyl-Cysteine</v>
          </cell>
        </row>
        <row r="6829">
          <cell r="A6829" t="str">
            <v>prohistyr_c</v>
          </cell>
          <cell r="B6829" t="str">
            <v>prohistyr</v>
          </cell>
          <cell r="C6829" t="str">
            <v>Prolyl-Histidyl-Tyrosine</v>
          </cell>
        </row>
        <row r="6830">
          <cell r="A6830" t="str">
            <v>proleuarg_c</v>
          </cell>
          <cell r="B6830" t="str">
            <v>proleuarg</v>
          </cell>
          <cell r="C6830" t="str">
            <v>Prolyl-Leucyl-Arginine</v>
          </cell>
        </row>
        <row r="6831">
          <cell r="A6831" t="str">
            <v>proproarg_c</v>
          </cell>
          <cell r="B6831" t="str">
            <v>proproarg</v>
          </cell>
          <cell r="C6831" t="str">
            <v>Prolyl-Prolyl-Arginine</v>
          </cell>
        </row>
        <row r="6832">
          <cell r="A6832" t="str">
            <v>serargtrp_c</v>
          </cell>
          <cell r="B6832" t="str">
            <v>serargtrp</v>
          </cell>
          <cell r="C6832" t="str">
            <v>Seryl-Arginyl-Tryptophan</v>
          </cell>
        </row>
        <row r="6833">
          <cell r="A6833" t="str">
            <v>thrargtyr_c</v>
          </cell>
          <cell r="B6833" t="str">
            <v>thrargtyr</v>
          </cell>
          <cell r="C6833" t="str">
            <v>Threonyl-Arginyl-Tyrosine</v>
          </cell>
        </row>
        <row r="6834">
          <cell r="A6834" t="str">
            <v>thrilearg_c</v>
          </cell>
          <cell r="B6834" t="str">
            <v>thrilearg</v>
          </cell>
          <cell r="C6834" t="str">
            <v>Threonyl-Isoleucyl-Arginine</v>
          </cell>
        </row>
        <row r="6835">
          <cell r="A6835" t="str">
            <v>thrmetarg_c</v>
          </cell>
          <cell r="B6835" t="str">
            <v>thrmetarg</v>
          </cell>
          <cell r="C6835" t="str">
            <v>Threonyl-Methionyl-Arginine</v>
          </cell>
        </row>
        <row r="6836">
          <cell r="A6836" t="str">
            <v>thrphearg_c</v>
          </cell>
          <cell r="B6836" t="str">
            <v>thrphearg</v>
          </cell>
          <cell r="C6836" t="str">
            <v>Threonyl-Phenylalanyl-Arginine</v>
          </cell>
        </row>
        <row r="6837">
          <cell r="A6837" t="str">
            <v>thrthrarg_c</v>
          </cell>
          <cell r="B6837" t="str">
            <v>thrthrarg</v>
          </cell>
          <cell r="C6837" t="str">
            <v>Threonyl-Threonyl-Arginine</v>
          </cell>
        </row>
        <row r="6838">
          <cell r="A6838" t="str">
            <v>trpglyleu_c</v>
          </cell>
          <cell r="B6838" t="str">
            <v>trpglyleu</v>
          </cell>
          <cell r="C6838" t="str">
            <v>Tryptophanyl-Glycyl-Leucine</v>
          </cell>
        </row>
        <row r="6839">
          <cell r="A6839" t="str">
            <v>trphismet_c</v>
          </cell>
          <cell r="B6839" t="str">
            <v>trphismet</v>
          </cell>
          <cell r="C6839" t="str">
            <v>Tryptophanyl-Histidyl-Methionine</v>
          </cell>
        </row>
        <row r="6840">
          <cell r="A6840" t="str">
            <v>trpleuval_c</v>
          </cell>
          <cell r="B6840" t="str">
            <v>trpleuval</v>
          </cell>
          <cell r="C6840" t="str">
            <v>Tryptophanyl-Leucyl-Valine</v>
          </cell>
        </row>
        <row r="6841">
          <cell r="A6841" t="str">
            <v>trpmetval_c</v>
          </cell>
          <cell r="B6841" t="str">
            <v>trpmetval</v>
          </cell>
          <cell r="C6841" t="str">
            <v>Tryptophanyl-Methionyl-Valine</v>
          </cell>
        </row>
        <row r="6842">
          <cell r="A6842" t="str">
            <v>trpthrglu_c</v>
          </cell>
          <cell r="B6842" t="str">
            <v>trpthrglu</v>
          </cell>
          <cell r="C6842" t="str">
            <v>Tryptophanyl-Threonyl-Glutamate</v>
          </cell>
        </row>
        <row r="6843">
          <cell r="A6843" t="str">
            <v>trpvalasp_c</v>
          </cell>
          <cell r="B6843" t="str">
            <v>trpvalasp</v>
          </cell>
          <cell r="C6843" t="str">
            <v>Tryptophanyl-Valyl-Aspartate</v>
          </cell>
        </row>
        <row r="6844">
          <cell r="A6844" t="str">
            <v>tyrargser_c</v>
          </cell>
          <cell r="B6844" t="str">
            <v>tyrargser</v>
          </cell>
          <cell r="C6844" t="str">
            <v>Tyrosyl-Arginyl-Serine</v>
          </cell>
        </row>
        <row r="6845">
          <cell r="A6845" t="str">
            <v>tyrphetyr_c</v>
          </cell>
          <cell r="B6845" t="str">
            <v>tyrphetyr</v>
          </cell>
          <cell r="C6845" t="str">
            <v>Tyrosyl-Phenylalanyl-Tyrosine</v>
          </cell>
        </row>
        <row r="6846">
          <cell r="A6846" t="str">
            <v>tyrthr_c</v>
          </cell>
          <cell r="B6846" t="str">
            <v>tyrthr</v>
          </cell>
          <cell r="C6846" t="str">
            <v>Tyrosyl-Threonine</v>
          </cell>
        </row>
        <row r="6847">
          <cell r="A6847" t="str">
            <v>tyrtyr_c</v>
          </cell>
          <cell r="B6847" t="str">
            <v>tyrtyr</v>
          </cell>
          <cell r="C6847" t="str">
            <v>Tyrosyl-Tyrosine</v>
          </cell>
        </row>
        <row r="6848">
          <cell r="A6848" t="str">
            <v>valarggly_c</v>
          </cell>
          <cell r="B6848" t="str">
            <v>valarggly</v>
          </cell>
          <cell r="C6848" t="str">
            <v>Valyl-Arginyl-Glycine</v>
          </cell>
        </row>
        <row r="6849">
          <cell r="A6849" t="str">
            <v>valleuphe_c</v>
          </cell>
          <cell r="B6849" t="str">
            <v>valleuphe</v>
          </cell>
          <cell r="C6849" t="str">
            <v>Valyl-Leucyl-Phenylalanine</v>
          </cell>
        </row>
        <row r="6850">
          <cell r="A6850" t="str">
            <v>valserarg_c</v>
          </cell>
          <cell r="B6850" t="str">
            <v>valserarg</v>
          </cell>
          <cell r="C6850" t="str">
            <v>Valyl-Seryl-Arginine</v>
          </cell>
        </row>
        <row r="6851">
          <cell r="A6851" t="str">
            <v>homoval_e</v>
          </cell>
          <cell r="B6851" t="str">
            <v>homoval</v>
          </cell>
          <cell r="C6851" t="str">
            <v>Homovanillate</v>
          </cell>
        </row>
        <row r="6852">
          <cell r="A6852" t="str">
            <v>xolest226_hs_c</v>
          </cell>
          <cell r="B6852" t="str">
            <v>xolest226_hs</v>
          </cell>
          <cell r="C6852" t="str">
            <v>Cholesteryl Docosahexanoate, Cholesterol-Ester (22:6, Delta 4,7,10,13,16,19)</v>
          </cell>
        </row>
        <row r="6853">
          <cell r="A6853" t="str">
            <v>gncore2_c</v>
          </cell>
          <cell r="B6853" t="str">
            <v>gncore2</v>
          </cell>
          <cell r="C6853" t="str">
            <v>GlcNAc-alpha-1,4-Core 2</v>
          </cell>
        </row>
        <row r="6854">
          <cell r="A6854" t="str">
            <v>Lhcystin_c</v>
          </cell>
          <cell r="B6854" t="str">
            <v>Lhcystin</v>
          </cell>
          <cell r="C6854" t="str">
            <v>L-Homocystine</v>
          </cell>
        </row>
        <row r="6855">
          <cell r="A6855" t="str">
            <v>core4_e</v>
          </cell>
          <cell r="B6855" t="str">
            <v>core4</v>
          </cell>
          <cell r="C6855" t="str">
            <v>Core4 g</v>
          </cell>
        </row>
        <row r="6856">
          <cell r="A6856" t="str">
            <v>core5_e</v>
          </cell>
          <cell r="B6856" t="str">
            <v>core5</v>
          </cell>
          <cell r="C6856" t="str">
            <v>Core5 g</v>
          </cell>
        </row>
        <row r="6857">
          <cell r="A6857" t="str">
            <v>core8_e</v>
          </cell>
          <cell r="B6857" t="str">
            <v>core8</v>
          </cell>
          <cell r="C6857" t="str">
            <v>Core8 g</v>
          </cell>
        </row>
        <row r="6858">
          <cell r="A6858" t="str">
            <v>dsT_antigen_e</v>
          </cell>
          <cell r="B6858" t="str">
            <v>dsT_antigen</v>
          </cell>
          <cell r="C6858" t="str">
            <v>DsT antigen g</v>
          </cell>
        </row>
        <row r="6859">
          <cell r="A6859" t="str">
            <v>galam_c</v>
          </cell>
          <cell r="B6859" t="str">
            <v>galam</v>
          </cell>
          <cell r="C6859" t="str">
            <v>D Galactosamine C6H13NO5</v>
          </cell>
        </row>
        <row r="6860">
          <cell r="A6860" t="str">
            <v>mqn9_c</v>
          </cell>
          <cell r="B6860" t="str">
            <v>mqn9</v>
          </cell>
          <cell r="C6860" t="str">
            <v>Menaquinone-9</v>
          </cell>
        </row>
        <row r="6861">
          <cell r="A6861" t="str">
            <v>s2l2n2m2m_e</v>
          </cell>
          <cell r="B6861" t="str">
            <v>s2l2n2m2m</v>
          </cell>
          <cell r="C6861" t="str">
            <v>De-Fuc form of PA6 (w/o peptide linkage)</v>
          </cell>
        </row>
        <row r="6862">
          <cell r="A6862" t="str">
            <v>f1a_e</v>
          </cell>
          <cell r="B6862" t="str">
            <v>f1a</v>
          </cell>
          <cell r="C6862" t="str">
            <v>F1alpha</v>
          </cell>
        </row>
        <row r="6863">
          <cell r="A6863" t="str">
            <v>lpam_e</v>
          </cell>
          <cell r="B6863" t="str">
            <v>lpam</v>
          </cell>
          <cell r="C6863" t="str">
            <v>Lipoamide C8H15NOS2</v>
          </cell>
        </row>
        <row r="6864">
          <cell r="A6864" t="str">
            <v>34dhpha_e</v>
          </cell>
          <cell r="B6864" t="str">
            <v>34dhpha</v>
          </cell>
          <cell r="C6864" t="str">
            <v>3-4-Dihydroxyphenylacetate</v>
          </cell>
        </row>
        <row r="6865">
          <cell r="A6865" t="str">
            <v>CE4970_c</v>
          </cell>
          <cell r="B6865" t="str">
            <v>CE4970</v>
          </cell>
          <cell r="C6865" t="str">
            <v>2-methylbutyrylglycine</v>
          </cell>
        </row>
        <row r="6866">
          <cell r="A6866" t="str">
            <v>CE2026_e</v>
          </cell>
          <cell r="B6866" t="str">
            <v>CE2026</v>
          </cell>
          <cell r="C6866" t="str">
            <v>3-methylcrotonoylglycine</v>
          </cell>
        </row>
        <row r="6867">
          <cell r="A6867" t="str">
            <v>CE4968_e</v>
          </cell>
          <cell r="B6867" t="str">
            <v>CE4968</v>
          </cell>
          <cell r="C6867" t="str">
            <v>Isovalerylglycine</v>
          </cell>
        </row>
        <row r="6868">
          <cell r="A6868" t="str">
            <v>actyr_c</v>
          </cell>
          <cell r="B6868" t="str">
            <v>actyr</v>
          </cell>
          <cell r="C6868" t="str">
            <v>N-Acetyl-Tyrosine</v>
          </cell>
        </row>
        <row r="6869">
          <cell r="A6869" t="str">
            <v>sucacetat_c</v>
          </cell>
          <cell r="B6869" t="str">
            <v>sucacetat</v>
          </cell>
          <cell r="C6869" t="str">
            <v>Succinyl-Acetoacetate</v>
          </cell>
        </row>
        <row r="6870">
          <cell r="A6870" t="str">
            <v>nacvanala_c</v>
          </cell>
          <cell r="B6870" t="str">
            <v>nacvanala</v>
          </cell>
          <cell r="C6870" t="str">
            <v>N-Acetylvanilalanine</v>
          </cell>
        </row>
        <row r="6871">
          <cell r="A6871" t="str">
            <v>2hiv_c</v>
          </cell>
          <cell r="B6871" t="str">
            <v>2hiv</v>
          </cell>
          <cell r="C6871" t="str">
            <v>2-Hydroxy-Isovalerate</v>
          </cell>
        </row>
        <row r="6872">
          <cell r="A6872" t="str">
            <v>2m3hbu_c</v>
          </cell>
          <cell r="B6872" t="str">
            <v>2m3hbu</v>
          </cell>
          <cell r="C6872" t="str">
            <v>2-Methyl-3-Hydroxy-Butyrate</v>
          </cell>
        </row>
        <row r="6873">
          <cell r="A6873" t="str">
            <v>2m3ovac_c</v>
          </cell>
          <cell r="B6873" t="str">
            <v>2m3ovac</v>
          </cell>
          <cell r="C6873" t="str">
            <v>2-Methyl-3-Oxo-Valerate</v>
          </cell>
        </row>
        <row r="6874">
          <cell r="A6874" t="str">
            <v>3mglutac_c</v>
          </cell>
          <cell r="B6874" t="str">
            <v>3mglutac</v>
          </cell>
          <cell r="C6874" t="str">
            <v>3-Methyl-Glutaconate</v>
          </cell>
        </row>
        <row r="6875">
          <cell r="A6875" t="str">
            <v>3mglutr_c</v>
          </cell>
          <cell r="B6875" t="str">
            <v>3mglutr</v>
          </cell>
          <cell r="C6875" t="str">
            <v>3-Methyl-Glutarate</v>
          </cell>
        </row>
        <row r="6876">
          <cell r="A6876" t="str">
            <v>ppiogly_e</v>
          </cell>
          <cell r="B6876" t="str">
            <v>ppiogly</v>
          </cell>
          <cell r="C6876" t="str">
            <v>Propionyl-Glycine</v>
          </cell>
        </row>
        <row r="6877">
          <cell r="A6877" t="str">
            <v>mvlac_e</v>
          </cell>
          <cell r="B6877" t="str">
            <v>mvlac</v>
          </cell>
          <cell r="C6877" t="str">
            <v>Mevalonate-Lactone</v>
          </cell>
        </row>
        <row r="6878">
          <cell r="A6878" t="str">
            <v>tiggly_e</v>
          </cell>
          <cell r="B6878" t="str">
            <v>tiggly</v>
          </cell>
          <cell r="C6878" t="str">
            <v>Tiglyl Glycine</v>
          </cell>
        </row>
        <row r="6879">
          <cell r="A6879" t="str">
            <v>3ohglutac_c</v>
          </cell>
          <cell r="B6879" t="str">
            <v>3ohglutac</v>
          </cell>
          <cell r="C6879" t="str">
            <v>3-Hydroxy-Glutarate</v>
          </cell>
        </row>
        <row r="6880">
          <cell r="A6880" t="str">
            <v>glutcon_e</v>
          </cell>
          <cell r="B6880" t="str">
            <v>glutcon</v>
          </cell>
          <cell r="C6880" t="str">
            <v>Glutaconate</v>
          </cell>
        </row>
        <row r="6881">
          <cell r="A6881" t="str">
            <v>3hadicoa_x</v>
          </cell>
          <cell r="B6881" t="str">
            <v>3hadicoa</v>
          </cell>
          <cell r="C6881" t="str">
            <v>3-Hydroxy-Adipoyl Coenzyme A</v>
          </cell>
        </row>
        <row r="6882">
          <cell r="A6882" t="str">
            <v>3ohsebac_x</v>
          </cell>
          <cell r="B6882" t="str">
            <v>3ohsebac</v>
          </cell>
          <cell r="C6882" t="str">
            <v>3-Hydroxy-Sebacic Acid</v>
          </cell>
        </row>
        <row r="6883">
          <cell r="A6883" t="str">
            <v>3ohsebac_c</v>
          </cell>
          <cell r="B6883" t="str">
            <v>3ohsebac</v>
          </cell>
          <cell r="C6883" t="str">
            <v>3-Hydroxy-Sebacic Acid</v>
          </cell>
        </row>
        <row r="6884">
          <cell r="A6884" t="str">
            <v>3ohsubac_e</v>
          </cell>
          <cell r="B6884" t="str">
            <v>3ohsubac</v>
          </cell>
          <cell r="C6884" t="str">
            <v>3-Hydoxy-Suberic Acid</v>
          </cell>
        </row>
        <row r="6885">
          <cell r="A6885" t="str">
            <v>caproic_c</v>
          </cell>
          <cell r="B6885" t="str">
            <v>caproic</v>
          </cell>
          <cell r="C6885" t="str">
            <v>Caproic Acid</v>
          </cell>
        </row>
        <row r="6886">
          <cell r="A6886" t="str">
            <v>hexgly_e</v>
          </cell>
          <cell r="B6886" t="str">
            <v>hexgly</v>
          </cell>
          <cell r="C6886" t="str">
            <v>Hexanoyl-Glycine</v>
          </cell>
        </row>
        <row r="6887">
          <cell r="A6887" t="str">
            <v>4ohbut_m</v>
          </cell>
          <cell r="B6887" t="str">
            <v>4ohbut</v>
          </cell>
          <cell r="C6887" t="str">
            <v>4-Hydroxy-Butyrate</v>
          </cell>
        </row>
        <row r="6888">
          <cell r="A6888" t="str">
            <v>thexdd_e</v>
          </cell>
          <cell r="B6888" t="str">
            <v>thexdd</v>
          </cell>
          <cell r="C6888" t="str">
            <v>7Z,10Z-Hexadecadienoic Acid</v>
          </cell>
        </row>
        <row r="6889">
          <cell r="A6889" t="str">
            <v>hexdtr_e</v>
          </cell>
          <cell r="B6889" t="str">
            <v>hexdtr</v>
          </cell>
          <cell r="C6889" t="str">
            <v>(Z,Z,Z)-7,10,13-Hexadecatrienoic Acid</v>
          </cell>
        </row>
        <row r="6890">
          <cell r="A6890" t="str">
            <v>hpdece_m</v>
          </cell>
          <cell r="B6890" t="str">
            <v>hpdece</v>
          </cell>
          <cell r="C6890" t="str">
            <v>Trans-Delta-2-Heptadecanoic Acid</v>
          </cell>
        </row>
        <row r="6891">
          <cell r="A6891" t="str">
            <v>5eipenc_c</v>
          </cell>
          <cell r="B6891" t="str">
            <v>5eipenc</v>
          </cell>
          <cell r="C6891" t="str">
            <v>5,8,11,14,17-Eicosapentenoic Acid</v>
          </cell>
        </row>
        <row r="6892">
          <cell r="A6892" t="str">
            <v>eandrstrn_c</v>
          </cell>
          <cell r="B6892" t="str">
            <v>eandrstrn</v>
          </cell>
          <cell r="C6892" t="str">
            <v>16alpha-hydroxydehydroepiandrosterone</v>
          </cell>
        </row>
        <row r="6893">
          <cell r="A6893" t="str">
            <v>ahandrostan_e</v>
          </cell>
          <cell r="B6893" t="str">
            <v>ahandrostan</v>
          </cell>
          <cell r="C6893" t="str">
            <v>3alpha-Hydroxy-5beta-androstan-17-one</v>
          </cell>
        </row>
        <row r="6894">
          <cell r="A6894" t="str">
            <v>CE2209_e</v>
          </cell>
          <cell r="B6894" t="str">
            <v>CE2209</v>
          </cell>
          <cell r="C6894" t="str">
            <v>5alpha-androstane-3alpha,17beta-diol</v>
          </cell>
        </row>
        <row r="6895">
          <cell r="A6895" t="str">
            <v>prgnlones_e</v>
          </cell>
          <cell r="B6895" t="str">
            <v>prgnlones</v>
          </cell>
          <cell r="C6895" t="str">
            <v>Pregnenolone sulfate</v>
          </cell>
        </row>
        <row r="6896">
          <cell r="A6896" t="str">
            <v>CE1352_e</v>
          </cell>
          <cell r="B6896" t="str">
            <v>CE1352</v>
          </cell>
          <cell r="C6896" t="str">
            <v>17Alpha-Hydroxypregnenolone Sulfate</v>
          </cell>
        </row>
        <row r="6897">
          <cell r="A6897" t="str">
            <v>n8aspmd_e</v>
          </cell>
          <cell r="B6897" t="str">
            <v>n8aspmd</v>
          </cell>
          <cell r="C6897" t="str">
            <v>N8-Acetylspermidine</v>
          </cell>
        </row>
        <row r="6898">
          <cell r="A6898" t="str">
            <v>mlthf_e</v>
          </cell>
          <cell r="B6898" t="str">
            <v>mlthf</v>
          </cell>
          <cell r="C6898" t="str">
            <v>5,10-Methylenetetrahydrofolate</v>
          </cell>
        </row>
        <row r="6899">
          <cell r="A6899" t="str">
            <v>13dampp_e</v>
          </cell>
          <cell r="B6899" t="str">
            <v>13dampp</v>
          </cell>
          <cell r="C6899" t="str">
            <v>1 3 Diaminopropane C3H12N2</v>
          </cell>
        </row>
        <row r="6900">
          <cell r="A6900" t="str">
            <v>N1aspmd_e</v>
          </cell>
          <cell r="B6900" t="str">
            <v>N1aspmd</v>
          </cell>
          <cell r="C6900" t="str">
            <v>N1-Acetylspermidine</v>
          </cell>
        </row>
        <row r="6901">
          <cell r="A6901" t="str">
            <v>CE1918_e</v>
          </cell>
          <cell r="B6901" t="str">
            <v>CE1918</v>
          </cell>
          <cell r="C6901" t="str">
            <v>5-hydroxytryptophol</v>
          </cell>
        </row>
        <row r="6902">
          <cell r="A6902" t="str">
            <v>CE6205_e</v>
          </cell>
          <cell r="B6902" t="str">
            <v>CE6205</v>
          </cell>
          <cell r="C6902" t="str">
            <v>5-methoxytryptophol</v>
          </cell>
        </row>
        <row r="6903">
          <cell r="A6903" t="str">
            <v>CE4969_c</v>
          </cell>
          <cell r="B6903" t="str">
            <v>CE4969</v>
          </cell>
          <cell r="C6903" t="str">
            <v>Isobutyrylglycine</v>
          </cell>
        </row>
        <row r="6904">
          <cell r="A6904" t="str">
            <v>sucsal_e</v>
          </cell>
          <cell r="B6904" t="str">
            <v>sucsal</v>
          </cell>
          <cell r="C6904" t="str">
            <v>Succinic semialdehyde</v>
          </cell>
        </row>
        <row r="6905">
          <cell r="A6905" t="str">
            <v>egme_c</v>
          </cell>
          <cell r="B6905" t="str">
            <v>egme</v>
          </cell>
          <cell r="C6905" t="str">
            <v>Ecgonine methyl ester</v>
          </cell>
        </row>
        <row r="6906">
          <cell r="A6906" t="str">
            <v>dhea_e</v>
          </cell>
          <cell r="B6906" t="str">
            <v>dhea</v>
          </cell>
          <cell r="C6906" t="str">
            <v>Dehydroepiandrosterone</v>
          </cell>
        </row>
        <row r="6907">
          <cell r="A6907" t="str">
            <v>estrone_e</v>
          </cell>
          <cell r="B6907" t="str">
            <v>estrone</v>
          </cell>
          <cell r="C6907" t="str">
            <v>Estrone cytosol</v>
          </cell>
        </row>
        <row r="6908">
          <cell r="A6908" t="str">
            <v>HC02020_c</v>
          </cell>
          <cell r="B6908" t="str">
            <v>HC02020</v>
          </cell>
          <cell r="C6908" t="str">
            <v>Cholesterol-ester-palm</v>
          </cell>
        </row>
        <row r="6909">
          <cell r="A6909" t="str">
            <v>xol24oh_e</v>
          </cell>
          <cell r="B6909" t="str">
            <v>xol24oh</v>
          </cell>
          <cell r="C6909" t="str">
            <v>24-Hydroxycholesterol</v>
          </cell>
        </row>
        <row r="6910">
          <cell r="A6910" t="str">
            <v>xol25oh_e</v>
          </cell>
          <cell r="B6910" t="str">
            <v>xol25oh</v>
          </cell>
          <cell r="C6910" t="str">
            <v>25-Hydroxycholesterol</v>
          </cell>
        </row>
        <row r="6911">
          <cell r="A6911" t="str">
            <v>dsmsterol_e</v>
          </cell>
          <cell r="B6911" t="str">
            <v>dsmsterol</v>
          </cell>
          <cell r="C6911" t="str">
            <v>Desmosterol; 3beta-cholesta-5,24-dien-3-ol</v>
          </cell>
        </row>
        <row r="6912">
          <cell r="A6912" t="str">
            <v>35diotyr_e</v>
          </cell>
          <cell r="B6912" t="str">
            <v>35diotyr</v>
          </cell>
          <cell r="C6912" t="str">
            <v>3,5-Diiodo-L-tyrosine</v>
          </cell>
        </row>
        <row r="6913">
          <cell r="A6913" t="str">
            <v>idl_hs_e</v>
          </cell>
          <cell r="B6913" t="str">
            <v>idl_hs</v>
          </cell>
          <cell r="C6913" t="str">
            <v>Intermediate Density Lipoprotein</v>
          </cell>
        </row>
        <row r="6914">
          <cell r="A6914" t="str">
            <v>HC00460_e</v>
          </cell>
          <cell r="B6914" t="str">
            <v>HC00460</v>
          </cell>
          <cell r="C6914" t="str">
            <v>2,5-dihydroxybenzoate</v>
          </cell>
        </row>
        <row r="6915">
          <cell r="A6915" t="str">
            <v>6hoxmelatn_e</v>
          </cell>
          <cell r="B6915" t="str">
            <v>6hoxmelatn</v>
          </cell>
          <cell r="C6915" t="str">
            <v>6hoxmelatn c</v>
          </cell>
        </row>
        <row r="6916">
          <cell r="A6916" t="str">
            <v>CE2049_e</v>
          </cell>
          <cell r="B6916" t="str">
            <v>CE2049</v>
          </cell>
          <cell r="C6916" t="str">
            <v>12,13-hydroxyoctadec-9(Z)-enoate</v>
          </cell>
        </row>
        <row r="6917">
          <cell r="A6917" t="str">
            <v>CE2047_e</v>
          </cell>
          <cell r="B6917" t="str">
            <v>CE2047</v>
          </cell>
          <cell r="C6917" t="str">
            <v>9,10-hydroxyoctadec-12(Z)-enoate</v>
          </cell>
        </row>
        <row r="6918">
          <cell r="A6918" t="str">
            <v>fdp_e</v>
          </cell>
          <cell r="B6918" t="str">
            <v>fdp</v>
          </cell>
          <cell r="C6918" t="str">
            <v>D-Fructose 1,6-bisphosphate</v>
          </cell>
        </row>
        <row r="6919">
          <cell r="A6919" t="str">
            <v>5a2opntn_e</v>
          </cell>
          <cell r="B6919" t="str">
            <v>5a2opntn</v>
          </cell>
          <cell r="C6919" t="str">
            <v>5-Amino-2-oxopentanoate</v>
          </cell>
        </row>
        <row r="6920">
          <cell r="A6920" t="str">
            <v>arg__D_e</v>
          </cell>
          <cell r="B6920" t="str">
            <v>arg__D</v>
          </cell>
          <cell r="C6920" t="str">
            <v>D-Arginine</v>
          </cell>
        </row>
        <row r="6921">
          <cell r="A6921" t="str">
            <v>dopa3glcur_c</v>
          </cell>
          <cell r="B6921" t="str">
            <v>dopa3glcur</v>
          </cell>
          <cell r="C6921" t="str">
            <v>Dopamine-3-O-Glucuronide</v>
          </cell>
        </row>
        <row r="6922">
          <cell r="A6922" t="str">
            <v>5cysgly34dhphe_e</v>
          </cell>
          <cell r="B6922" t="str">
            <v>5cysgly34dhphe</v>
          </cell>
          <cell r="C6922" t="str">
            <v>5-S-Cysteinylglycine Dopa</v>
          </cell>
        </row>
        <row r="6923">
          <cell r="A6923" t="str">
            <v>4glu56dihdind_c</v>
          </cell>
          <cell r="B6923" t="str">
            <v>4glu56dihdind</v>
          </cell>
          <cell r="C6923" t="str">
            <v>4-S-Glutathionyl-5,6-Dihydroxyindoline</v>
          </cell>
        </row>
        <row r="6924">
          <cell r="A6924" t="str">
            <v>5cysdopa_e</v>
          </cell>
          <cell r="B6924" t="str">
            <v>5cysdopa</v>
          </cell>
          <cell r="C6924" t="str">
            <v>5-S-Cysteinyldopamine</v>
          </cell>
        </row>
        <row r="6925">
          <cell r="A6925" t="str">
            <v>CE5629_e</v>
          </cell>
          <cell r="B6925" t="str">
            <v>CE5629</v>
          </cell>
          <cell r="C6925" t="str">
            <v>1,2-dehydrosalsolinol</v>
          </cell>
        </row>
        <row r="6926">
          <cell r="A6926" t="str">
            <v>Rtotal_g</v>
          </cell>
          <cell r="B6926" t="str">
            <v>Rtotal</v>
          </cell>
          <cell r="C6926" t="str">
            <v>Rtotal c</v>
          </cell>
        </row>
        <row r="6927">
          <cell r="A6927" t="str">
            <v>sphings_g</v>
          </cell>
          <cell r="B6927" t="str">
            <v>sphings</v>
          </cell>
          <cell r="C6927" t="str">
            <v>Sphingosine cytosol</v>
          </cell>
        </row>
        <row r="6928">
          <cell r="A6928" t="str">
            <v>phcrm_hs_g</v>
          </cell>
          <cell r="B6928" t="str">
            <v>phcrm_hs</v>
          </cell>
          <cell r="C6928" t="str">
            <v>Phytoceramide</v>
          </cell>
        </row>
        <row r="6929">
          <cell r="A6929" t="str">
            <v>phsphings_r</v>
          </cell>
          <cell r="B6929" t="str">
            <v>phsphings</v>
          </cell>
          <cell r="C6929" t="str">
            <v>Phytosphingosine</v>
          </cell>
        </row>
        <row r="6930">
          <cell r="A6930" t="str">
            <v>gm1_hs_l</v>
          </cell>
          <cell r="B6930" t="str">
            <v>gm1_hs</v>
          </cell>
          <cell r="C6930" t="str">
            <v>Ganglioside GM1 (homo sapiens)</v>
          </cell>
        </row>
        <row r="6931">
          <cell r="A6931" t="str">
            <v>gd3_hs_e</v>
          </cell>
          <cell r="B6931" t="str">
            <v>gd3_hs</v>
          </cell>
          <cell r="C6931" t="str">
            <v>GD3 (homo sapiens)</v>
          </cell>
        </row>
        <row r="6932">
          <cell r="A6932" t="str">
            <v>gm2_hs_e</v>
          </cell>
          <cell r="B6932" t="str">
            <v>gm2_hs</v>
          </cell>
          <cell r="C6932" t="str">
            <v>Ganglioside GM2 (homo sapiens)</v>
          </cell>
        </row>
        <row r="6933">
          <cell r="A6933" t="str">
            <v>gm3_hs_l</v>
          </cell>
          <cell r="B6933" t="str">
            <v>gm3_hs</v>
          </cell>
          <cell r="C6933" t="str">
            <v>Ganglioside GM3 (homo sapiens)</v>
          </cell>
        </row>
        <row r="6934">
          <cell r="A6934" t="str">
            <v>gd1b_hs_c</v>
          </cell>
          <cell r="B6934" t="str">
            <v>gd1b_hs</v>
          </cell>
          <cell r="C6934" t="str">
            <v>GD1b (homo sapiens)</v>
          </cell>
        </row>
        <row r="6935">
          <cell r="A6935" t="str">
            <v>gt1b_hs_c</v>
          </cell>
          <cell r="B6935" t="str">
            <v>gt1b_hs</v>
          </cell>
          <cell r="C6935" t="str">
            <v>GT1b (homo sapiens)</v>
          </cell>
        </row>
        <row r="6936">
          <cell r="A6936" t="str">
            <v>gd1a_hs_n</v>
          </cell>
          <cell r="B6936" t="str">
            <v>gd1a_hs</v>
          </cell>
          <cell r="C6936" t="str">
            <v>GD1a (homo sapiens)</v>
          </cell>
        </row>
        <row r="6937">
          <cell r="A6937" t="str">
            <v>sphmyln_hs_n</v>
          </cell>
          <cell r="B6937" t="str">
            <v>sphmyln_hs</v>
          </cell>
          <cell r="C6937" t="str">
            <v>Sphingomyelin (homo sapiens)</v>
          </cell>
        </row>
        <row r="6938">
          <cell r="A6938" t="str">
            <v>phsphings_c</v>
          </cell>
          <cell r="B6938" t="str">
            <v>phsphings</v>
          </cell>
          <cell r="C6938" t="str">
            <v>Phytosphingosine</v>
          </cell>
        </row>
        <row r="6939">
          <cell r="A6939" t="str">
            <v>sphings_n</v>
          </cell>
          <cell r="B6939" t="str">
            <v>sphings</v>
          </cell>
          <cell r="C6939" t="str">
            <v>Sphingosine cytosol</v>
          </cell>
        </row>
        <row r="6940">
          <cell r="A6940" t="str">
            <v>sph1p_n</v>
          </cell>
          <cell r="B6940" t="str">
            <v>sph1p</v>
          </cell>
          <cell r="C6940" t="str">
            <v>Sphinganine 1 phosphate C18H39NO5P</v>
          </cell>
        </row>
        <row r="6941">
          <cell r="A6941" t="str">
            <v>gda1_hs_n</v>
          </cell>
          <cell r="B6941" t="str">
            <v>gda1_hs</v>
          </cell>
          <cell r="C6941" t="str">
            <v>Gda1 Hs</v>
          </cell>
        </row>
        <row r="6942">
          <cell r="A6942" t="str">
            <v>hhxdcal_c</v>
          </cell>
          <cell r="B6942" t="str">
            <v>hhxdcal</v>
          </cell>
          <cell r="C6942" t="str">
            <v>2-Hydroxyhexadecanal</v>
          </cell>
        </row>
        <row r="6943">
          <cell r="A6943" t="str">
            <v>34dhpe_e</v>
          </cell>
          <cell r="B6943" t="str">
            <v>34dhpe</v>
          </cell>
          <cell r="C6943" t="str">
            <v>3,4-Dihydroxyphenylethanol</v>
          </cell>
        </row>
        <row r="6944">
          <cell r="A6944" t="str">
            <v>M02956_e</v>
          </cell>
          <cell r="B6944" t="str">
            <v>M02956</v>
          </cell>
          <cell r="C6944" t="str">
            <v>Tags-Chylomicron-Pool</v>
          </cell>
        </row>
        <row r="6945">
          <cell r="A6945" t="str">
            <v>M00234_e</v>
          </cell>
          <cell r="B6945" t="str">
            <v>M00234</v>
          </cell>
          <cell r="C6945" t="str">
            <v>1,2-Diacylglycerol-Chylomicron-Pool</v>
          </cell>
        </row>
        <row r="6946">
          <cell r="A6946" t="str">
            <v>M00008_e</v>
          </cell>
          <cell r="B6946" t="str">
            <v>M00008</v>
          </cell>
          <cell r="C6946" t="str">
            <v>11Z,14Z-Eicosadienoic Acid</v>
          </cell>
        </row>
        <row r="6947">
          <cell r="A6947" t="str">
            <v>M00010_e</v>
          </cell>
          <cell r="B6947" t="str">
            <v>M00010</v>
          </cell>
          <cell r="C6947" t="str">
            <v>11Z,14Z,17Z-Eicosatrienoic Acid</v>
          </cell>
        </row>
        <row r="6948">
          <cell r="A6948" t="str">
            <v>M00021_e</v>
          </cell>
          <cell r="B6948" t="str">
            <v>M00021</v>
          </cell>
          <cell r="C6948" t="str">
            <v>13Z,16Z-Docosadienoic Acid</v>
          </cell>
        </row>
        <row r="6949">
          <cell r="A6949" t="str">
            <v>M01197_e</v>
          </cell>
          <cell r="B6949" t="str">
            <v>M01197</v>
          </cell>
          <cell r="C6949" t="str">
            <v>7Z-Hexadecenoic Acid</v>
          </cell>
        </row>
        <row r="6950">
          <cell r="A6950" t="str">
            <v>M02457_e</v>
          </cell>
          <cell r="B6950" t="str">
            <v>M02457</v>
          </cell>
          <cell r="C6950" t="str">
            <v>5Z,8Z,11Z-Eicosatrienoic Acid</v>
          </cell>
        </row>
        <row r="6951">
          <cell r="A6951" t="str">
            <v>M03045_e</v>
          </cell>
          <cell r="B6951" t="str">
            <v>M03045</v>
          </cell>
          <cell r="C6951" t="str">
            <v>Tricosanoic Acid</v>
          </cell>
        </row>
        <row r="6952">
          <cell r="A6952" t="str">
            <v>M02561_e</v>
          </cell>
          <cell r="B6952" t="str">
            <v>M02561</v>
          </cell>
          <cell r="C6952" t="str">
            <v>Nefa-Blood-Pool-Out</v>
          </cell>
        </row>
        <row r="6953">
          <cell r="A6953" t="str">
            <v>M02108_e</v>
          </cell>
          <cell r="B6953" t="str">
            <v>M02108</v>
          </cell>
          <cell r="C6953" t="str">
            <v>Heptylic Acid</v>
          </cell>
        </row>
        <row r="6954">
          <cell r="A6954" t="str">
            <v>M02694_m</v>
          </cell>
          <cell r="B6954" t="str">
            <v>M02694</v>
          </cell>
          <cell r="C6954" t="str">
            <v>Pentanoyl Coenzyme A</v>
          </cell>
        </row>
        <row r="6955">
          <cell r="A6955" t="str">
            <v>M02107_c</v>
          </cell>
          <cell r="B6955" t="str">
            <v>M02107</v>
          </cell>
          <cell r="C6955" t="str">
            <v>Heptanoyl Coenzyme A</v>
          </cell>
        </row>
        <row r="6956">
          <cell r="A6956" t="str">
            <v>M03117_c</v>
          </cell>
          <cell r="B6956" t="str">
            <v>M03117</v>
          </cell>
          <cell r="C6956" t="str">
            <v>Undecylic Acid</v>
          </cell>
        </row>
        <row r="6957">
          <cell r="A6957" t="str">
            <v>M01141_c</v>
          </cell>
          <cell r="B6957" t="str">
            <v>M01141</v>
          </cell>
          <cell r="C6957" t="str">
            <v>5Z-Tetradecenoyl Coenzyme A</v>
          </cell>
        </row>
        <row r="6958">
          <cell r="A6958" t="str">
            <v>M00019_c</v>
          </cell>
          <cell r="B6958" t="str">
            <v>M00019</v>
          </cell>
          <cell r="C6958" t="str">
            <v>13Z-Octadecenoic Acid</v>
          </cell>
        </row>
        <row r="6959">
          <cell r="A6959" t="str">
            <v>M00127_c</v>
          </cell>
          <cell r="B6959" t="str">
            <v>M00127</v>
          </cell>
          <cell r="C6959" t="str">
            <v>9E-Octadecenoic Acid</v>
          </cell>
        </row>
        <row r="6960">
          <cell r="A6960" t="str">
            <v>M00116_c</v>
          </cell>
          <cell r="B6960" t="str">
            <v>M00116</v>
          </cell>
          <cell r="C6960" t="str">
            <v>7Z-Octadecenoyl Coenzyme A</v>
          </cell>
        </row>
        <row r="6961">
          <cell r="A6961" t="str">
            <v>M02613_c</v>
          </cell>
          <cell r="B6961" t="str">
            <v>M02613</v>
          </cell>
          <cell r="C6961" t="str">
            <v>Nonadecanoic Acid</v>
          </cell>
        </row>
        <row r="6962">
          <cell r="A6962" t="str">
            <v>M02612_c</v>
          </cell>
          <cell r="B6962" t="str">
            <v>M02612</v>
          </cell>
          <cell r="C6962" t="str">
            <v>Nonadecanoyl Coenzyme A</v>
          </cell>
        </row>
        <row r="6963">
          <cell r="A6963" t="str">
            <v>M00123_c</v>
          </cell>
          <cell r="B6963" t="str">
            <v>M00123</v>
          </cell>
          <cell r="C6963" t="str">
            <v>8Z,11Z-Eicosadienoyl Coenzyme A</v>
          </cell>
        </row>
        <row r="6964">
          <cell r="A6964" t="str">
            <v>M02052_c</v>
          </cell>
          <cell r="B6964" t="str">
            <v>M02052</v>
          </cell>
          <cell r="C6964" t="str">
            <v>Heneicosanoyl Coenzyme A</v>
          </cell>
        </row>
        <row r="6965">
          <cell r="A6965" t="str">
            <v>M00341_c</v>
          </cell>
          <cell r="B6965" t="str">
            <v>M00341</v>
          </cell>
          <cell r="C6965" t="str">
            <v>13Z,16Z,19Z-Docosatrienoic Acid</v>
          </cell>
        </row>
        <row r="6966">
          <cell r="A6966" t="str">
            <v>M00260_c</v>
          </cell>
          <cell r="B6966" t="str">
            <v>M00260</v>
          </cell>
          <cell r="C6966" t="str">
            <v>10Z,13Z,16Z,19Z-Docosatetraenoic Acid</v>
          </cell>
        </row>
        <row r="6967">
          <cell r="A6967" t="str">
            <v>M00315_c</v>
          </cell>
          <cell r="B6967" t="str">
            <v>M00315</v>
          </cell>
          <cell r="C6967" t="str">
            <v>12Z,15Z,18Z,21Z-Tetracosatetraenoic Acid</v>
          </cell>
        </row>
        <row r="6968">
          <cell r="A6968" t="str">
            <v>HC02048_c</v>
          </cell>
          <cell r="B6968" t="str">
            <v>HC02048</v>
          </cell>
          <cell r="C6968" t="str">
            <v>Acyl Coenzyme A-Ld-Sm-Pool</v>
          </cell>
        </row>
        <row r="6969">
          <cell r="A6969" t="str">
            <v>HC02042_c</v>
          </cell>
          <cell r="B6969" t="str">
            <v>HC02042</v>
          </cell>
          <cell r="C6969" t="str">
            <v>1-Acylglycerol-3P-Ld-Sm-Pool</v>
          </cell>
        </row>
        <row r="6970">
          <cell r="A6970" t="str">
            <v>HC02051_c</v>
          </cell>
          <cell r="B6970" t="str">
            <v>HC02051</v>
          </cell>
          <cell r="C6970" t="str">
            <v>Phosphatidate-Ld-Pe-Pool</v>
          </cell>
        </row>
        <row r="6971">
          <cell r="A6971" t="str">
            <v>galgbside_hs_c</v>
          </cell>
          <cell r="B6971" t="str">
            <v>galgbside_hs</v>
          </cell>
          <cell r="C6971" t="str">
            <v>Galactosylgloboside (homo sapiens)</v>
          </cell>
        </row>
        <row r="6972">
          <cell r="A6972" t="str">
            <v>M02491_c</v>
          </cell>
          <cell r="B6972" t="str">
            <v>M02491</v>
          </cell>
          <cell r="C6972" t="str">
            <v>Monosialylgalactosylgloboside</v>
          </cell>
        </row>
        <row r="6973">
          <cell r="A6973" t="str">
            <v>gd2_hs_c</v>
          </cell>
          <cell r="B6973" t="str">
            <v>gd2_hs</v>
          </cell>
          <cell r="C6973" t="str">
            <v>GD2 (homo sapiens)</v>
          </cell>
        </row>
        <row r="6974">
          <cell r="A6974" t="str">
            <v>M02195_c</v>
          </cell>
          <cell r="B6974" t="str">
            <v>M02195</v>
          </cell>
          <cell r="C6974" t="str">
            <v>Fuc-alpha1-&gt;2Gal-beta1-&gt;3GlcNAc-beta1-&gt;3Gal-beta1-&gt;4Glc-beta1-1'Cer</v>
          </cell>
        </row>
        <row r="6975">
          <cell r="A6975" t="str">
            <v>acgalfucgalacglcgalgluside_hs_c</v>
          </cell>
          <cell r="B6975" t="str">
            <v>acgalfucgalacglcgalgluside_hs</v>
          </cell>
          <cell r="C6975" t="str">
            <v>Type IA glycolipid</v>
          </cell>
        </row>
        <row r="6976">
          <cell r="A6976" t="str">
            <v>M02683_c</v>
          </cell>
          <cell r="B6976" t="str">
            <v>M02683</v>
          </cell>
          <cell r="C6976" t="str">
            <v>Paragloboside</v>
          </cell>
        </row>
        <row r="6977">
          <cell r="A6977" t="str">
            <v>acglcgal14acglcgalgluside_hs_c</v>
          </cell>
          <cell r="B6977" t="str">
            <v>acglcgal14acglcgalgluside_hs</v>
          </cell>
          <cell r="C6977" t="str">
            <v>NLc5Cer</v>
          </cell>
        </row>
        <row r="6978">
          <cell r="A6978" t="str">
            <v>galacglcgal14acglcgalgluside_hs_c</v>
          </cell>
          <cell r="B6978" t="str">
            <v>galacglcgal14acglcgalgluside_hs</v>
          </cell>
          <cell r="C6978" t="str">
            <v>I-antigen</v>
          </cell>
        </row>
        <row r="6979">
          <cell r="A6979" t="str">
            <v>CE6246_c</v>
          </cell>
          <cell r="B6979" t="str">
            <v>CE6246</v>
          </cell>
          <cell r="C6979" t="str">
            <v>5,12-Dihydroxy-6,8,10,14-Eicosatetraenoic Acid</v>
          </cell>
        </row>
        <row r="6980">
          <cell r="A6980" t="str">
            <v>M00939_c</v>
          </cell>
          <cell r="B6980" t="str">
            <v>M00939</v>
          </cell>
          <cell r="C6980" t="str">
            <v>4,4-Dimethyl-14Alpha-Hydroxymethyl-5Alpha-Cholesta-8,24-Dien-3Beta-Ol</v>
          </cell>
        </row>
        <row r="6981">
          <cell r="A6981" t="str">
            <v>M00937_c</v>
          </cell>
          <cell r="B6981" t="str">
            <v>M00937</v>
          </cell>
          <cell r="C6981" t="str">
            <v>4,4-Dimethyl-14Alpha-Formyl-5Alpha-Cholesta-8,24-Dien-3Beta-Ol</v>
          </cell>
        </row>
        <row r="6982">
          <cell r="A6982" t="str">
            <v>M00963_c</v>
          </cell>
          <cell r="B6982" t="str">
            <v>M00963</v>
          </cell>
          <cell r="C6982" t="str">
            <v>4'-Hydroxymethyl-5'-Cholesta-8,24-Dien-3'-Ol</v>
          </cell>
        </row>
        <row r="6983">
          <cell r="A6983" t="str">
            <v>M00959_c</v>
          </cell>
          <cell r="B6983" t="str">
            <v>M00959</v>
          </cell>
          <cell r="C6983" t="str">
            <v>4'-Formyl-5'-Cholesta-8,24-Dien-3'-Ol</v>
          </cell>
        </row>
        <row r="6984">
          <cell r="A6984" t="str">
            <v>M00940_c</v>
          </cell>
          <cell r="B6984" t="str">
            <v>M00940</v>
          </cell>
          <cell r="C6984" t="str">
            <v>4,4-Dimethyl-14Alpha-Hydroxymethyl-5Alpha-Cholest-8-En-3Beta-Ol</v>
          </cell>
        </row>
        <row r="6985">
          <cell r="A6985" t="str">
            <v>M00942_c</v>
          </cell>
          <cell r="B6985" t="str">
            <v>M00942</v>
          </cell>
          <cell r="C6985" t="str">
            <v>4,4-Dimethyl-5Alpha-Cholesta-8,14-Dien-3Beta-Ol</v>
          </cell>
        </row>
        <row r="6986">
          <cell r="A6986" t="str">
            <v>M00967_c</v>
          </cell>
          <cell r="B6986" t="str">
            <v>M00967</v>
          </cell>
          <cell r="C6986" t="str">
            <v>4'-Methyl-Cholesta-8-Enol</v>
          </cell>
        </row>
        <row r="6987">
          <cell r="A6987" t="str">
            <v>cholcoar_c</v>
          </cell>
          <cell r="B6987" t="str">
            <v>cholcoar</v>
          </cell>
          <cell r="C6987" t="str">
            <v>3alpha,7alpha,12alpha-Trihydroxy-5beta-cholestanoyl-CoA</v>
          </cell>
        </row>
        <row r="6988">
          <cell r="A6988" t="str">
            <v>cholcoaone_m</v>
          </cell>
          <cell r="B6988" t="str">
            <v>cholcoaone</v>
          </cell>
          <cell r="C6988" t="str">
            <v>3alpha,7alpha,12alpha-Trihydroxy-5beta-24-oxocholestanoyl-CoA</v>
          </cell>
        </row>
        <row r="6989">
          <cell r="A6989" t="str">
            <v>M01081_c</v>
          </cell>
          <cell r="B6989" t="str">
            <v>M01081</v>
          </cell>
          <cell r="C6989" t="str">
            <v>7Alpha,24-Dihydroxy-5Beta-Cholestan-3-One</v>
          </cell>
        </row>
        <row r="6990">
          <cell r="A6990" t="str">
            <v>M01077_c</v>
          </cell>
          <cell r="B6990" t="str">
            <v>M01077</v>
          </cell>
          <cell r="C6990" t="str">
            <v>5Beta-Cholestan-3Alpha,7Alpha,12Alpha,24(S)-Tetrol</v>
          </cell>
        </row>
        <row r="6991">
          <cell r="A6991" t="str">
            <v>M01080_c</v>
          </cell>
          <cell r="B6991" t="str">
            <v>M01080</v>
          </cell>
          <cell r="C6991" t="str">
            <v>5Beta-Cholestane-3Alpha,7Alpha,24-Triol</v>
          </cell>
        </row>
        <row r="6992">
          <cell r="A6992" t="str">
            <v>M01076_m</v>
          </cell>
          <cell r="B6992" t="str">
            <v>M01076</v>
          </cell>
          <cell r="C6992" t="str">
            <v>5Beta-Cholestan-3Alpha,7Alpha,12Alpha,24(S),27-Pentol</v>
          </cell>
        </row>
        <row r="6993">
          <cell r="A6993" t="str">
            <v>M02977_m</v>
          </cell>
          <cell r="B6993" t="str">
            <v>M02977</v>
          </cell>
          <cell r="C6993" t="str">
            <v>TetraHCA</v>
          </cell>
        </row>
        <row r="6994">
          <cell r="A6994" t="str">
            <v>M00625_c</v>
          </cell>
          <cell r="B6994" t="str">
            <v>M00625</v>
          </cell>
          <cell r="C6994" t="str">
            <v>27-Hydroxycholesterol</v>
          </cell>
        </row>
        <row r="6995">
          <cell r="A6995" t="str">
            <v>M00977_c</v>
          </cell>
          <cell r="B6995" t="str">
            <v>M00977</v>
          </cell>
          <cell r="C6995" t="str">
            <v>7Alpha,12Alpha,26-Trihydroxycholest-4-En-3-One</v>
          </cell>
        </row>
        <row r="6996">
          <cell r="A6996" t="str">
            <v>M01084_c</v>
          </cell>
          <cell r="B6996" t="str">
            <v>M01084</v>
          </cell>
          <cell r="C6996" t="str">
            <v>7Alpha,26-Dihydroxy-5Beta-Cholestan-3-One</v>
          </cell>
        </row>
        <row r="6997">
          <cell r="A6997" t="str">
            <v>20ahchsterol_r</v>
          </cell>
          <cell r="B6997" t="str">
            <v>20ahchsterol</v>
          </cell>
          <cell r="C6997" t="str">
            <v>20alpha-hydroxy cholesterol</v>
          </cell>
        </row>
        <row r="6998">
          <cell r="A6998" t="str">
            <v>M02155_c</v>
          </cell>
          <cell r="B6998" t="str">
            <v>M02155</v>
          </cell>
          <cell r="C6998" t="str">
            <v>Hyodesoxycholic Acid</v>
          </cell>
        </row>
        <row r="6999">
          <cell r="A6999" t="str">
            <v>M00406_c</v>
          </cell>
          <cell r="B6999" t="str">
            <v>M00406</v>
          </cell>
          <cell r="C6999" t="str">
            <v>17Alpha,21-Dihydroxypregnenolone</v>
          </cell>
        </row>
        <row r="7000">
          <cell r="A7000" t="str">
            <v>M01075_c</v>
          </cell>
          <cell r="B7000" t="str">
            <v>M01075</v>
          </cell>
          <cell r="C7000" t="str">
            <v>Androst-5-Ene-3,17-Dione</v>
          </cell>
        </row>
        <row r="7001">
          <cell r="A7001" t="str">
            <v>M01075_r</v>
          </cell>
          <cell r="B7001" t="str">
            <v>M01075</v>
          </cell>
          <cell r="C7001" t="str">
            <v>Androst-5-Ene-3,17-Dione</v>
          </cell>
        </row>
        <row r="7002">
          <cell r="A7002" t="str">
            <v>M00603_c</v>
          </cell>
          <cell r="B7002" t="str">
            <v>M00603</v>
          </cell>
          <cell r="C7002" t="str">
            <v>4-Pregnene-11Beta,17Alpha-Diol-3,20-Dione</v>
          </cell>
        </row>
        <row r="7003">
          <cell r="A7003" t="str">
            <v>CE5253_l</v>
          </cell>
          <cell r="B7003" t="str">
            <v>CE5253</v>
          </cell>
          <cell r="C7003" t="str">
            <v>17beta-estradiol-3,4-semiquinone</v>
          </cell>
        </row>
        <row r="7004">
          <cell r="A7004" t="str">
            <v>M00783_c</v>
          </cell>
          <cell r="B7004" t="str">
            <v>M00783</v>
          </cell>
          <cell r="C7004" t="str">
            <v>3-Hydroxyhexacosanoyl Coenzyme A</v>
          </cell>
        </row>
        <row r="7005">
          <cell r="A7005" t="str">
            <v>M00049_c</v>
          </cell>
          <cell r="B7005" t="str">
            <v>M00049</v>
          </cell>
          <cell r="C7005" t="str">
            <v>(2E)-Hexacosenoyl Coenzyme A</v>
          </cell>
        </row>
        <row r="7006">
          <cell r="A7006" t="str">
            <v>M00887_c</v>
          </cell>
          <cell r="B7006" t="str">
            <v>M00887</v>
          </cell>
          <cell r="C7006" t="str">
            <v>3-Oxononadecanoyl Coenzyme A</v>
          </cell>
        </row>
        <row r="7007">
          <cell r="A7007" t="str">
            <v>M00873_c</v>
          </cell>
          <cell r="B7007" t="str">
            <v>M00873</v>
          </cell>
          <cell r="C7007" t="str">
            <v>3-Oxoheneicosanoyl Coenzyme A</v>
          </cell>
        </row>
        <row r="7008">
          <cell r="A7008" t="str">
            <v>M00843_c</v>
          </cell>
          <cell r="B7008" t="str">
            <v>M00843</v>
          </cell>
          <cell r="C7008" t="str">
            <v>3-Oxo-13-Cis-Eicosenoyl Coenzyme A</v>
          </cell>
        </row>
        <row r="7009">
          <cell r="A7009" t="str">
            <v>M03014_c</v>
          </cell>
          <cell r="B7009" t="str">
            <v>M03014</v>
          </cell>
          <cell r="C7009" t="str">
            <v>Trans,Cis-2,13-Eicosadienoyl Coenzyme A</v>
          </cell>
        </row>
        <row r="7010">
          <cell r="A7010" t="str">
            <v>M00852_c</v>
          </cell>
          <cell r="B7010" t="str">
            <v>M00852</v>
          </cell>
          <cell r="C7010" t="str">
            <v>3-Oxo-9-Cis-Eicosenoyl Coenzyme A</v>
          </cell>
        </row>
        <row r="7011">
          <cell r="A7011" t="str">
            <v>M00839_c</v>
          </cell>
          <cell r="B7011" t="str">
            <v>M00839</v>
          </cell>
          <cell r="C7011" t="str">
            <v>3-Oxo-11Cis-Docosenoyl Coenzyme A</v>
          </cell>
        </row>
        <row r="7012">
          <cell r="A7012" t="str">
            <v>CE4791_c</v>
          </cell>
          <cell r="B7012" t="str">
            <v>CE4791</v>
          </cell>
          <cell r="C7012" t="str">
            <v>3(S)-Hydroxy-Dihomo-Gama-Linolenoyl Coenzyme A</v>
          </cell>
        </row>
        <row r="7013">
          <cell r="A7013" t="str">
            <v>M00860_c</v>
          </cell>
          <cell r="B7013" t="str">
            <v>M00860</v>
          </cell>
          <cell r="C7013" t="str">
            <v>3-Oxodocasa-Cis,Cis-13,16-Dienoyl Coenzyme A</v>
          </cell>
        </row>
        <row r="7014">
          <cell r="A7014" t="str">
            <v>M00085_c</v>
          </cell>
          <cell r="B7014" t="str">
            <v>M00085</v>
          </cell>
          <cell r="C7014" t="str">
            <v>(3S)-Hydroxy-Docasa-Cis,Cis-13,16-Dienoyl Coenzyme A</v>
          </cell>
        </row>
        <row r="7015">
          <cell r="A7015" t="str">
            <v>M00862_c</v>
          </cell>
          <cell r="B7015" t="str">
            <v>M00862</v>
          </cell>
          <cell r="C7015" t="str">
            <v>3-Oxo-Docosa-13,16,19-All-Cis-Trienoyl Coenzyme A</v>
          </cell>
        </row>
        <row r="7016">
          <cell r="A7016" t="str">
            <v>M00712_c</v>
          </cell>
          <cell r="B7016" t="str">
            <v>M00712</v>
          </cell>
          <cell r="C7016" t="str">
            <v>3(S)-Hydroxy-Docosa-13,16,19-All-Cis-Trienoyl Coenzyme A</v>
          </cell>
        </row>
        <row r="7017">
          <cell r="A7017" t="str">
            <v>M02976_c</v>
          </cell>
          <cell r="B7017" t="str">
            <v>M02976</v>
          </cell>
          <cell r="C7017" t="str">
            <v>Tetradecenoylcarnitine(9)</v>
          </cell>
        </row>
        <row r="7018">
          <cell r="A7018" t="str">
            <v>M02103_m</v>
          </cell>
          <cell r="B7018" t="str">
            <v>M02103</v>
          </cell>
          <cell r="C7018" t="str">
            <v>Heptadecenoylcarnitine(8)</v>
          </cell>
        </row>
        <row r="7019">
          <cell r="A7019" t="str">
            <v>M01776_c</v>
          </cell>
          <cell r="B7019" t="str">
            <v>M01776</v>
          </cell>
          <cell r="C7019" t="str">
            <v>Eicosenoylcarnitine(7)</v>
          </cell>
        </row>
        <row r="7020">
          <cell r="A7020" t="str">
            <v>M01777_c</v>
          </cell>
          <cell r="B7020" t="str">
            <v>M01777</v>
          </cell>
          <cell r="C7020" t="str">
            <v>Eicosenoylcarnitine(9)</v>
          </cell>
        </row>
        <row r="7021">
          <cell r="A7021" t="str">
            <v>M01775_c</v>
          </cell>
          <cell r="B7021" t="str">
            <v>M01775</v>
          </cell>
          <cell r="C7021" t="str">
            <v>Eicosenoylcarnitine(11)</v>
          </cell>
        </row>
        <row r="7022">
          <cell r="A7022" t="str">
            <v>M00122_m</v>
          </cell>
          <cell r="B7022" t="str">
            <v>M00122</v>
          </cell>
          <cell r="C7022" t="str">
            <v>8Z,11Z-Eicosadienoylcarnitine</v>
          </cell>
        </row>
        <row r="7023">
          <cell r="A7023" t="str">
            <v>M01724_c</v>
          </cell>
          <cell r="B7023" t="str">
            <v>M01724</v>
          </cell>
          <cell r="C7023" t="str">
            <v>Docosanoylcarnitine</v>
          </cell>
        </row>
        <row r="7024">
          <cell r="A7024" t="str">
            <v>M01727_c</v>
          </cell>
          <cell r="B7024" t="str">
            <v>M01727</v>
          </cell>
          <cell r="C7024" t="str">
            <v>Docosenoylcarnitine</v>
          </cell>
        </row>
        <row r="7025">
          <cell r="A7025" t="str">
            <v>CE5155_m</v>
          </cell>
          <cell r="B7025" t="str">
            <v>CE5155</v>
          </cell>
          <cell r="C7025" t="str">
            <v>Cis-13-docosenoyl-CoA</v>
          </cell>
        </row>
        <row r="7026">
          <cell r="A7026" t="str">
            <v>M02637_c</v>
          </cell>
          <cell r="B7026" t="str">
            <v>M02637</v>
          </cell>
          <cell r="C7026" t="str">
            <v>Octadecatrienoylcarnitine</v>
          </cell>
        </row>
        <row r="7027">
          <cell r="A7027" t="str">
            <v>M00011_c</v>
          </cell>
          <cell r="B7027" t="str">
            <v>M00011</v>
          </cell>
          <cell r="C7027" t="str">
            <v>11Z,14Z,17Z-Eicosatrienoylcarnitine</v>
          </cell>
        </row>
        <row r="7028">
          <cell r="A7028" t="str">
            <v>M00343_m</v>
          </cell>
          <cell r="B7028" t="str">
            <v>M00343</v>
          </cell>
          <cell r="C7028" t="str">
            <v>13Z,16Z,19Z-Docosatrienoyl Coenzyme A</v>
          </cell>
        </row>
        <row r="7029">
          <cell r="A7029" t="str">
            <v>M00261_m</v>
          </cell>
          <cell r="B7029" t="str">
            <v>M00261</v>
          </cell>
          <cell r="C7029" t="str">
            <v>10Z,13Z,16Z,19Z-Docosatetraenoylcarnitine</v>
          </cell>
        </row>
        <row r="7030">
          <cell r="A7030" t="str">
            <v>CE4854_m</v>
          </cell>
          <cell r="B7030" t="str">
            <v>CE4854</v>
          </cell>
          <cell r="C7030" t="str">
            <v>All-cis-10,13,16,19-docosatetraenoyl-CoA</v>
          </cell>
        </row>
        <row r="7031">
          <cell r="A7031" t="str">
            <v>M01770_c</v>
          </cell>
          <cell r="B7031" t="str">
            <v>M01770</v>
          </cell>
          <cell r="C7031" t="str">
            <v>11Z,14Z-Eicosadienoylcarnitine</v>
          </cell>
        </row>
        <row r="7032">
          <cell r="A7032" t="str">
            <v>M00022_m</v>
          </cell>
          <cell r="B7032" t="str">
            <v>M00022</v>
          </cell>
          <cell r="C7032" t="str">
            <v>13Z,16Z-Docosadienoylcarnitine</v>
          </cell>
        </row>
        <row r="7033">
          <cell r="A7033" t="str">
            <v>M01141_r</v>
          </cell>
          <cell r="B7033" t="str">
            <v>M01141</v>
          </cell>
          <cell r="C7033" t="str">
            <v>5Z-Tetradecenoyl Coenzyme A</v>
          </cell>
        </row>
        <row r="7034">
          <cell r="A7034" t="str">
            <v>stcrn_r</v>
          </cell>
          <cell r="B7034" t="str">
            <v>stcrn</v>
          </cell>
          <cell r="C7034" t="str">
            <v>Stearoylcarnitine</v>
          </cell>
        </row>
        <row r="7035">
          <cell r="A7035" t="str">
            <v>M00127_r</v>
          </cell>
          <cell r="B7035" t="str">
            <v>M00127</v>
          </cell>
          <cell r="C7035" t="str">
            <v>9E-Octadecenoic Acid</v>
          </cell>
        </row>
        <row r="7036">
          <cell r="A7036" t="str">
            <v>M02612_r</v>
          </cell>
          <cell r="B7036" t="str">
            <v>M02612</v>
          </cell>
          <cell r="C7036" t="str">
            <v>Nonadecanoyl Coenzyme A</v>
          </cell>
        </row>
        <row r="7037">
          <cell r="A7037" t="str">
            <v>M00123_r</v>
          </cell>
          <cell r="B7037" t="str">
            <v>M00123</v>
          </cell>
          <cell r="C7037" t="str">
            <v>8Z,11Z-Eicosadienoyl Coenzyme A</v>
          </cell>
        </row>
        <row r="7038">
          <cell r="A7038" t="str">
            <v>M02052_r</v>
          </cell>
          <cell r="B7038" t="str">
            <v>M02052</v>
          </cell>
          <cell r="C7038" t="str">
            <v>Heneicosanoyl Coenzyme A</v>
          </cell>
        </row>
        <row r="7039">
          <cell r="A7039" t="str">
            <v>M01724_r</v>
          </cell>
          <cell r="B7039" t="str">
            <v>M01724</v>
          </cell>
          <cell r="C7039" t="str">
            <v>Docosanoylcarnitine</v>
          </cell>
        </row>
        <row r="7040">
          <cell r="A7040" t="str">
            <v>M02637_r</v>
          </cell>
          <cell r="B7040" t="str">
            <v>M02637</v>
          </cell>
          <cell r="C7040" t="str">
            <v>Octadecatrienoylcarnitine</v>
          </cell>
        </row>
        <row r="7041">
          <cell r="A7041" t="str">
            <v>tmndnccrn_r</v>
          </cell>
          <cell r="B7041" t="str">
            <v>tmndnccrn</v>
          </cell>
          <cell r="C7041" t="str">
            <v>Timnodonyl carnitine</v>
          </cell>
        </row>
        <row r="7042">
          <cell r="A7042" t="str">
            <v>M00019_r</v>
          </cell>
          <cell r="B7042" t="str">
            <v>M00019</v>
          </cell>
          <cell r="C7042" t="str">
            <v>13Z-Octadecenoic Acid</v>
          </cell>
        </row>
        <row r="7043">
          <cell r="A7043" t="str">
            <v>lneldc_r</v>
          </cell>
          <cell r="B7043" t="str">
            <v>lneldc</v>
          </cell>
          <cell r="C7043" t="str">
            <v>Linoelaidic acid (all trans C18:2)</v>
          </cell>
        </row>
        <row r="7044">
          <cell r="A7044" t="str">
            <v>M02613_r</v>
          </cell>
          <cell r="B7044" t="str">
            <v>M02613</v>
          </cell>
          <cell r="C7044" t="str">
            <v>Nonadecanoic Acid</v>
          </cell>
        </row>
        <row r="7045">
          <cell r="A7045" t="str">
            <v>arach_r</v>
          </cell>
          <cell r="B7045" t="str">
            <v>arach</v>
          </cell>
          <cell r="C7045" t="str">
            <v>Arachidic acid</v>
          </cell>
        </row>
        <row r="7046">
          <cell r="A7046" t="str">
            <v>CE2510_r</v>
          </cell>
          <cell r="B7046" t="str">
            <v>CE2510</v>
          </cell>
          <cell r="C7046" t="str">
            <v>11-cis-eicosenoate</v>
          </cell>
        </row>
        <row r="7047">
          <cell r="A7047" t="str">
            <v>clpnd_r</v>
          </cell>
          <cell r="B7047" t="str">
            <v>clpnd</v>
          </cell>
          <cell r="C7047" t="str">
            <v>Clupanodonic acid</v>
          </cell>
        </row>
        <row r="7048">
          <cell r="A7048" t="str">
            <v>M00341_r</v>
          </cell>
          <cell r="B7048" t="str">
            <v>M00341</v>
          </cell>
          <cell r="C7048" t="str">
            <v>13Z,16Z,19Z-Docosatrienoic Acid</v>
          </cell>
        </row>
        <row r="7049">
          <cell r="A7049" t="str">
            <v>CE4855_x</v>
          </cell>
          <cell r="B7049" t="str">
            <v>CE4855</v>
          </cell>
          <cell r="C7049" t="str">
            <v>All-cis-12,15,18,21-tetracosatetraenoyl-CoA</v>
          </cell>
        </row>
        <row r="7050">
          <cell r="A7050" t="str">
            <v>M00049_x</v>
          </cell>
          <cell r="B7050" t="str">
            <v>M00049</v>
          </cell>
          <cell r="C7050" t="str">
            <v>(2E)-Hexacosenoyl Coenzyme A</v>
          </cell>
        </row>
        <row r="7051">
          <cell r="A7051" t="str">
            <v>M00783_x</v>
          </cell>
          <cell r="B7051" t="str">
            <v>M00783</v>
          </cell>
          <cell r="C7051" t="str">
            <v>3-Hydroxyhexacosanoyl Coenzyme A</v>
          </cell>
        </row>
        <row r="7052">
          <cell r="A7052" t="str">
            <v>CE2253_x</v>
          </cell>
          <cell r="B7052" t="str">
            <v>CE2253</v>
          </cell>
          <cell r="C7052" t="str">
            <v>3-oxotetracosanoyl-CoA</v>
          </cell>
        </row>
        <row r="7053">
          <cell r="A7053" t="str">
            <v>CE2250_x</v>
          </cell>
          <cell r="B7053" t="str">
            <v>CE2250</v>
          </cell>
          <cell r="C7053" t="str">
            <v>3-oxodocosanoyl-CoA(4-)</v>
          </cell>
        </row>
        <row r="7054">
          <cell r="A7054" t="str">
            <v>CE2247_x</v>
          </cell>
          <cell r="B7054" t="str">
            <v>CE2247</v>
          </cell>
          <cell r="C7054" t="str">
            <v>3-hydroxyeicosanoyl-CoA (4-)</v>
          </cell>
        </row>
        <row r="7055">
          <cell r="A7055" t="str">
            <v>CE2243_m</v>
          </cell>
          <cell r="B7055" t="str">
            <v>CE2243</v>
          </cell>
          <cell r="C7055" t="str">
            <v>Trans-eicos-2-enoyl-CoA</v>
          </cell>
        </row>
        <row r="7056">
          <cell r="A7056" t="str">
            <v>CE2251_m</v>
          </cell>
          <cell r="B7056" t="str">
            <v>CE2251</v>
          </cell>
          <cell r="C7056" t="str">
            <v>3-oxoicosanoyl-CoA(4-)</v>
          </cell>
        </row>
        <row r="7057">
          <cell r="A7057" t="str">
            <v>M00778_m</v>
          </cell>
          <cell r="B7057" t="str">
            <v>M00778</v>
          </cell>
          <cell r="C7057" t="str">
            <v>3-Hydroxyheneicosanoyl Coenzyme A</v>
          </cell>
        </row>
        <row r="7058">
          <cell r="A7058" t="str">
            <v>M00780_m</v>
          </cell>
          <cell r="B7058" t="str">
            <v>M00780</v>
          </cell>
          <cell r="C7058" t="str">
            <v>3-Hydroxyheptadecanoyl Coenzyme A</v>
          </cell>
        </row>
        <row r="7059">
          <cell r="A7059" t="str">
            <v>M00911_m</v>
          </cell>
          <cell r="B7059" t="str">
            <v>M00911</v>
          </cell>
          <cell r="C7059" t="str">
            <v>3-Oxoundecanoyl Coenzyme A</v>
          </cell>
        </row>
        <row r="7060">
          <cell r="A7060" t="str">
            <v>M00792_m</v>
          </cell>
          <cell r="B7060" t="str">
            <v>M00792</v>
          </cell>
          <cell r="C7060" t="str">
            <v>3-Hydroxynonanoyl Coenzyme A</v>
          </cell>
        </row>
        <row r="7061">
          <cell r="A7061" t="str">
            <v>M00048_m</v>
          </cell>
          <cell r="B7061" t="str">
            <v>M00048</v>
          </cell>
          <cell r="C7061" t="str">
            <v>(2E)-Heptenoyl Coenzyme A</v>
          </cell>
        </row>
        <row r="7062">
          <cell r="A7062" t="str">
            <v>M00899_m</v>
          </cell>
          <cell r="B7062" t="str">
            <v>M00899</v>
          </cell>
          <cell r="C7062" t="str">
            <v>3-Oxopentanoyl Coenzyme A</v>
          </cell>
        </row>
        <row r="7063">
          <cell r="A7063" t="str">
            <v>CE5153_m</v>
          </cell>
          <cell r="B7063" t="str">
            <v>CE5153</v>
          </cell>
          <cell r="C7063" t="str">
            <v>3(S)-hydroxy-13cis-docosenoyl-CoA</v>
          </cell>
        </row>
        <row r="7064">
          <cell r="A7064" t="str">
            <v>CE5150_m</v>
          </cell>
          <cell r="B7064" t="str">
            <v>CE5150</v>
          </cell>
          <cell r="C7064" t="str">
            <v>Trans,cis-2,11-eicosadienoyl-CoA</v>
          </cell>
        </row>
        <row r="7065">
          <cell r="A7065" t="str">
            <v>CE5148_m</v>
          </cell>
          <cell r="B7065" t="str">
            <v>CE5148</v>
          </cell>
          <cell r="C7065" t="str">
            <v>3(S)-hydroxy-11-cis-eicosenoyl-CoA</v>
          </cell>
        </row>
        <row r="7066">
          <cell r="A7066" t="str">
            <v>M00885_m</v>
          </cell>
          <cell r="B7066" t="str">
            <v>M00885</v>
          </cell>
          <cell r="C7066" t="str">
            <v>3-Oxomyrist-5-Enoyl Coenzyme A</v>
          </cell>
        </row>
        <row r="7067">
          <cell r="A7067" t="str">
            <v>M00170_m</v>
          </cell>
          <cell r="B7067" t="str">
            <v>M00170</v>
          </cell>
          <cell r="C7067" t="str">
            <v>(S)-3-Hydroxy-11-Cis-Octadecenoyl Coenzyme A</v>
          </cell>
        </row>
        <row r="7068">
          <cell r="A7068" t="str">
            <v>CE5144_x</v>
          </cell>
          <cell r="B7068" t="str">
            <v>CE5144</v>
          </cell>
          <cell r="C7068" t="str">
            <v>3-oxo-11-cis-eicosenoyl-CoA</v>
          </cell>
        </row>
        <row r="7069">
          <cell r="A7069" t="str">
            <v>HC10857_x</v>
          </cell>
          <cell r="B7069" t="str">
            <v>HC10857</v>
          </cell>
          <cell r="C7069" t="str">
            <v>(S)-3-Hydroxyoleyleoyl Coenzyme A</v>
          </cell>
        </row>
        <row r="7070">
          <cell r="A7070" t="str">
            <v>HC10858_x</v>
          </cell>
          <cell r="B7070" t="str">
            <v>HC10858</v>
          </cell>
          <cell r="C7070" t="str">
            <v>3-Oxooleoyl Coenzyme A</v>
          </cell>
        </row>
        <row r="7071">
          <cell r="A7071" t="str">
            <v>M01141_x</v>
          </cell>
          <cell r="B7071" t="str">
            <v>M01141</v>
          </cell>
          <cell r="C7071" t="str">
            <v>5Z-Tetradecenoyl Coenzyme A</v>
          </cell>
        </row>
        <row r="7072">
          <cell r="A7072" t="str">
            <v>M01573_x</v>
          </cell>
          <cell r="B7072" t="str">
            <v>M01573</v>
          </cell>
          <cell r="C7072" t="str">
            <v>Cis-(3S)-Hydroxytetradec-5-Enoyl Coenzyme A</v>
          </cell>
        </row>
        <row r="7073">
          <cell r="A7073" t="str">
            <v>CE5114_m</v>
          </cell>
          <cell r="B7073" t="str">
            <v>CE5114</v>
          </cell>
          <cell r="C7073" t="str">
            <v>Trans-2-cis,cis,cis-8,11,14-eicosatetraenoyl-CoA</v>
          </cell>
        </row>
        <row r="7074">
          <cell r="A7074" t="str">
            <v>CE4793_m</v>
          </cell>
          <cell r="B7074" t="str">
            <v>CE4793</v>
          </cell>
          <cell r="C7074" t="str">
            <v>3-oxo-dihomo-gama-linolenoyl-CoA</v>
          </cell>
        </row>
        <row r="7075">
          <cell r="A7075" t="str">
            <v>CE2440_m</v>
          </cell>
          <cell r="B7075" t="str">
            <v>CE2440</v>
          </cell>
          <cell r="C7075" t="str">
            <v>4Z,7Z,10Z-Hexadecatrienoyl Coenzyme A</v>
          </cell>
        </row>
        <row r="7076">
          <cell r="A7076" t="str">
            <v>M01458_r</v>
          </cell>
          <cell r="B7076" t="str">
            <v>M01458</v>
          </cell>
          <cell r="C7076" t="str">
            <v>Cholest-5-En-3Beta-Yl (11Z-Eicosenoate)</v>
          </cell>
        </row>
        <row r="7077">
          <cell r="A7077" t="str">
            <v>M01460_r</v>
          </cell>
          <cell r="B7077" t="str">
            <v>M01460</v>
          </cell>
          <cell r="C7077" t="str">
            <v>Cholesterol-Ester-13,16,19-Doco</v>
          </cell>
        </row>
        <row r="7078">
          <cell r="A7078" t="str">
            <v>M01461_r</v>
          </cell>
          <cell r="B7078" t="str">
            <v>M01461</v>
          </cell>
          <cell r="C7078" t="str">
            <v>Cholest-5-En-3Beta-Yl (13Z,16Z-Docosadienoate)</v>
          </cell>
        </row>
        <row r="7079">
          <cell r="A7079" t="str">
            <v>M01462_r</v>
          </cell>
          <cell r="B7079" t="str">
            <v>M01462</v>
          </cell>
          <cell r="C7079" t="str">
            <v>Cholest-5-En-3B-Yl (13Z-Docosenoate)</v>
          </cell>
        </row>
        <row r="7080">
          <cell r="A7080" t="str">
            <v>M01463_r</v>
          </cell>
          <cell r="B7080" t="str">
            <v>M01463</v>
          </cell>
          <cell r="C7080" t="str">
            <v>Cholesterol-Ester-13-Eicose</v>
          </cell>
        </row>
        <row r="7081">
          <cell r="A7081" t="str">
            <v>M01470_r</v>
          </cell>
          <cell r="B7081" t="str">
            <v>M01470</v>
          </cell>
          <cell r="C7081" t="str">
            <v>Cholesterol-Ester-5-Tetra</v>
          </cell>
        </row>
        <row r="7082">
          <cell r="A7082" t="str">
            <v>M01473_r</v>
          </cell>
          <cell r="B7082" t="str">
            <v>M01473</v>
          </cell>
          <cell r="C7082" t="str">
            <v>Cholesterol-Ester-6,9,12,15-Octa</v>
          </cell>
        </row>
        <row r="7083">
          <cell r="A7083" t="str">
            <v>M01474_r</v>
          </cell>
          <cell r="B7083" t="str">
            <v>M01474</v>
          </cell>
          <cell r="C7083" t="str">
            <v>Cholesterol-Ester-6,9-Octa</v>
          </cell>
        </row>
        <row r="7084">
          <cell r="A7084" t="str">
            <v>M01481_r</v>
          </cell>
          <cell r="B7084" t="str">
            <v>M01481</v>
          </cell>
          <cell r="C7084" t="str">
            <v>Cholesterol-Ester-8,11-Eico</v>
          </cell>
        </row>
        <row r="7085">
          <cell r="A7085" t="str">
            <v>M01482_r</v>
          </cell>
          <cell r="B7085" t="str">
            <v>M01482</v>
          </cell>
          <cell r="C7085" t="str">
            <v>Cholesterol-Ester-9,12,15,18,21-Tetra</v>
          </cell>
        </row>
        <row r="7086">
          <cell r="A7086" t="str">
            <v>M01489_r</v>
          </cell>
          <cell r="B7086" t="str">
            <v>M01489</v>
          </cell>
          <cell r="C7086" t="str">
            <v>Cholesterol-Ester-Cis-Vac</v>
          </cell>
        </row>
        <row r="7087">
          <cell r="A7087" t="str">
            <v>M01491_r</v>
          </cell>
          <cell r="B7087" t="str">
            <v>M01491</v>
          </cell>
          <cell r="C7087" t="str">
            <v>Cholest-5-En-3Beta-Yl Docosanoate</v>
          </cell>
        </row>
        <row r="7088">
          <cell r="A7088" t="str">
            <v>M01492_r</v>
          </cell>
          <cell r="B7088" t="str">
            <v>M01492</v>
          </cell>
          <cell r="C7088" t="str">
            <v>Cholest-5-En-3Beta-Yl Eicosanoate</v>
          </cell>
        </row>
        <row r="7089">
          <cell r="A7089" t="str">
            <v>M01495_r</v>
          </cell>
          <cell r="B7089" t="str">
            <v>M01495</v>
          </cell>
          <cell r="C7089" t="str">
            <v>Cholest-5-En-3B-Yl (Heptadecanoate)</v>
          </cell>
        </row>
        <row r="7090">
          <cell r="A7090" t="str">
            <v>M01496_r</v>
          </cell>
          <cell r="B7090" t="str">
            <v>M01496</v>
          </cell>
          <cell r="C7090" t="str">
            <v>Cholesterol-Ester-Hexacosa</v>
          </cell>
        </row>
        <row r="7091">
          <cell r="A7091" t="str">
            <v>M01498_r</v>
          </cell>
          <cell r="B7091" t="str">
            <v>M01498</v>
          </cell>
          <cell r="C7091" t="str">
            <v>Cholest-5-En-3Beta-Yl Dodecanoate</v>
          </cell>
        </row>
        <row r="7092">
          <cell r="A7092" t="str">
            <v>M01501_r</v>
          </cell>
          <cell r="B7092" t="str">
            <v>M01501</v>
          </cell>
          <cell r="C7092" t="str">
            <v>Cholest-5-En-3Beta-Yl Tetradecanoate</v>
          </cell>
        </row>
        <row r="7093">
          <cell r="A7093" t="str">
            <v>M01502_r</v>
          </cell>
          <cell r="B7093" t="str">
            <v>M01502</v>
          </cell>
          <cell r="C7093" t="str">
            <v>Cholest-5-En-3Beta-Yl Nonadecanoate</v>
          </cell>
        </row>
        <row r="7094">
          <cell r="A7094" t="str">
            <v>M01506_r</v>
          </cell>
          <cell r="B7094" t="str">
            <v>M01506</v>
          </cell>
          <cell r="C7094" t="str">
            <v>Cholest-5-En-3B-Yl (Pentadecanoate)</v>
          </cell>
        </row>
        <row r="7095">
          <cell r="A7095" t="str">
            <v>M01509_r</v>
          </cell>
          <cell r="B7095" t="str">
            <v>M01509</v>
          </cell>
          <cell r="C7095" t="str">
            <v>Cholesterol-Ester-Trico</v>
          </cell>
        </row>
        <row r="7096">
          <cell r="A7096" t="str">
            <v>M01510_r</v>
          </cell>
          <cell r="B7096" t="str">
            <v>M01510</v>
          </cell>
          <cell r="C7096" t="str">
            <v>Cholesterol-Ester-Tridec</v>
          </cell>
        </row>
        <row r="7097">
          <cell r="A7097" t="str">
            <v>ocdca_r</v>
          </cell>
          <cell r="B7097" t="str">
            <v>ocdca</v>
          </cell>
          <cell r="C7097" t="str">
            <v>Octadecanoate (n-C18:0)</v>
          </cell>
        </row>
        <row r="7098">
          <cell r="A7098" t="str">
            <v>Ndmelys_c</v>
          </cell>
          <cell r="B7098" t="str">
            <v>Ndmelys</v>
          </cell>
          <cell r="C7098" t="str">
            <v>Protein N6,N6-dimethyl-L-lysine</v>
          </cell>
        </row>
        <row r="7099">
          <cell r="A7099" t="str">
            <v>M01872_e</v>
          </cell>
          <cell r="B7099" t="str">
            <v>M01872</v>
          </cell>
          <cell r="C7099" t="str">
            <v>(Gal)1 (GalNAc)1 (GlcNAc)1 (Ser/Thr)1</v>
          </cell>
        </row>
        <row r="7100">
          <cell r="A7100" t="str">
            <v>M01869_g</v>
          </cell>
          <cell r="B7100" t="str">
            <v>M01869</v>
          </cell>
          <cell r="C7100" t="str">
            <v>(GlcNAc)6 (Man)3 (Asn)1</v>
          </cell>
        </row>
        <row r="7101">
          <cell r="A7101" t="str">
            <v>M01870_e</v>
          </cell>
          <cell r="B7101" t="str">
            <v>M01870</v>
          </cell>
          <cell r="C7101" t="str">
            <v xml:space="preserve"> </v>
          </cell>
        </row>
        <row r="7102">
          <cell r="A7102" t="str">
            <v>(GlcNAc)7 (Man)3 (Asn)1</v>
          </cell>
          <cell r="B7102" t="str">
            <v>Recon3D</v>
          </cell>
          <cell r="C7102" t="str">
            <v/>
          </cell>
        </row>
        <row r="7103">
          <cell r="A7103" t="str">
            <v>M01389_c</v>
          </cell>
          <cell r="B7103" t="str">
            <v>M01389</v>
          </cell>
          <cell r="C7103" t="str">
            <v>Beta-D-Glucose-6-Phosphate</v>
          </cell>
        </row>
        <row r="7104">
          <cell r="A7104" t="str">
            <v>M02446_e</v>
          </cell>
          <cell r="B7104" t="str">
            <v>M02446</v>
          </cell>
          <cell r="C7104" t="str">
            <v>Maltoheptaose</v>
          </cell>
        </row>
        <row r="7105">
          <cell r="A7105" t="str">
            <v>M02447_e</v>
          </cell>
          <cell r="B7105" t="str">
            <v>M02447</v>
          </cell>
          <cell r="C7105" t="str">
            <v>Maltohexaose</v>
          </cell>
        </row>
        <row r="7106">
          <cell r="A7106" t="str">
            <v>itacon_e</v>
          </cell>
          <cell r="B7106" t="str">
            <v>itacon</v>
          </cell>
          <cell r="C7106" t="str">
            <v>Itaconate C5H4O4</v>
          </cell>
        </row>
        <row r="7107">
          <cell r="A7107" t="str">
            <v>M01989_e</v>
          </cell>
          <cell r="B7107" t="str">
            <v>M01989</v>
          </cell>
          <cell r="C7107" t="str">
            <v>Glycodeoxycholic Acid</v>
          </cell>
        </row>
        <row r="7108">
          <cell r="A7108" t="str">
            <v>M02467_c</v>
          </cell>
          <cell r="B7108" t="str">
            <v>M02467</v>
          </cell>
          <cell r="C7108" t="str">
            <v>Metformin</v>
          </cell>
        </row>
        <row r="7109">
          <cell r="A7109" t="str">
            <v>gpi_sig_c</v>
          </cell>
          <cell r="B7109" t="str">
            <v>gpi_sig</v>
          </cell>
          <cell r="C7109" t="str">
            <v>Glycophosphatidylinositol (GPI) signal sequence (C-terminal peptide)</v>
          </cell>
        </row>
        <row r="7110">
          <cell r="A7110" t="str">
            <v>n5m2masn_c</v>
          </cell>
          <cell r="B7110" t="str">
            <v>n5m2masn</v>
          </cell>
          <cell r="C7110" t="str">
            <v>((N-acetyl-D-glucosaminyl)5-(alpha-D-mannosyl)2-beta-D-mannosyl-diacetylchitobiosyl)-L-asparagine (protein)</v>
          </cell>
        </row>
        <row r="7111">
          <cell r="A7111" t="str">
            <v>m3gacpail_prot_hs_e</v>
          </cell>
          <cell r="B7111" t="str">
            <v>m3gacpail_prot_hs</v>
          </cell>
          <cell r="C7111" t="str">
            <v>M3Gacpail Prot Heparan Sulfate</v>
          </cell>
        </row>
        <row r="7112">
          <cell r="A7112" t="str">
            <v>M03168_m</v>
          </cell>
          <cell r="B7112" t="str">
            <v>M03168</v>
          </cell>
          <cell r="C7112" t="str">
            <v>3-Oxopropionyl Coenzyme A</v>
          </cell>
        </row>
        <row r="7113">
          <cell r="A7113" t="str">
            <v>3dhchol_c</v>
          </cell>
          <cell r="B7113" t="str">
            <v>3dhchol</v>
          </cell>
          <cell r="C7113" t="str">
            <v>3-Dehydrocholic acid; 3oxo-7alpha,12alpha-Dihydroxy-5beta-cholan-24-oic acid</v>
          </cell>
        </row>
        <row r="7114">
          <cell r="A7114" t="str">
            <v>3dhdchol_e</v>
          </cell>
          <cell r="B7114" t="str">
            <v>3dhdchol</v>
          </cell>
          <cell r="C7114" t="str">
            <v>3-dehydro-Deoxycholate</v>
          </cell>
        </row>
        <row r="7115">
          <cell r="A7115" t="str">
            <v>7dhcdchol_e</v>
          </cell>
          <cell r="B7115" t="str">
            <v>7dhcdchol</v>
          </cell>
          <cell r="C7115" t="str">
            <v>7-Dehydrochenodeoxycholic acid; 7oxo-3alpha-hydroxy-5beta-cholan-24-oic acid</v>
          </cell>
        </row>
        <row r="7116">
          <cell r="A7116" t="str">
            <v>7dhchol_c</v>
          </cell>
          <cell r="B7116" t="str">
            <v>7dhchol</v>
          </cell>
          <cell r="C7116" t="str">
            <v>7-Dehydrocholic acid; 7-Oxodeoxycholic acid; 7oxo-3alpha,12alpha-Dihydroxy-5beta-cholan-24-oic acid</v>
          </cell>
        </row>
        <row r="7117">
          <cell r="A7117" t="str">
            <v>ca3s_c</v>
          </cell>
          <cell r="B7117" t="str">
            <v>ca3s</v>
          </cell>
          <cell r="C7117" t="str">
            <v>Cholic acid 3-sulfate</v>
          </cell>
        </row>
        <row r="7118">
          <cell r="A7118" t="str">
            <v>cdca3g_c</v>
          </cell>
          <cell r="B7118" t="str">
            <v>cdca3g</v>
          </cell>
          <cell r="C7118" t="str">
            <v>Chenodeoxycholic acid-3glucuronide, CDCA-3G</v>
          </cell>
        </row>
        <row r="7119">
          <cell r="A7119" t="str">
            <v>cdca3g_r</v>
          </cell>
          <cell r="B7119" t="str">
            <v>cdca3g</v>
          </cell>
          <cell r="C7119" t="str">
            <v>Chenodeoxycholic acid-3glucuronide, CDCA-3G</v>
          </cell>
        </row>
        <row r="7120">
          <cell r="A7120" t="str">
            <v>coprost_c</v>
          </cell>
          <cell r="B7120" t="str">
            <v>coprost</v>
          </cell>
          <cell r="C7120" t="str">
            <v>Coprostanol</v>
          </cell>
        </row>
        <row r="7121">
          <cell r="A7121" t="str">
            <v>dca24g_c</v>
          </cell>
          <cell r="B7121" t="str">
            <v>dca24g</v>
          </cell>
          <cell r="C7121" t="str">
            <v>Deoxycholic acid-24glucuronide, CDA-24G</v>
          </cell>
        </row>
        <row r="7122">
          <cell r="A7122" t="str">
            <v>dca24g_r</v>
          </cell>
          <cell r="B7122" t="str">
            <v>dca24g</v>
          </cell>
          <cell r="C7122" t="str">
            <v>Deoxycholic acid-24glucuronide, CDA-24G</v>
          </cell>
        </row>
        <row r="7123">
          <cell r="A7123" t="str">
            <v>dca3g_e</v>
          </cell>
          <cell r="B7123" t="str">
            <v>dca3g</v>
          </cell>
          <cell r="C7123" t="str">
            <v>Deoxycholic acid-3glucuronide, CDA-3G</v>
          </cell>
        </row>
        <row r="7124">
          <cell r="A7124" t="str">
            <v>lca24g_c</v>
          </cell>
          <cell r="B7124" t="str">
            <v>lca24g</v>
          </cell>
          <cell r="C7124" t="str">
            <v>Lithocholic acid-24glucuronide, CDCA-24G</v>
          </cell>
        </row>
        <row r="7125">
          <cell r="A7125" t="str">
            <v>tcdca3s_c</v>
          </cell>
          <cell r="B7125" t="str">
            <v>tcdca3s</v>
          </cell>
          <cell r="C7125" t="str">
            <v>Taurochenodeoxycholic acid 3-sulfate</v>
          </cell>
        </row>
        <row r="7126">
          <cell r="A7126" t="str">
            <v>udca3s_c</v>
          </cell>
          <cell r="B7126" t="str">
            <v>udca3s</v>
          </cell>
          <cell r="C7126" t="str">
            <v>Ursodeoxycholic acid 3-sulfate</v>
          </cell>
        </row>
        <row r="7127">
          <cell r="A7127" t="str">
            <v>gudca3s_e</v>
          </cell>
          <cell r="B7127" t="str">
            <v>gudca3s</v>
          </cell>
          <cell r="C7127" t="str">
            <v>Glycoursodeoxycholic acid 3-sulfate</v>
          </cell>
        </row>
        <row r="7128">
          <cell r="A7128" t="str">
            <v>isochol_e</v>
          </cell>
          <cell r="B7128" t="str">
            <v>isochol</v>
          </cell>
          <cell r="C7128" t="str">
            <v>Isochenodeoxycholic acid; 3beta,7alpha,12alpha-Trihydroxy-5beta-cholanic acid</v>
          </cell>
        </row>
        <row r="7129">
          <cell r="A7129" t="str">
            <v>lca3s_e</v>
          </cell>
          <cell r="B7129" t="str">
            <v>lca3s</v>
          </cell>
          <cell r="C7129" t="str">
            <v>Lithocholic acid 3-sulfate</v>
          </cell>
        </row>
        <row r="7130">
          <cell r="A7130" t="str">
            <v>tca3s_e</v>
          </cell>
          <cell r="B7130" t="str">
            <v>tca3s</v>
          </cell>
          <cell r="C7130" t="str">
            <v>Taurocholic acid 3-sulfate</v>
          </cell>
        </row>
        <row r="7131">
          <cell r="A7131" t="str">
            <v>uchol_e</v>
          </cell>
          <cell r="B7131" t="str">
            <v>uchol</v>
          </cell>
          <cell r="C7131" t="str">
            <v>Ursocholic acid; 3alpha,7beta,12alpha-Trihydroxy-5beta-cholan-24-oic acid; 3alpha,7beta,12alpha-Trihydroxy-5beta-cholanic acid; 7beta-Hydroxyisocholic acid; 7-Epicholic acid</v>
          </cell>
        </row>
        <row r="7132">
          <cell r="A7132" t="str">
            <v>M02155_r</v>
          </cell>
          <cell r="B7132" t="str">
            <v>M02155</v>
          </cell>
          <cell r="C7132" t="str">
            <v>Hyodesoxycholic Acid</v>
          </cell>
        </row>
        <row r="7133">
          <cell r="A7133" t="str">
            <v>lca24g_r</v>
          </cell>
          <cell r="B7133" t="str">
            <v>lca24g</v>
          </cell>
          <cell r="C7133" t="str">
            <v>Lithocholic acid-24glucuronide, CDCA-24G</v>
          </cell>
        </row>
        <row r="7134">
          <cell r="A7134" t="str">
            <v>15dmt_r</v>
          </cell>
          <cell r="B7134" t="str">
            <v>15dmt</v>
          </cell>
          <cell r="C7134" t="str">
            <v>15-DMT or M-III, 15-O-desmethyl tacrolimus</v>
          </cell>
        </row>
        <row r="7135">
          <cell r="A7135" t="str">
            <v>1513tacr_r</v>
          </cell>
          <cell r="B7135" t="str">
            <v>1513tacr</v>
          </cell>
          <cell r="C7135" t="str">
            <v>13,15-O-didesmethyl tacrolimus</v>
          </cell>
        </row>
        <row r="7136">
          <cell r="A7136" t="str">
            <v>1513tacr_c</v>
          </cell>
          <cell r="B7136" t="str">
            <v>1513tacr</v>
          </cell>
          <cell r="C7136" t="str">
            <v>13,15-O-didesmethyl tacrolimus</v>
          </cell>
        </row>
        <row r="7137">
          <cell r="A7137" t="str">
            <v>1531tacr_r</v>
          </cell>
          <cell r="B7137" t="str">
            <v>1531tacr</v>
          </cell>
          <cell r="C7137" t="str">
            <v>15, 31-O-Didesmethyl-tacrolimus</v>
          </cell>
        </row>
        <row r="7138">
          <cell r="A7138" t="str">
            <v>1531tacr_c</v>
          </cell>
          <cell r="B7138" t="str">
            <v>1531tacr</v>
          </cell>
          <cell r="C7138" t="str">
            <v>15, 31-O-Didesmethyl-tacrolimus</v>
          </cell>
        </row>
        <row r="7139">
          <cell r="A7139" t="str">
            <v>15dmt_c</v>
          </cell>
          <cell r="B7139" t="str">
            <v>15dmt</v>
          </cell>
          <cell r="C7139" t="str">
            <v>15-DMT or M-III, 15-O-desmethyl tacrolimus</v>
          </cell>
        </row>
        <row r="7140">
          <cell r="A7140" t="str">
            <v>1hibupglu__S_e</v>
          </cell>
          <cell r="B7140" t="str">
            <v>1hibupglu__S</v>
          </cell>
          <cell r="C7140" t="str">
            <v>1-hydroxy S-ibuprofen-glucuronide</v>
          </cell>
        </row>
        <row r="7141">
          <cell r="A7141" t="str">
            <v>1hibup__S_r</v>
          </cell>
          <cell r="B7141" t="str">
            <v>1hibup__S</v>
          </cell>
          <cell r="C7141" t="str">
            <v>1-hydroxy S-ibuprofen</v>
          </cell>
        </row>
        <row r="7142">
          <cell r="A7142" t="str">
            <v>1hibup__S_c</v>
          </cell>
          <cell r="B7142" t="str">
            <v>1hibup__S</v>
          </cell>
          <cell r="C7142" t="str">
            <v>1-hydroxy S-ibuprofen</v>
          </cell>
        </row>
        <row r="7143">
          <cell r="A7143" t="str">
            <v>1ohmdz_e</v>
          </cell>
          <cell r="B7143" t="str">
            <v>1ohmdz</v>
          </cell>
          <cell r="C7143" t="str">
            <v>1'-OH-midazolam</v>
          </cell>
        </row>
        <row r="7144">
          <cell r="A7144" t="str">
            <v>2hatvacidgluc_e</v>
          </cell>
          <cell r="B7144" t="str">
            <v>2hatvacidgluc</v>
          </cell>
          <cell r="C7144" t="str">
            <v>2-hydroxy-atorvastatin-acyl-glucuronide</v>
          </cell>
        </row>
        <row r="7145">
          <cell r="A7145" t="str">
            <v>2hibupglu__S_e</v>
          </cell>
          <cell r="B7145" t="str">
            <v>2hibupglu__S</v>
          </cell>
          <cell r="C7145" t="str">
            <v>2-hydroxy S-ibuprofen-glucuronide</v>
          </cell>
        </row>
        <row r="7146">
          <cell r="A7146" t="str">
            <v>31dmt_e</v>
          </cell>
          <cell r="B7146" t="str">
            <v>31dmt</v>
          </cell>
          <cell r="C7146" t="str">
            <v>31-DMT or M-II, 31-O-desmethyl tacrolimus</v>
          </cell>
        </row>
        <row r="7147">
          <cell r="A7147" t="str">
            <v>35dsmv_e</v>
          </cell>
          <cell r="B7147" t="str">
            <v>35dsmv</v>
          </cell>
          <cell r="C7147" t="str">
            <v>3',5'-dihydrodiol-simvastatin-lactone form</v>
          </cell>
        </row>
        <row r="7148">
          <cell r="A7148" t="str">
            <v>3hibup__R_c</v>
          </cell>
          <cell r="B7148" t="str">
            <v>3hibup__R</v>
          </cell>
          <cell r="C7148" t="str">
            <v>3-hydroxy R-ibuprofen</v>
          </cell>
        </row>
        <row r="7149">
          <cell r="A7149" t="str">
            <v>3hpvscoa_m</v>
          </cell>
          <cell r="B7149" t="str">
            <v>3hpvscoa</v>
          </cell>
          <cell r="C7149" t="str">
            <v>3'-S-hydroxy-pravastatin-CoA</v>
          </cell>
        </row>
        <row r="7150">
          <cell r="A7150" t="str">
            <v>3hpvstet_c</v>
          </cell>
          <cell r="B7150" t="str">
            <v>3hpvstet</v>
          </cell>
          <cell r="C7150" t="str">
            <v>3'-S-hydroxy-pravastatin-tetranor</v>
          </cell>
        </row>
        <row r="7151">
          <cell r="A7151" t="str">
            <v>3hpvs_r</v>
          </cell>
          <cell r="B7151" t="str">
            <v>3hpvs</v>
          </cell>
          <cell r="C7151" t="str">
            <v>3'-S-hydroxy-pravastatin</v>
          </cell>
        </row>
        <row r="7152">
          <cell r="A7152" t="str">
            <v>3hpvs_c</v>
          </cell>
          <cell r="B7152" t="str">
            <v>3hpvs</v>
          </cell>
          <cell r="C7152" t="str">
            <v>3'-S-hydroxy-pravastatin</v>
          </cell>
        </row>
        <row r="7153">
          <cell r="A7153" t="str">
            <v>3hsmv_c</v>
          </cell>
          <cell r="B7153" t="str">
            <v>3hsmv</v>
          </cell>
          <cell r="C7153" t="str">
            <v>3'-hydroxy-simvastatin-lactone form</v>
          </cell>
        </row>
        <row r="7154">
          <cell r="A7154" t="str">
            <v>3hsmvacid_e</v>
          </cell>
          <cell r="B7154" t="str">
            <v>3hsmvacid</v>
          </cell>
          <cell r="C7154" t="str">
            <v>3'-hydroxy-simvastatin-acid form</v>
          </cell>
        </row>
        <row r="7155">
          <cell r="A7155" t="str">
            <v>3hsmv_r</v>
          </cell>
          <cell r="B7155" t="str">
            <v>3hsmv</v>
          </cell>
          <cell r="C7155" t="str">
            <v>3'-hydroxy-simvastatin-lactone form</v>
          </cell>
        </row>
        <row r="7156">
          <cell r="A7156" t="str">
            <v>3ispvs_c</v>
          </cell>
          <cell r="B7156" t="str">
            <v>3ispvs</v>
          </cell>
          <cell r="C7156" t="str">
            <v>3-alpha-iso-pravastatin</v>
          </cell>
        </row>
        <row r="7157">
          <cell r="A7157" t="str">
            <v>4hatvlac_e</v>
          </cell>
          <cell r="B7157" t="str">
            <v>4hatvlac</v>
          </cell>
          <cell r="C7157" t="str">
            <v>4-hydroxy-atorvastatin-lactone / para-hydroxy-atorvastatin lactone</v>
          </cell>
        </row>
        <row r="7158">
          <cell r="A7158" t="str">
            <v>56dhpvs_r</v>
          </cell>
          <cell r="B7158" t="str">
            <v>56dhpvs</v>
          </cell>
          <cell r="C7158" t="str">
            <v>3-keto-5,6,-dihydroxy-pravastatin</v>
          </cell>
        </row>
        <row r="7159">
          <cell r="A7159" t="str">
            <v>56dhpvs_c</v>
          </cell>
          <cell r="B7159" t="str">
            <v>56dhpvs</v>
          </cell>
          <cell r="C7159" t="str">
            <v>3-keto-5,6,-dihydroxy-pravastatin</v>
          </cell>
        </row>
        <row r="7160">
          <cell r="A7160" t="str">
            <v>3ispvs_r</v>
          </cell>
          <cell r="B7160" t="str">
            <v>3ispvs</v>
          </cell>
          <cell r="C7160" t="str">
            <v>3-alpha-iso-pravastatin</v>
          </cell>
        </row>
        <row r="7161">
          <cell r="A7161" t="str">
            <v>5ohfvs_r</v>
          </cell>
          <cell r="B7161" t="str">
            <v>5ohfvs</v>
          </cell>
          <cell r="C7161" t="str">
            <v>5-hydroxy-fluvastatin</v>
          </cell>
        </row>
        <row r="7162">
          <cell r="A7162" t="str">
            <v>5ohfvsglu_e</v>
          </cell>
          <cell r="B7162" t="str">
            <v>5ohfvsglu</v>
          </cell>
          <cell r="C7162" t="str">
            <v>5-hydroxy-fluvastatin-glucuronide</v>
          </cell>
        </row>
        <row r="7163">
          <cell r="A7163" t="str">
            <v>5ohfvs_c</v>
          </cell>
          <cell r="B7163" t="str">
            <v>5ohfvs</v>
          </cell>
          <cell r="C7163" t="str">
            <v>5-hydroxy-fluvastatin</v>
          </cell>
        </row>
        <row r="7164">
          <cell r="A7164" t="str">
            <v>6bhglz_c</v>
          </cell>
          <cell r="B7164" t="str">
            <v>6bhglz</v>
          </cell>
          <cell r="C7164" t="str">
            <v>6-beta-OH-gliclazide</v>
          </cell>
        </row>
        <row r="7165">
          <cell r="A7165" t="str">
            <v>6bhglz_r</v>
          </cell>
          <cell r="B7165" t="str">
            <v>6bhglz</v>
          </cell>
          <cell r="C7165" t="str">
            <v>6-beta-OH-gliclazide</v>
          </cell>
        </row>
        <row r="7166">
          <cell r="A7166" t="str">
            <v>6epvs_e</v>
          </cell>
          <cell r="B7166" t="str">
            <v>6epvs</v>
          </cell>
          <cell r="C7166" t="str">
            <v>6-epipravastatin</v>
          </cell>
        </row>
        <row r="7167">
          <cell r="A7167" t="str">
            <v>6hlvstacid_c</v>
          </cell>
          <cell r="B7167" t="str">
            <v>6hlvstacid</v>
          </cell>
          <cell r="C7167" t="str">
            <v>6'-beta-hydroxy-lovastatin-acid form</v>
          </cell>
        </row>
        <row r="7168">
          <cell r="A7168" t="str">
            <v>6hmsmv_c</v>
          </cell>
          <cell r="B7168" t="str">
            <v>6hmsmv</v>
          </cell>
          <cell r="C7168" t="str">
            <v>6'-beta-hydroxy-methyl-simvastatin-lactone form</v>
          </cell>
        </row>
        <row r="7169">
          <cell r="A7169" t="str">
            <v>6hmsmv_r</v>
          </cell>
          <cell r="B7169" t="str">
            <v>6hmsmv</v>
          </cell>
          <cell r="C7169" t="str">
            <v>6'-beta-hydroxy-methyl-simvastatin-lactone form</v>
          </cell>
        </row>
        <row r="7170">
          <cell r="A7170" t="str">
            <v>6hsmvacid_c</v>
          </cell>
          <cell r="B7170" t="str">
            <v>6hsmvacid</v>
          </cell>
          <cell r="C7170" t="str">
            <v>6'-beta-hydroxy simvastatin acid</v>
          </cell>
        </row>
        <row r="7171">
          <cell r="A7171" t="str">
            <v>6melvacid_c</v>
          </cell>
          <cell r="B7171" t="str">
            <v>6melvacid</v>
          </cell>
          <cell r="C7171" t="str">
            <v>6'-exomethylene-lovastatin-acid form</v>
          </cell>
        </row>
        <row r="7172">
          <cell r="A7172" t="str">
            <v>6melvst_e</v>
          </cell>
          <cell r="B7172" t="str">
            <v>6melvst</v>
          </cell>
          <cell r="C7172" t="str">
            <v>6'-exomethylene-lovastatin lactone form</v>
          </cell>
        </row>
        <row r="7173">
          <cell r="A7173" t="str">
            <v>6ohfvsglu_e</v>
          </cell>
          <cell r="B7173" t="str">
            <v>6ohfvsglu</v>
          </cell>
          <cell r="C7173" t="str">
            <v>6-hydroxy-fluvastatin-glucuronide</v>
          </cell>
        </row>
        <row r="7174">
          <cell r="A7174" t="str">
            <v>7bhglz_c</v>
          </cell>
          <cell r="B7174" t="str">
            <v>7bhglz</v>
          </cell>
          <cell r="C7174" t="str">
            <v>7-beta-OH-gliclazide</v>
          </cell>
        </row>
        <row r="7175">
          <cell r="A7175" t="str">
            <v>7bhglzglc_c</v>
          </cell>
          <cell r="B7175" t="str">
            <v>7bhglzglc</v>
          </cell>
          <cell r="C7175" t="str">
            <v>7-beta-OH-gliclazide-glucuronide</v>
          </cell>
        </row>
        <row r="7176">
          <cell r="A7176" t="str">
            <v>7bhglz_r</v>
          </cell>
          <cell r="B7176" t="str">
            <v>7bhglz</v>
          </cell>
          <cell r="C7176" t="str">
            <v>7-beta-OH-gliclazide</v>
          </cell>
        </row>
        <row r="7177">
          <cell r="A7177" t="str">
            <v>7bhglzglc_r</v>
          </cell>
          <cell r="B7177" t="str">
            <v>7bhglzglc</v>
          </cell>
          <cell r="C7177" t="str">
            <v>7-beta-OH-gliclazide-glucuronide</v>
          </cell>
        </row>
        <row r="7178">
          <cell r="A7178" t="str">
            <v>allop_c</v>
          </cell>
          <cell r="B7178" t="str">
            <v>allop</v>
          </cell>
          <cell r="C7178" t="str">
            <v>Allopurinol</v>
          </cell>
        </row>
        <row r="7179">
          <cell r="A7179" t="str">
            <v>acmpglut_c</v>
          </cell>
          <cell r="B7179" t="str">
            <v>acmpglut</v>
          </cell>
          <cell r="C7179" t="str">
            <v>Acetaminophen-glutathione-conjugate</v>
          </cell>
        </row>
        <row r="7180">
          <cell r="A7180" t="str">
            <v>am19cs_r</v>
          </cell>
          <cell r="B7180" t="str">
            <v>am19cs</v>
          </cell>
          <cell r="C7180" t="str">
            <v>AM19 (cyclosporine)</v>
          </cell>
        </row>
        <row r="7181">
          <cell r="A7181" t="str">
            <v>am19cs_c</v>
          </cell>
          <cell r="B7181" t="str">
            <v>am19cs</v>
          </cell>
          <cell r="C7181" t="str">
            <v>AM19 (cyclosporine)</v>
          </cell>
        </row>
        <row r="7182">
          <cell r="A7182" t="str">
            <v>am1acs_c</v>
          </cell>
          <cell r="B7182" t="str">
            <v>am1acs</v>
          </cell>
          <cell r="C7182" t="str">
            <v>AM1A (cyclosporine)</v>
          </cell>
        </row>
        <row r="7183">
          <cell r="A7183" t="str">
            <v>am1acs_r</v>
          </cell>
          <cell r="B7183" t="str">
            <v>am1acs</v>
          </cell>
          <cell r="C7183" t="str">
            <v>AM1A (cyclosporine)</v>
          </cell>
        </row>
        <row r="7184">
          <cell r="A7184" t="str">
            <v>csa_r</v>
          </cell>
          <cell r="B7184" t="str">
            <v>csa</v>
          </cell>
          <cell r="C7184" t="str">
            <v>Cyclosporine</v>
          </cell>
        </row>
        <row r="7185">
          <cell r="A7185" t="str">
            <v>am4n9cs_c</v>
          </cell>
          <cell r="B7185" t="str">
            <v>am4n9cs</v>
          </cell>
          <cell r="C7185" t="str">
            <v>AM4N9 (cyclosporine)</v>
          </cell>
        </row>
        <row r="7186">
          <cell r="A7186" t="str">
            <v>am4n9cs_r</v>
          </cell>
          <cell r="B7186" t="str">
            <v>am4n9cs</v>
          </cell>
          <cell r="C7186" t="str">
            <v>AM4N9 (cyclosporine)</v>
          </cell>
        </row>
        <row r="7187">
          <cell r="A7187" t="str">
            <v>csa_c</v>
          </cell>
          <cell r="B7187" t="str">
            <v>csa</v>
          </cell>
          <cell r="C7187" t="str">
            <v>Cyclosporine</v>
          </cell>
        </row>
        <row r="7188">
          <cell r="A7188" t="str">
            <v>am9csa_e</v>
          </cell>
          <cell r="B7188" t="str">
            <v>am9csa</v>
          </cell>
          <cell r="C7188" t="str">
            <v>AM9 (cyclosporine)</v>
          </cell>
        </row>
        <row r="7189">
          <cell r="A7189" t="str">
            <v>atvacid_e</v>
          </cell>
          <cell r="B7189" t="str">
            <v>atvacid</v>
          </cell>
          <cell r="C7189" t="str">
            <v>Atorvastatin-acid</v>
          </cell>
        </row>
        <row r="7190">
          <cell r="A7190" t="str">
            <v>atvacylgluc_r</v>
          </cell>
          <cell r="B7190" t="str">
            <v>atvacylgluc</v>
          </cell>
          <cell r="C7190" t="str">
            <v>Atorvastatin-acyl-glucuronide / G2</v>
          </cell>
        </row>
        <row r="7191">
          <cell r="A7191" t="str">
            <v>atvlac_e</v>
          </cell>
          <cell r="B7191" t="str">
            <v>atvlac</v>
          </cell>
          <cell r="C7191" t="str">
            <v>Atorvastatin-lactone</v>
          </cell>
        </row>
        <row r="7192">
          <cell r="A7192" t="str">
            <v>caribup_s_r</v>
          </cell>
          <cell r="B7192" t="str">
            <v>caribup_s</v>
          </cell>
          <cell r="C7192" t="str">
            <v>S-carboxy ibuprofen</v>
          </cell>
        </row>
        <row r="7193">
          <cell r="A7193" t="str">
            <v>caribup_s_c</v>
          </cell>
          <cell r="B7193" t="str">
            <v>caribup_s</v>
          </cell>
          <cell r="C7193" t="str">
            <v>S-carboxy ibuprofen</v>
          </cell>
        </row>
        <row r="7194">
          <cell r="A7194" t="str">
            <v>mhglz_r</v>
          </cell>
          <cell r="B7194" t="str">
            <v>mhglz</v>
          </cell>
          <cell r="C7194" t="str">
            <v>Methyl-hydroxy-gliclazide</v>
          </cell>
        </row>
        <row r="7195">
          <cell r="A7195" t="str">
            <v>cvm23gluc_r</v>
          </cell>
          <cell r="B7195" t="str">
            <v>cvm23gluc</v>
          </cell>
          <cell r="C7195" t="str">
            <v>Cerivastatin-M23-glucuronide</v>
          </cell>
        </row>
        <row r="7196">
          <cell r="A7196" t="str">
            <v>crvsm23_e</v>
          </cell>
          <cell r="B7196" t="str">
            <v>crvsm23</v>
          </cell>
          <cell r="C7196" t="str">
            <v>Cerivastatin-M23</v>
          </cell>
        </row>
        <row r="7197">
          <cell r="A7197" t="str">
            <v>crvsm24_e</v>
          </cell>
          <cell r="B7197" t="str">
            <v>crvsm24</v>
          </cell>
          <cell r="C7197" t="str">
            <v>Cerivastatin-M24</v>
          </cell>
        </row>
        <row r="7198">
          <cell r="A7198" t="str">
            <v>dhglz_c</v>
          </cell>
          <cell r="B7198" t="str">
            <v>dhglz</v>
          </cell>
          <cell r="C7198" t="str">
            <v>Dehydro-gliclazide</v>
          </cell>
        </row>
        <row r="7199">
          <cell r="A7199" t="str">
            <v>dspvs_r</v>
          </cell>
          <cell r="B7199" t="str">
            <v>dspvs</v>
          </cell>
          <cell r="C7199" t="str">
            <v>Desacyl dehydro-pravastatin</v>
          </cell>
        </row>
        <row r="7200">
          <cell r="A7200" t="str">
            <v>dspvs_c</v>
          </cell>
          <cell r="B7200" t="str">
            <v>dspvs</v>
          </cell>
          <cell r="C7200" t="str">
            <v>Desacyl dehydro-pravastatin</v>
          </cell>
        </row>
        <row r="7201">
          <cell r="A7201" t="str">
            <v>epoxtac_e</v>
          </cell>
          <cell r="B7201" t="str">
            <v>epoxtac</v>
          </cell>
          <cell r="C7201" t="str">
            <v>31-O-Desmethyl,19-Hydroxy,37, 39-Epoxy-tacrolimus</v>
          </cell>
        </row>
        <row r="7202">
          <cell r="A7202" t="str">
            <v>glc3meacp_e</v>
          </cell>
          <cell r="B7202" t="str">
            <v>glc3meacp</v>
          </cell>
          <cell r="C7202" t="str">
            <v>Glucuronide-conjugate of 3-methoxy-acetaminophen</v>
          </cell>
        </row>
        <row r="7203">
          <cell r="A7203" t="str">
            <v>gtacmp_e</v>
          </cell>
          <cell r="B7203" t="str">
            <v>gtacmp</v>
          </cell>
          <cell r="C7203" t="str">
            <v>Glucuronide-thiomethyl-acetaminophen conjugate</v>
          </cell>
        </row>
        <row r="7204">
          <cell r="A7204" t="str">
            <v>lstnm7_e</v>
          </cell>
          <cell r="B7204" t="str">
            <v>lstnm7</v>
          </cell>
          <cell r="C7204" t="str">
            <v>Losartan-N2-glucuronide / Losartan-M7</v>
          </cell>
        </row>
        <row r="7205">
          <cell r="A7205" t="str">
            <v>nfd_e</v>
          </cell>
          <cell r="B7205" t="str">
            <v>nfd</v>
          </cell>
          <cell r="C7205" t="str">
            <v>Nifedipine</v>
          </cell>
        </row>
        <row r="7206">
          <cell r="A7206" t="str">
            <v>nfdoh_e</v>
          </cell>
          <cell r="B7206" t="str">
            <v>nfdoh</v>
          </cell>
          <cell r="C7206" t="str">
            <v>Hydroxy metabolite of nifedipine</v>
          </cell>
        </row>
        <row r="7207">
          <cell r="A7207" t="str">
            <v>oxyp_e</v>
          </cell>
          <cell r="B7207" t="str">
            <v>oxyp</v>
          </cell>
          <cell r="C7207" t="str">
            <v>Oxypurinol</v>
          </cell>
        </row>
        <row r="7208">
          <cell r="A7208" t="str">
            <v>ptvst_e</v>
          </cell>
          <cell r="B7208" t="str">
            <v>ptvst</v>
          </cell>
          <cell r="C7208" t="str">
            <v>Pitavastatin</v>
          </cell>
        </row>
        <row r="7209">
          <cell r="A7209" t="str">
            <v>pvs_e</v>
          </cell>
          <cell r="B7209" t="str">
            <v>pvs</v>
          </cell>
          <cell r="C7209" t="str">
            <v>Pravastatin</v>
          </cell>
        </row>
        <row r="7210">
          <cell r="A7210" t="str">
            <v>smvacid_e</v>
          </cell>
          <cell r="B7210" t="str">
            <v>smvacid</v>
          </cell>
          <cell r="C7210" t="str">
            <v>Simvastatin dihydroxy acid form</v>
          </cell>
        </row>
        <row r="7211">
          <cell r="A7211" t="str">
            <v>stacmp_e</v>
          </cell>
          <cell r="B7211" t="str">
            <v>stacmp</v>
          </cell>
          <cell r="C7211" t="str">
            <v>Sulphate-conjugate of thiomethyl-acetaminophen</v>
          </cell>
        </row>
        <row r="7212">
          <cell r="A7212" t="str">
            <v>tacr_e</v>
          </cell>
          <cell r="B7212" t="str">
            <v>tacr</v>
          </cell>
          <cell r="C7212" t="str">
            <v>Tacrolimus</v>
          </cell>
        </row>
        <row r="7213">
          <cell r="A7213" t="str">
            <v>thrfvs_e</v>
          </cell>
          <cell r="B7213" t="str">
            <v>thrfvs</v>
          </cell>
          <cell r="C7213" t="str">
            <v>Threo-isomer of fluvastain</v>
          </cell>
        </row>
        <row r="7214">
          <cell r="A7214" t="str">
            <v>tripvs_e</v>
          </cell>
          <cell r="B7214" t="str">
            <v>tripvs</v>
          </cell>
          <cell r="C7214" t="str">
            <v>Triol metabolite of pravastatin</v>
          </cell>
        </row>
        <row r="7215">
          <cell r="A7215" t="str">
            <v>tsacmgluc_e</v>
          </cell>
          <cell r="B7215" t="str">
            <v>tsacmgluc</v>
          </cell>
          <cell r="C7215" t="str">
            <v>Thiomethyl-sulphoxide-acetaminophen-glucuronide</v>
          </cell>
        </row>
        <row r="7216">
          <cell r="A7216" t="str">
            <v>tsacmsul_e</v>
          </cell>
          <cell r="B7216" t="str">
            <v>tsacmsul</v>
          </cell>
          <cell r="C7216" t="str">
            <v>Thiomethyl-sulphoxide-acetaminophen-sulphate</v>
          </cell>
        </row>
        <row r="7217">
          <cell r="A7217" t="str">
            <v>tlacfvs_r</v>
          </cell>
          <cell r="B7217" t="str">
            <v>tlacfvs</v>
          </cell>
          <cell r="C7217" t="str">
            <v>Trans-lactone-fluvastatin</v>
          </cell>
        </row>
        <row r="7218">
          <cell r="A7218" t="str">
            <v>3hibup__R_r</v>
          </cell>
          <cell r="B7218" t="str">
            <v>3hibup__R</v>
          </cell>
          <cell r="C7218" t="str">
            <v>3-hydroxy R-ibuprofen</v>
          </cell>
        </row>
        <row r="7219">
          <cell r="A7219" t="str">
            <v>lst4exp_c</v>
          </cell>
          <cell r="B7219" t="str">
            <v>lst4exp</v>
          </cell>
          <cell r="C7219" t="str">
            <v>Losartan-E3174/ losartan-M6</v>
          </cell>
        </row>
        <row r="7220">
          <cell r="A7220" t="str">
            <v>lstn_r</v>
          </cell>
          <cell r="B7220" t="str">
            <v>lstn</v>
          </cell>
          <cell r="C7220" t="str">
            <v>Losartan</v>
          </cell>
        </row>
        <row r="7221">
          <cell r="A7221" t="str">
            <v>lst4exp_r</v>
          </cell>
          <cell r="B7221" t="str">
            <v>lst4exp</v>
          </cell>
          <cell r="C7221" t="str">
            <v>Losartan-E3174/ losartan-M6</v>
          </cell>
        </row>
        <row r="7222">
          <cell r="A7222" t="str">
            <v>lstn_c</v>
          </cell>
          <cell r="B7222" t="str">
            <v>lstn</v>
          </cell>
          <cell r="C7222" t="str">
            <v>Losartan</v>
          </cell>
        </row>
        <row r="7223">
          <cell r="A7223" t="str">
            <v>lstnm4_r</v>
          </cell>
          <cell r="B7223" t="str">
            <v>lstnm4</v>
          </cell>
          <cell r="C7223" t="str">
            <v>Losartan-M4 (glucuronide derivative)</v>
          </cell>
        </row>
        <row r="7224">
          <cell r="A7224" t="str">
            <v>lstnm4_c</v>
          </cell>
          <cell r="B7224" t="str">
            <v>lstnm4</v>
          </cell>
          <cell r="C7224" t="str">
            <v>Losartan-M4 (glucuronide derivative)</v>
          </cell>
        </row>
        <row r="7225">
          <cell r="A7225" t="str">
            <v>6hlvstacid_r</v>
          </cell>
          <cell r="B7225" t="str">
            <v>6hlvstacid</v>
          </cell>
          <cell r="C7225" t="str">
            <v>6'-beta-hydroxy-lovastatin-acid form</v>
          </cell>
        </row>
        <row r="7226">
          <cell r="A7226" t="str">
            <v>6melvacid_r</v>
          </cell>
          <cell r="B7226" t="str">
            <v>6melvacid</v>
          </cell>
          <cell r="C7226" t="str">
            <v>6'-exomethylene-lovastatin-acid form</v>
          </cell>
        </row>
        <row r="7227">
          <cell r="A7227" t="str">
            <v>mhglz_c</v>
          </cell>
          <cell r="B7227" t="str">
            <v>mhglz</v>
          </cell>
          <cell r="C7227" t="str">
            <v>Methyl-hydroxy-gliclazide</v>
          </cell>
        </row>
        <row r="7228">
          <cell r="A7228" t="str">
            <v>rsv_r</v>
          </cell>
          <cell r="B7228" t="str">
            <v>rsv</v>
          </cell>
          <cell r="C7228" t="str">
            <v>Rosuvastatin</v>
          </cell>
        </row>
        <row r="7229">
          <cell r="A7229" t="str">
            <v>nfdnpy_r</v>
          </cell>
          <cell r="B7229" t="str">
            <v>nfdnpy</v>
          </cell>
          <cell r="C7229" t="str">
            <v>Nitropyridine metabolite of nifedipine</v>
          </cell>
        </row>
        <row r="7230">
          <cell r="A7230" t="str">
            <v>nfdnpy_c</v>
          </cell>
          <cell r="B7230" t="str">
            <v>nfdnpy</v>
          </cell>
          <cell r="C7230" t="str">
            <v>Nitropyridine metabolite of nifedipine</v>
          </cell>
        </row>
        <row r="7231">
          <cell r="A7231" t="str">
            <v>udprib_c</v>
          </cell>
          <cell r="B7231" t="str">
            <v>udprib</v>
          </cell>
          <cell r="C7231" t="str">
            <v>Udp-ribose</v>
          </cell>
        </row>
        <row r="7232">
          <cell r="A7232" t="str">
            <v>oxy7rb_c</v>
          </cell>
          <cell r="B7232" t="str">
            <v>oxy7rb</v>
          </cell>
          <cell r="C7232" t="str">
            <v>Oxypurinol-7-riboside</v>
          </cell>
        </row>
        <row r="7233">
          <cell r="A7233" t="str">
            <v>profvs_c</v>
          </cell>
          <cell r="B7233" t="str">
            <v>profvs</v>
          </cell>
          <cell r="C7233" t="str">
            <v>Des-isoproylpropionic-acid-fluvastatin</v>
          </cell>
        </row>
        <row r="7234">
          <cell r="A7234" t="str">
            <v>ptvstlac_r</v>
          </cell>
          <cell r="B7234" t="str">
            <v>ptvstlac</v>
          </cell>
          <cell r="C7234" t="str">
            <v>Pitavastatin-lactone</v>
          </cell>
        </row>
        <row r="7235">
          <cell r="A7235" t="str">
            <v>ptvstlac_c</v>
          </cell>
          <cell r="B7235" t="str">
            <v>ptvstlac</v>
          </cell>
          <cell r="C7235" t="str">
            <v>Pitavastatin-lactone</v>
          </cell>
        </row>
        <row r="7236">
          <cell r="A7236" t="str">
            <v>rsv_c</v>
          </cell>
          <cell r="B7236" t="str">
            <v>rsv</v>
          </cell>
          <cell r="C7236" t="str">
            <v>Rosuvastatin</v>
          </cell>
        </row>
        <row r="7237">
          <cell r="A7237" t="str">
            <v>rsvgluc_r</v>
          </cell>
          <cell r="B7237" t="str">
            <v>rsvgluc</v>
          </cell>
          <cell r="C7237" t="str">
            <v>Rosuvastatin-glucuronide</v>
          </cell>
        </row>
        <row r="7238">
          <cell r="A7238" t="str">
            <v>rsvlac_r</v>
          </cell>
          <cell r="B7238" t="str">
            <v>rsvlac</v>
          </cell>
          <cell r="C7238" t="str">
            <v>Rosuvastatin-5S-lactone</v>
          </cell>
        </row>
        <row r="7239">
          <cell r="A7239" t="str">
            <v>rsvlac_c</v>
          </cell>
          <cell r="B7239" t="str">
            <v>rsvlac</v>
          </cell>
          <cell r="C7239" t="str">
            <v>Rosuvastatin-5S-lactone</v>
          </cell>
        </row>
        <row r="7240">
          <cell r="A7240" t="str">
            <v>tlacfvs_c</v>
          </cell>
          <cell r="B7240" t="str">
            <v>tlacfvs</v>
          </cell>
          <cell r="C7240" t="str">
            <v>Trans-lactone-fluvastatin</v>
          </cell>
        </row>
        <row r="7241">
          <cell r="A7241" t="str">
            <v>tmd_r</v>
          </cell>
          <cell r="B7241" t="str">
            <v>tmd</v>
          </cell>
          <cell r="C7241" t="str">
            <v>Torasemide</v>
          </cell>
        </row>
        <row r="7242">
          <cell r="A7242" t="str">
            <v>tmdm5_c</v>
          </cell>
          <cell r="B7242" t="str">
            <v>tmdm5</v>
          </cell>
          <cell r="C7242" t="str">
            <v>Torasemide-M5</v>
          </cell>
        </row>
        <row r="7243">
          <cell r="A7243" t="str">
            <v>tmdm5_r</v>
          </cell>
          <cell r="B7243" t="str">
            <v>tmdm5</v>
          </cell>
          <cell r="C7243" t="str">
            <v>Torasemide-M5</v>
          </cell>
        </row>
        <row r="7244">
          <cell r="A7244" t="str">
            <v>tmd_c</v>
          </cell>
          <cell r="B7244" t="str">
            <v>tmd</v>
          </cell>
          <cell r="C7244" t="str">
            <v>Torasemide</v>
          </cell>
        </row>
        <row r="7245">
          <cell r="A7245" t="str">
            <v>acmpglut_r</v>
          </cell>
          <cell r="B7245" t="str">
            <v>acmpglut</v>
          </cell>
          <cell r="C7245" t="str">
            <v>Acetaminophen-glutathione-conjugate</v>
          </cell>
        </row>
        <row r="7246">
          <cell r="A7246" t="str">
            <v>gly_r</v>
          </cell>
          <cell r="B7246" t="str">
            <v>gly</v>
          </cell>
          <cell r="C7246" t="str">
            <v>Glycine</v>
          </cell>
        </row>
        <row r="7247">
          <cell r="A7247" t="str">
            <v>napqi_r</v>
          </cell>
          <cell r="B7247" t="str">
            <v>napqi</v>
          </cell>
          <cell r="C7247" t="str">
            <v>NAPQI</v>
          </cell>
        </row>
        <row r="7248">
          <cell r="A7248" t="str">
            <v>pap_r</v>
          </cell>
          <cell r="B7248" t="str">
            <v>pap</v>
          </cell>
          <cell r="C7248" t="str">
            <v>Adenosine 3',5'-bisphosphate</v>
          </cell>
        </row>
        <row r="7249">
          <cell r="A7249" t="str">
            <v>h_i</v>
          </cell>
          <cell r="B7249" t="str">
            <v>h</v>
          </cell>
          <cell r="C7249" t="str">
            <v>H+</v>
          </cell>
        </row>
        <row r="7250">
          <cell r="A7250" t="str">
            <v>doscoa_c</v>
          </cell>
          <cell r="B7250" t="str">
            <v>doscoa</v>
          </cell>
          <cell r="C7250" t="str">
            <v>Docosanoyl-CoA</v>
          </cell>
        </row>
        <row r="7251">
          <cell r="A7251" t="str">
            <v>hexdcoa_c</v>
          </cell>
          <cell r="B7251" t="str">
            <v>hexdcoa</v>
          </cell>
          <cell r="C7251" t="str">
            <v>Hexadecanoyl-CoA</v>
          </cell>
        </row>
        <row r="7252">
          <cell r="A7252" t="str">
            <v>pentdcoa_c</v>
          </cell>
          <cell r="B7252" t="str">
            <v>pentdcoa</v>
          </cell>
          <cell r="C7252" t="str">
            <v>Pentadecanoyl-CoA</v>
          </cell>
        </row>
        <row r="7253">
          <cell r="A7253" t="str">
            <v>hepcoa_c</v>
          </cell>
          <cell r="B7253" t="str">
            <v>hepcoa</v>
          </cell>
          <cell r="C7253" t="str">
            <v>Heptanoyl Coenzyme A</v>
          </cell>
        </row>
        <row r="7254">
          <cell r="A7254" t="str">
            <v>hoa_c</v>
          </cell>
          <cell r="B7254" t="str">
            <v>hoa</v>
          </cell>
          <cell r="C7254" t="str">
            <v>2-hydroxy-3-oxoadipate</v>
          </cell>
        </row>
        <row r="7255">
          <cell r="A7255" t="str">
            <v>3hsa_c</v>
          </cell>
          <cell r="B7255" t="str">
            <v>3hsa</v>
          </cell>
          <cell r="C7255" t="str">
            <v>Secophenol</v>
          </cell>
        </row>
        <row r="7256">
          <cell r="A7256" t="str">
            <v>hcholc8coa_c</v>
          </cell>
          <cell r="B7256" t="str">
            <v>hcholc8coa</v>
          </cell>
          <cell r="C7256" t="str">
            <v>CoA-24-hydroxy-cholest-4-en-3-one C8 side chain</v>
          </cell>
        </row>
        <row r="7257">
          <cell r="A7257" t="str">
            <v>ocholc8coa_c</v>
          </cell>
          <cell r="B7257" t="str">
            <v>ocholc8coa</v>
          </cell>
          <cell r="C7257" t="str">
            <v>CoA-24-one-cholest-4-en-3-one C8 side chain</v>
          </cell>
        </row>
        <row r="7258">
          <cell r="A7258" t="str">
            <v>49dsha_c</v>
          </cell>
          <cell r="B7258" t="str">
            <v>49dsha</v>
          </cell>
          <cell r="C7258" t="str">
            <v>9,10-disecoandrosta-1(10),2-dien-4-oate</v>
          </cell>
        </row>
        <row r="7259">
          <cell r="A7259" t="str">
            <v>hip_c</v>
          </cell>
          <cell r="B7259" t="str">
            <v>hip</v>
          </cell>
          <cell r="C7259" t="str">
            <v>3-[(3aS,4S,7aS)-7a-Methyl-1,5-dioxo-octahydro-1H-inden-4-yl]propanoic acid</v>
          </cell>
        </row>
        <row r="7260">
          <cell r="A7260" t="str">
            <v>andrs14dn317dn_c</v>
          </cell>
          <cell r="B7260" t="str">
            <v>andrs14dn317dn</v>
          </cell>
          <cell r="C7260" t="str">
            <v>Androsta-1,4-diene-3,17-dione</v>
          </cell>
        </row>
        <row r="7261">
          <cell r="A7261" t="str">
            <v>hchol_c</v>
          </cell>
          <cell r="B7261" t="str">
            <v>hchol</v>
          </cell>
          <cell r="C7261" t="str">
            <v>26-Hydroxycholest-4-en-3-one</v>
          </cell>
        </row>
        <row r="7262">
          <cell r="A7262" t="str">
            <v>cholenec8coa_c</v>
          </cell>
          <cell r="B7262" t="str">
            <v>cholenec8coa</v>
          </cell>
          <cell r="C7262" t="str">
            <v>CoA-24-ene-cholest-4-en-3-one C8 side chain</v>
          </cell>
        </row>
        <row r="7263">
          <cell r="A7263" t="str">
            <v>ochol_c</v>
          </cell>
          <cell r="B7263" t="str">
            <v>ochol</v>
          </cell>
          <cell r="C7263" t="str">
            <v>26-Oxocholest-4-en-3-one</v>
          </cell>
        </row>
        <row r="7264">
          <cell r="A7264" t="str">
            <v>phbz1g_c</v>
          </cell>
          <cell r="B7264" t="str">
            <v>phbz1g</v>
          </cell>
          <cell r="C7264" t="str">
            <v>Glycosylated p-HBAD I</v>
          </cell>
        </row>
        <row r="7265">
          <cell r="A7265" t="str">
            <v>iacgam3p_c</v>
          </cell>
          <cell r="B7265" t="str">
            <v>iacgam3p</v>
          </cell>
          <cell r="C7265" t="str">
            <v>1-O-(2-Acetamido-2-deoxy-alpha-D-glucopyranosyl)-1D-myo-inositol 3-phosphate</v>
          </cell>
        </row>
        <row r="7266">
          <cell r="A7266" t="str">
            <v>hdcaMAS_c</v>
          </cell>
          <cell r="B7266" t="str">
            <v>hdcaMAS</v>
          </cell>
          <cell r="C7266" t="str">
            <v>Hexadecanoyl-MAS</v>
          </cell>
        </row>
        <row r="7267">
          <cell r="A7267" t="str">
            <v>cysOcys__L_c</v>
          </cell>
          <cell r="B7267" t="str">
            <v>cysOcys__L</v>
          </cell>
          <cell r="C7267" t="str">
            <v>CysO-Cysteine</v>
          </cell>
        </row>
        <row r="7268">
          <cell r="A7268" t="str">
            <v>n6hlysmal_c</v>
          </cell>
          <cell r="B7268" t="str">
            <v>n6hlysmal</v>
          </cell>
          <cell r="C7268" t="str">
            <v>N6-Hydroxy-L-lysine coupled to malonyl group</v>
          </cell>
        </row>
        <row r="7269">
          <cell r="A7269" t="str">
            <v>barb_c</v>
          </cell>
          <cell r="B7269" t="str">
            <v>barb</v>
          </cell>
          <cell r="C7269" t="str">
            <v>Barbiturate</v>
          </cell>
        </row>
        <row r="7270">
          <cell r="A7270" t="str">
            <v>tbsinyldp_c</v>
          </cell>
          <cell r="B7270" t="str">
            <v>tbsinyldp</v>
          </cell>
          <cell r="C7270" t="str">
            <v>Tuberculosinyl diphosphate</v>
          </cell>
        </row>
        <row r="7271">
          <cell r="A7271" t="str">
            <v>ergoth_c</v>
          </cell>
          <cell r="B7271" t="str">
            <v>ergoth</v>
          </cell>
          <cell r="C7271" t="str">
            <v>Ergothioneine</v>
          </cell>
        </row>
        <row r="7272">
          <cell r="A7272" t="str">
            <v>mycobilin_c</v>
          </cell>
          <cell r="B7272" t="str">
            <v>mycobilin</v>
          </cell>
          <cell r="C7272" t="str">
            <v>Mycobilin</v>
          </cell>
        </row>
        <row r="7273">
          <cell r="A7273" t="str">
            <v>tre6mm_c</v>
          </cell>
          <cell r="B7273" t="str">
            <v>tre6mm</v>
          </cell>
          <cell r="C7273" t="str">
            <v>Alpha,alpha-Trehalose 6-mycolate</v>
          </cell>
        </row>
        <row r="7274">
          <cell r="A7274" t="str">
            <v>mmycolate87_c</v>
          </cell>
          <cell r="B7274" t="str">
            <v>mmycolate87</v>
          </cell>
          <cell r="C7274" t="str">
            <v>Methoxy-mycolate C87 (26)</v>
          </cell>
        </row>
        <row r="7275">
          <cell r="A7275" t="str">
            <v>tag_TB_c</v>
          </cell>
          <cell r="B7275" t="str">
            <v>tag_TB</v>
          </cell>
          <cell r="C7275" t="str">
            <v>Triacylglycerol</v>
          </cell>
        </row>
        <row r="7276">
          <cell r="A7276" t="str">
            <v>bccpco2_c</v>
          </cell>
          <cell r="B7276" t="str">
            <v>bccpco2</v>
          </cell>
          <cell r="C7276" t="str">
            <v>[Acetyl-CoA:carbon-dioxide ligase (ADP-forming)]-CO2</v>
          </cell>
        </row>
        <row r="7277">
          <cell r="A7277" t="str">
            <v>10mdACP_c</v>
          </cell>
          <cell r="B7277" t="str">
            <v>10mdACP</v>
          </cell>
          <cell r="C7277" t="str">
            <v>10-methyl-dodecanoyl-ACP</v>
          </cell>
        </row>
        <row r="7278">
          <cell r="A7278" t="str">
            <v>10mtd2eACP_c</v>
          </cell>
          <cell r="B7278" t="str">
            <v>10mtd2eACP</v>
          </cell>
          <cell r="C7278" t="str">
            <v>10-methyl-trans-dodec-2-enoyl-ACP</v>
          </cell>
        </row>
        <row r="7279">
          <cell r="A7279" t="str">
            <v>10mtu2eACP_c</v>
          </cell>
          <cell r="B7279" t="str">
            <v>10mtu2eACP</v>
          </cell>
          <cell r="C7279" t="str">
            <v>10-methyl-trans-undec-2-enoyl-ACP</v>
          </cell>
        </row>
        <row r="7280">
          <cell r="A7280" t="str">
            <v>11mtdeACP_c</v>
          </cell>
          <cell r="B7280" t="str">
            <v>11mtdeACP</v>
          </cell>
          <cell r="C7280" t="str">
            <v>11-methyl-trans-dodec-2-enoyl-ACP</v>
          </cell>
        </row>
        <row r="7281">
          <cell r="A7281" t="str">
            <v>123oxtACP_c</v>
          </cell>
          <cell r="B7281" t="str">
            <v>123oxtACP</v>
          </cell>
          <cell r="C7281" t="str">
            <v>12-methyl-3-oxo-tetra-decanoyl-ACP</v>
          </cell>
        </row>
        <row r="7282">
          <cell r="A7282" t="str">
            <v>12m3htdACP_c</v>
          </cell>
          <cell r="B7282" t="str">
            <v>12m3htdACP</v>
          </cell>
          <cell r="C7282" t="str">
            <v>12-methyl-3-hydroxy-tetra-decanoyl-ACP</v>
          </cell>
        </row>
        <row r="7283">
          <cell r="A7283" t="str">
            <v>12methtetdec2_c</v>
          </cell>
          <cell r="B7283" t="str">
            <v>12methtetdec2</v>
          </cell>
          <cell r="C7283" t="str">
            <v>12-methyl-trans-tetra-dec-2-enoyl-ACP</v>
          </cell>
        </row>
        <row r="7284">
          <cell r="A7284" t="str">
            <v>12mtACP_e</v>
          </cell>
          <cell r="B7284" t="str">
            <v>12mtACP</v>
          </cell>
          <cell r="C7284" t="str">
            <v>12-methyl-tridecanoyl-ACP</v>
          </cell>
        </row>
        <row r="7285">
          <cell r="A7285" t="str">
            <v>12mtt2eACP_c</v>
          </cell>
          <cell r="B7285" t="str">
            <v>12mtt2eACP</v>
          </cell>
          <cell r="C7285" t="str">
            <v>12-methyl-trans-tridec-2-enoyl-ACP</v>
          </cell>
        </row>
        <row r="7286">
          <cell r="A7286" t="str">
            <v>12napdol_c</v>
          </cell>
          <cell r="B7286" t="str">
            <v>12napdol</v>
          </cell>
          <cell r="C7286" t="str">
            <v>1 2-Naphthalenediol</v>
          </cell>
        </row>
        <row r="7287">
          <cell r="A7287" t="str">
            <v>13mtdACP_e</v>
          </cell>
          <cell r="B7287" t="str">
            <v>13mtdACP</v>
          </cell>
          <cell r="C7287" t="str">
            <v>13-methyl-tetra-decanoyl-ACP</v>
          </cell>
        </row>
        <row r="7288">
          <cell r="A7288" t="str">
            <v>15mhdACP_e</v>
          </cell>
          <cell r="B7288" t="str">
            <v>15mhdACP</v>
          </cell>
          <cell r="C7288" t="str">
            <v>15-methyl-hexa-decanoyl-ACP</v>
          </cell>
        </row>
        <row r="7289">
          <cell r="A7289" t="str">
            <v>16mhdACP_e</v>
          </cell>
          <cell r="B7289" t="str">
            <v>16mhdACP</v>
          </cell>
          <cell r="C7289" t="str">
            <v>16-methyl-hexa-decanoyl-ACP</v>
          </cell>
        </row>
        <row r="7290">
          <cell r="A7290" t="str">
            <v>17mhdACP_c</v>
          </cell>
          <cell r="B7290" t="str">
            <v>17mhdACP</v>
          </cell>
          <cell r="C7290" t="str">
            <v>17-methyl-hexa-decanoyl-ACP</v>
          </cell>
        </row>
        <row r="7291">
          <cell r="A7291" t="str">
            <v>1gUnmeasuredSolutes_c</v>
          </cell>
          <cell r="B7291" t="str">
            <v>1gUnmeasuredSolutes</v>
          </cell>
          <cell r="C7291" t="str">
            <v/>
          </cell>
        </row>
        <row r="7292">
          <cell r="A7292" t="str">
            <v>2mehtpp_c</v>
          </cell>
          <cell r="B7292" t="str">
            <v>2mehtpp</v>
          </cell>
          <cell r="C7292" t="str">
            <v>2-Methyl-1-hydroxypropyl-TPP</v>
          </cell>
        </row>
        <row r="7293">
          <cell r="A7293" t="str">
            <v>33hmeoxobut_c</v>
          </cell>
          <cell r="B7293" t="str">
            <v>33hmeoxobut</v>
          </cell>
          <cell r="C7293" t="str">
            <v>2-Oxo-3-hydroxyisovalerate</v>
          </cell>
        </row>
        <row r="7294">
          <cell r="A7294" t="str">
            <v>3c1ht_c</v>
          </cell>
          <cell r="B7294" t="str">
            <v>3c1ht</v>
          </cell>
          <cell r="C7294" t="str">
            <v>3-Carboxy-1-hydroxypropyl-ThPP</v>
          </cell>
        </row>
        <row r="7295">
          <cell r="A7295" t="str">
            <v>3hocACP_c</v>
          </cell>
          <cell r="B7295" t="str">
            <v>3hocACP</v>
          </cell>
          <cell r="C7295" t="str">
            <v>R-3-Hydroxyoctanoyl-acyl-carrier protein</v>
          </cell>
        </row>
        <row r="7296">
          <cell r="A7296" t="str">
            <v>3hodACP_c</v>
          </cell>
          <cell r="B7296" t="str">
            <v>3hodACP</v>
          </cell>
          <cell r="C7296" t="str">
            <v>3-Hydroxyoctodecanoyl-ACP</v>
          </cell>
        </row>
        <row r="7297">
          <cell r="A7297" t="str">
            <v>3hvegACP_c</v>
          </cell>
          <cell r="B7297" t="str">
            <v>3hvegACP</v>
          </cell>
          <cell r="C7297" t="str">
            <v>3-Hydroxyveganoyl-ACP</v>
          </cell>
        </row>
        <row r="7298">
          <cell r="A7298" t="str">
            <v>3mehacp_c</v>
          </cell>
          <cell r="B7298" t="str">
            <v>3mehacp</v>
          </cell>
          <cell r="C7298" t="str">
            <v>5-methyl-hexanoyl-ACP</v>
          </cell>
        </row>
        <row r="7299">
          <cell r="A7299" t="str">
            <v>3oodACP_c</v>
          </cell>
          <cell r="B7299" t="str">
            <v>3oodACP</v>
          </cell>
          <cell r="C7299" t="str">
            <v>3-Oxooctodecanoyl-ACP</v>
          </cell>
        </row>
        <row r="7300">
          <cell r="A7300" t="str">
            <v>3oxocACP_c</v>
          </cell>
          <cell r="B7300" t="str">
            <v>3oxocACP</v>
          </cell>
          <cell r="C7300" t="str">
            <v>3-oxooctanoyl-acp</v>
          </cell>
        </row>
        <row r="7301">
          <cell r="A7301" t="str">
            <v>44dpc_c</v>
          </cell>
          <cell r="B7301" t="str">
            <v>44dpc</v>
          </cell>
          <cell r="C7301" t="str">
            <v>All-trans-4,4'-diapo-zeta-carotene</v>
          </cell>
        </row>
        <row r="7302">
          <cell r="A7302" t="str">
            <v>44dpnspo_c</v>
          </cell>
          <cell r="B7302" t="str">
            <v>44dpnspo</v>
          </cell>
          <cell r="C7302" t="str">
            <v>4,4'-diaponeurosporenoate</v>
          </cell>
        </row>
        <row r="7303">
          <cell r="A7303" t="str">
            <v>5m3hACP_c</v>
          </cell>
          <cell r="B7303" t="str">
            <v>5m3hACP</v>
          </cell>
          <cell r="C7303" t="str">
            <v>5-methyl-3-hydroxy-hexanoyl-ACP</v>
          </cell>
        </row>
        <row r="7304">
          <cell r="A7304" t="str">
            <v>5mhACP_c</v>
          </cell>
          <cell r="B7304" t="str">
            <v>5mhACP</v>
          </cell>
          <cell r="C7304" t="str">
            <v>5-methyl-trans-hex-2-enoyl-ACP</v>
          </cell>
        </row>
        <row r="7305">
          <cell r="A7305" t="str">
            <v>6moACP_c</v>
          </cell>
          <cell r="B7305" t="str">
            <v>6moACP</v>
          </cell>
          <cell r="C7305" t="str">
            <v>6-methyl-octanoyl-ACP</v>
          </cell>
        </row>
        <row r="7306">
          <cell r="A7306" t="str">
            <v>6mth2eACP_c</v>
          </cell>
          <cell r="B7306" t="str">
            <v>6mth2eACP</v>
          </cell>
          <cell r="C7306" t="str">
            <v>6-methyl-trans-hept-2-enoyl-ACP</v>
          </cell>
        </row>
        <row r="7307">
          <cell r="A7307" t="str">
            <v>6mto2eACP_c</v>
          </cell>
          <cell r="B7307" t="str">
            <v>6mto2eACP</v>
          </cell>
          <cell r="C7307" t="str">
            <v>6-methyl-trans-oct-2-enoyl-ACP</v>
          </cell>
        </row>
        <row r="7308">
          <cell r="A7308" t="str">
            <v>7me3oxoacp_c</v>
          </cell>
          <cell r="B7308" t="str">
            <v>7me3oxoacp</v>
          </cell>
          <cell r="C7308" t="str">
            <v>7-methyl-3-oxo-octanoyl-ACP</v>
          </cell>
        </row>
        <row r="7309">
          <cell r="A7309" t="str">
            <v>7mto2eACP_c</v>
          </cell>
          <cell r="B7309" t="str">
            <v>7mto2eACP</v>
          </cell>
          <cell r="C7309" t="str">
            <v>7-methyl-trans-oct-2-enoyl-ACP</v>
          </cell>
        </row>
        <row r="7310">
          <cell r="A7310" t="str">
            <v>8m3hdACP_c</v>
          </cell>
          <cell r="B7310" t="str">
            <v>8m3hdACP</v>
          </cell>
          <cell r="C7310" t="str">
            <v>8-methyl-3-hydroxy-decanoyl-ACP</v>
          </cell>
        </row>
        <row r="7311">
          <cell r="A7311" t="str">
            <v>9m3hdACP_c</v>
          </cell>
          <cell r="B7311" t="str">
            <v>9m3hdACP</v>
          </cell>
          <cell r="C7311" t="str">
            <v>9-methyl-3-hydroxy-decanoyl-ACP</v>
          </cell>
        </row>
        <row r="7312">
          <cell r="A7312" t="str">
            <v>9m3odACP_c</v>
          </cell>
          <cell r="B7312" t="str">
            <v>9m3odACP</v>
          </cell>
          <cell r="C7312" t="str">
            <v>9-methyl-3-oxo-decanoyl-ACP</v>
          </cell>
        </row>
        <row r="7313">
          <cell r="A7313" t="str">
            <v>WTA40rPG_w</v>
          </cell>
          <cell r="B7313" t="str">
            <v>WTA40rPG</v>
          </cell>
          <cell r="C7313" t="str">
            <v>Peptidoglycan bound wall teichoic acid</v>
          </cell>
        </row>
        <row r="7314">
          <cell r="A7314" t="str">
            <v>aglaa_w</v>
          </cell>
          <cell r="B7314" t="str">
            <v>aglaa</v>
          </cell>
          <cell r="C7314" t="str">
            <v>L-Ala-gamma-D-Glu-L-lys-D-Ala (Extracellular)</v>
          </cell>
        </row>
        <row r="7315">
          <cell r="A7315" t="str">
            <v>ala_his_e</v>
          </cell>
          <cell r="B7315" t="str">
            <v>ala_his</v>
          </cell>
          <cell r="C7315" t="str">
            <v>Ala-His</v>
          </cell>
        </row>
        <row r="7316">
          <cell r="A7316" t="str">
            <v>ammp_c</v>
          </cell>
          <cell r="B7316" t="str">
            <v>ammp</v>
          </cell>
          <cell r="C7316" t="str">
            <v>Aminomethylpyrimidine</v>
          </cell>
        </row>
        <row r="7317">
          <cell r="A7317" t="str">
            <v>ant24Nacds_c</v>
          </cell>
          <cell r="B7317" t="str">
            <v>ant24Nacds</v>
          </cell>
          <cell r="C7317" t="str">
            <v>Anteisoheptadecanoyllipoteichoic acid n=24  linked  N-acetyl-D-glucosamine</v>
          </cell>
        </row>
        <row r="7318">
          <cell r="A7318" t="str">
            <v>ant24glcs_c</v>
          </cell>
          <cell r="B7318" t="str">
            <v>ant24glcs</v>
          </cell>
          <cell r="C7318" t="str">
            <v>Anteisopentadecanoyllipoteichoic acid n=24  linked  glucose substituted</v>
          </cell>
        </row>
        <row r="7319">
          <cell r="A7319" t="str">
            <v>bsh_c</v>
          </cell>
          <cell r="B7319" t="str">
            <v>bsh</v>
          </cell>
          <cell r="C7319" t="str">
            <v>Bacillithiol</v>
          </cell>
        </row>
        <row r="7320">
          <cell r="A7320" t="str">
            <v>c15811_c</v>
          </cell>
          <cell r="B7320" t="str">
            <v>c15811</v>
          </cell>
          <cell r="C7320" t="str">
            <v>C15811</v>
          </cell>
        </row>
        <row r="7321">
          <cell r="A7321" t="str">
            <v>cdprib_c</v>
          </cell>
          <cell r="B7321" t="str">
            <v>cdprib</v>
          </cell>
          <cell r="C7321" t="str">
            <v>CDP-ribitol</v>
          </cell>
        </row>
        <row r="7322">
          <cell r="A7322" t="str">
            <v>cystine__L_e</v>
          </cell>
          <cell r="B7322" t="str">
            <v>cystine__L</v>
          </cell>
          <cell r="C7322" t="str">
            <v>L-cystine</v>
          </cell>
        </row>
        <row r="7323">
          <cell r="A7323" t="str">
            <v>dag_MRSA_c</v>
          </cell>
          <cell r="B7323" t="str">
            <v>dag_MRSA</v>
          </cell>
          <cell r="C7323" t="str">
            <v>1,2-diacyl-sn-glycerol 3-phosphate (MRSA)</v>
          </cell>
        </row>
        <row r="7324">
          <cell r="A7324" t="str">
            <v>dnspal_c</v>
          </cell>
          <cell r="B7324" t="str">
            <v>dnspal</v>
          </cell>
          <cell r="C7324" t="str">
            <v>4,4'-diaponeurosporenal</v>
          </cell>
        </row>
        <row r="7325">
          <cell r="A7325" t="str">
            <v>dppt_c</v>
          </cell>
          <cell r="B7325" t="str">
            <v>dppt</v>
          </cell>
          <cell r="C7325" t="str">
            <v>15-cis-4,4'-diapophytoene</v>
          </cell>
        </row>
        <row r="7326">
          <cell r="A7326" t="str">
            <v>fapnt_c</v>
          </cell>
          <cell r="B7326" t="str">
            <v>fapnt</v>
          </cell>
          <cell r="C7326" t="str">
            <v>Formamidopyrimidine nucleoside triphosphate</v>
          </cell>
        </row>
        <row r="7327">
          <cell r="A7327" t="str">
            <v>fe2ohm_c</v>
          </cell>
          <cell r="B7327" t="str">
            <v>fe2ohm</v>
          </cell>
          <cell r="C7327" t="str">
            <v>[FeO(OH)] monomer</v>
          </cell>
        </row>
        <row r="7328">
          <cell r="A7328" t="str">
            <v>fecpp3_c</v>
          </cell>
          <cell r="B7328" t="str">
            <v>fecpp3</v>
          </cell>
          <cell r="C7328" t="str">
            <v>Fe-Coproporphyrin III</v>
          </cell>
        </row>
        <row r="7329">
          <cell r="A7329" t="str">
            <v>fos_c</v>
          </cell>
          <cell r="B7329" t="str">
            <v>fos</v>
          </cell>
          <cell r="C7329" t="str">
            <v>Fosfomycin</v>
          </cell>
        </row>
        <row r="7330">
          <cell r="A7330" t="str">
            <v>gcvHL_c</v>
          </cell>
          <cell r="B7330" t="str">
            <v>gcvHL</v>
          </cell>
          <cell r="C7330" t="str">
            <v>Gcvh-L protein</v>
          </cell>
        </row>
        <row r="7331">
          <cell r="A7331" t="str">
            <v>gcvH_c</v>
          </cell>
          <cell r="B7331" t="str">
            <v>gcvH</v>
          </cell>
          <cell r="C7331" t="str">
            <v>GcvH protein</v>
          </cell>
        </row>
        <row r="7332">
          <cell r="A7332" t="str">
            <v>gcvhlipl_c</v>
          </cell>
          <cell r="B7332" t="str">
            <v>gcvhlipl</v>
          </cell>
          <cell r="C7332" t="str">
            <v>GcvH N6-(lipoyl)lysine</v>
          </cell>
        </row>
        <row r="7333">
          <cell r="A7333" t="str">
            <v>gdnspate_c</v>
          </cell>
          <cell r="B7333" t="str">
            <v>gdnspate</v>
          </cell>
          <cell r="C7333" t="str">
            <v>Glucosyl-4,4'-diaponeurosporenoate</v>
          </cell>
        </row>
        <row r="7334">
          <cell r="A7334" t="str">
            <v>glmeACP_c</v>
          </cell>
          <cell r="B7334" t="str">
            <v>glmeACP</v>
          </cell>
          <cell r="C7334" t="str">
            <v>Glutaryl-ACP methyl ester</v>
          </cell>
        </row>
        <row r="7335">
          <cell r="A7335" t="str">
            <v>gly_gln_e</v>
          </cell>
          <cell r="B7335" t="str">
            <v>gly_gln</v>
          </cell>
          <cell r="C7335" t="str">
            <v>Gly-Gln</v>
          </cell>
        </row>
        <row r="7336">
          <cell r="A7336" t="str">
            <v>gly_leu_c</v>
          </cell>
          <cell r="B7336" t="str">
            <v>gly_leu</v>
          </cell>
          <cell r="C7336" t="str">
            <v>Gly-Leu</v>
          </cell>
        </row>
        <row r="7337">
          <cell r="A7337" t="str">
            <v>gly_phe_c</v>
          </cell>
          <cell r="B7337" t="str">
            <v>gly_phe</v>
          </cell>
          <cell r="C7337" t="str">
            <v>Gly-Phe</v>
          </cell>
        </row>
        <row r="7338">
          <cell r="A7338" t="str">
            <v>glyglygln_e</v>
          </cell>
          <cell r="B7338" t="str">
            <v>glyglygln</v>
          </cell>
          <cell r="C7338" t="str">
            <v>Glycine-glycine-glutamine tripeptide</v>
          </cell>
        </row>
        <row r="7339">
          <cell r="A7339" t="str">
            <v>guatrna_c</v>
          </cell>
          <cell r="B7339" t="str">
            <v>guatrna</v>
          </cell>
          <cell r="C7339" t="str">
            <v/>
          </cell>
        </row>
        <row r="7340">
          <cell r="A7340" t="str">
            <v>hcarb_c</v>
          </cell>
          <cell r="B7340" t="str">
            <v>hcarb</v>
          </cell>
          <cell r="C7340" t="str">
            <v>Holo-carboxylase</v>
          </cell>
        </row>
        <row r="7341">
          <cell r="A7341" t="str">
            <v>hedACP_c</v>
          </cell>
          <cell r="B7341" t="str">
            <v>hedACP</v>
          </cell>
          <cell r="C7341" t="str">
            <v>Hexadecanoyl-acp</v>
          </cell>
        </row>
        <row r="7342">
          <cell r="A7342" t="str">
            <v>hemoglobin_e</v>
          </cell>
          <cell r="B7342" t="str">
            <v>hemoglobin</v>
          </cell>
          <cell r="C7342" t="str">
            <v>Hemoglobin</v>
          </cell>
        </row>
        <row r="7343">
          <cell r="A7343" t="str">
            <v>isobutACP_c</v>
          </cell>
          <cell r="B7343" t="str">
            <v>isobutACP</v>
          </cell>
          <cell r="C7343" t="str">
            <v>Isobutyryl-ACP</v>
          </cell>
        </row>
        <row r="7344">
          <cell r="A7344" t="str">
            <v>isop24ds_c</v>
          </cell>
          <cell r="B7344" t="str">
            <v>isop24ds</v>
          </cell>
          <cell r="C7344" t="str">
            <v>Isopentadecanoyllipoteichoic acid n=24  linked  D-alanine substituted</v>
          </cell>
        </row>
        <row r="7345">
          <cell r="A7345" t="str">
            <v>isot24s_c</v>
          </cell>
          <cell r="B7345" t="str">
            <v>isot24s</v>
          </cell>
          <cell r="C7345" t="str">
            <v>Isotetradecanoyllipoteichoic acid n=24  linked  N-acetyl-D-glucosamine</v>
          </cell>
        </row>
        <row r="7346">
          <cell r="A7346" t="str">
            <v>istfrnA_e</v>
          </cell>
          <cell r="B7346" t="str">
            <v>istfrnA</v>
          </cell>
          <cell r="C7346" t="str">
            <v>Iron bound extracellular staphyloferrin A</v>
          </cell>
        </row>
        <row r="7347">
          <cell r="A7347" t="str">
            <v>lip2_c</v>
          </cell>
          <cell r="B7347" t="str">
            <v>lip2</v>
          </cell>
          <cell r="C7347" t="str">
            <v>Ditrans,octacis-undecaprenyldiphospho-N-acetyl-(N-acetyl-beta-D-glucosaminyl)muramoyl-L-alanyl-gamma-D-glutamyl-L-lysyl-D-alanyl-D-alanine</v>
          </cell>
        </row>
        <row r="7348">
          <cell r="A7348" t="str">
            <v>lip2g3_c</v>
          </cell>
          <cell r="B7348" t="str">
            <v>lip2g3</v>
          </cell>
          <cell r="C7348" t="str">
            <v>Ditrans,octacis-undecaprenyldiphospho-N-acetyl-(N-acetylglucosaminyl)muramoyl-L-alanyl-gamma-D-isoglutaminyl-L-lysyl-(glycyl)3-D-alanyl-D-alanine</v>
          </cell>
        </row>
        <row r="7349">
          <cell r="A7349" t="str">
            <v>mycard_c</v>
          </cell>
          <cell r="B7349" t="str">
            <v>mycard</v>
          </cell>
          <cell r="C7349" t="str">
            <v>Myristoylcardiolipin B. subtilis</v>
          </cell>
        </row>
        <row r="7350">
          <cell r="A7350" t="str">
            <v>pep_met_LRS_c</v>
          </cell>
          <cell r="B7350" t="str">
            <v>pep_met_LRS</v>
          </cell>
          <cell r="C7350" t="str">
            <v>Peptide-L-methionine R-S-oxide</v>
          </cell>
        </row>
        <row r="7351">
          <cell r="A7351" t="str">
            <v>pepm_c</v>
          </cell>
          <cell r="B7351" t="str">
            <v>pepm</v>
          </cell>
          <cell r="C7351" t="str">
            <v>Peptidoglycan monomer: ditrans,octacis-undecaprenyldiphospho-N-acetyl-(N-acetylglucosaminyl)muramoyl-L-alanyl-gamma-D-isoglutaminyl-L-lysyl-(glycyl)5-D-alanyl-D-alanine</v>
          </cell>
        </row>
        <row r="7352">
          <cell r="A7352" t="str">
            <v>pepmcoa_w</v>
          </cell>
          <cell r="B7352" t="str">
            <v>pepmcoa</v>
          </cell>
          <cell r="C7352" t="str">
            <v>Acetylated peptidoglycan monomer</v>
          </cell>
        </row>
        <row r="7353">
          <cell r="A7353" t="str">
            <v>pg_MRSA_c</v>
          </cell>
          <cell r="B7353" t="str">
            <v>pg_MRSA</v>
          </cell>
          <cell r="C7353" t="str">
            <v>L-1-phosphatidyl-sn-glycerol (MRSA)</v>
          </cell>
        </row>
        <row r="7354">
          <cell r="A7354" t="str">
            <v>pglys_MRSA_c</v>
          </cell>
          <cell r="B7354" t="str">
            <v>pglys_MRSA</v>
          </cell>
          <cell r="C7354" t="str">
            <v>2-O-D-alanyl-1-O-phosphatidylglycerolysine</v>
          </cell>
        </row>
        <row r="7355">
          <cell r="A7355" t="str">
            <v>phis__L_c</v>
          </cell>
          <cell r="B7355" t="str">
            <v>phis__L</v>
          </cell>
          <cell r="C7355" t="str">
            <v>A [protein]-L-histidine</v>
          </cell>
        </row>
        <row r="7356">
          <cell r="A7356" t="str">
            <v>prohisglu_e</v>
          </cell>
          <cell r="B7356" t="str">
            <v>prohisglu</v>
          </cell>
          <cell r="C7356" t="str">
            <v>Proline-histidine-glutamine tripeptide</v>
          </cell>
        </row>
        <row r="7357">
          <cell r="A7357" t="str">
            <v>r3hbACP_c</v>
          </cell>
          <cell r="B7357" t="str">
            <v>r3hbACP</v>
          </cell>
          <cell r="C7357" t="str">
            <v>R-3-Hydroxybutanoyl-acyl-carrier protein</v>
          </cell>
        </row>
        <row r="7358">
          <cell r="A7358" t="str">
            <v>serglugly_c</v>
          </cell>
          <cell r="B7358" t="str">
            <v>serglugly</v>
          </cell>
          <cell r="C7358" t="str">
            <v>Serine-glutamine-glycine tripeptide</v>
          </cell>
        </row>
        <row r="7359">
          <cell r="A7359" t="str">
            <v>steart24s_c</v>
          </cell>
          <cell r="B7359" t="str">
            <v>steart24s</v>
          </cell>
          <cell r="C7359" t="str">
            <v>Stearoyllipoteichoic acid n=24  linked  glucose substituted</v>
          </cell>
        </row>
        <row r="7360">
          <cell r="A7360" t="str">
            <v>stfrnB_e</v>
          </cell>
          <cell r="B7360" t="str">
            <v>stfrnB</v>
          </cell>
          <cell r="C7360" t="str">
            <v>Staphyloferrin B</v>
          </cell>
        </row>
        <row r="7361">
          <cell r="A7361" t="str">
            <v>stp_c</v>
          </cell>
          <cell r="B7361" t="str">
            <v>stp</v>
          </cell>
          <cell r="C7361" t="str">
            <v>Staphylopine</v>
          </cell>
        </row>
        <row r="7362">
          <cell r="A7362" t="str">
            <v>to2eACP_c</v>
          </cell>
          <cell r="B7362" t="str">
            <v>to2eACP</v>
          </cell>
          <cell r="C7362" t="str">
            <v>Trans-Octodec-2-enoyl-ACP</v>
          </cell>
        </row>
        <row r="7363">
          <cell r="A7363" t="str">
            <v>udcpdp_w</v>
          </cell>
          <cell r="B7363" t="str">
            <v>udcpdp</v>
          </cell>
          <cell r="C7363" t="str">
            <v>Undecaprenyl diphosphate</v>
          </cell>
        </row>
        <row r="7364">
          <cell r="A7364" t="str">
            <v>vegACP_c</v>
          </cell>
          <cell r="B7364" t="str">
            <v>vegACP</v>
          </cell>
          <cell r="C7364" t="str">
            <v>Veganoyl-ACP</v>
          </cell>
        </row>
        <row r="7365">
          <cell r="A7365" t="str">
            <v>xsiderophore_e</v>
          </cell>
          <cell r="B7365" t="str">
            <v>xsiderophore</v>
          </cell>
          <cell r="C7365" t="str">
            <v>Xenosiderophore</v>
          </cell>
        </row>
        <row r="7366">
          <cell r="A7366" t="str">
            <v>tre6p_e</v>
          </cell>
          <cell r="B7366" t="str">
            <v>tre6p</v>
          </cell>
          <cell r="C7366" t="str">
            <v>Alpha,alpha'-Trehalose 6-phosphate</v>
          </cell>
        </row>
        <row r="7367">
          <cell r="A7367" t="str">
            <v>1gLIPIDSr_c</v>
          </cell>
          <cell r="B7367" t="str">
            <v>1gLIPIDSr</v>
          </cell>
          <cell r="C7367" t="str">
            <v/>
          </cell>
        </row>
        <row r="7368">
          <cell r="A7368" t="str">
            <v>amdglc_e</v>
          </cell>
          <cell r="B7368" t="str">
            <v>amdglc</v>
          </cell>
          <cell r="C7368" t="str">
            <v>Alpha-Methyl-D-glucoside</v>
          </cell>
        </row>
        <row r="7369">
          <cell r="A7369" t="str">
            <v>lipidA_core_e</v>
          </cell>
          <cell r="B7369" t="str">
            <v>lipidA_core</v>
          </cell>
          <cell r="C7369" t="str">
            <v>2 3 2'3' Tetrakis beta hydroxymyristoyl  D glucosaminyl 1 6 beta D glucosamine 1 4' bisphosphate C68H126N2O23P2</v>
          </cell>
        </row>
        <row r="7370">
          <cell r="A7370" t="str">
            <v>lipidA_p</v>
          </cell>
          <cell r="B7370" t="str">
            <v>lipidA</v>
          </cell>
          <cell r="C7370" t="str">
            <v>2,3,2'3'-Tetrakis(beta-hydroxymyristoyl)-D-glucosaminyl-1,6-beta-D-glucosamine 1,4'-bisphosphate</v>
          </cell>
        </row>
        <row r="7371">
          <cell r="A7371" t="str">
            <v>14denlipidA_e</v>
          </cell>
          <cell r="B7371" t="str">
            <v>14denlipidA</v>
          </cell>
          <cell r="C7371" t="str">
            <v>1' 4' bisphosphoethanolamin lipidIVa C72H138N4O29P4</v>
          </cell>
        </row>
        <row r="7372">
          <cell r="A7372" t="str">
            <v>hlipaA_c</v>
          </cell>
          <cell r="B7372" t="str">
            <v>hlipaA</v>
          </cell>
          <cell r="C7372" t="str">
            <v>Heptosyl kdo2 lipidA C117H208N2O45P2</v>
          </cell>
        </row>
        <row r="7373">
          <cell r="A7373" t="str">
            <v>mmagund_c</v>
          </cell>
          <cell r="B7373" t="str">
            <v>mmagund</v>
          </cell>
          <cell r="C7373" t="str">
            <v>Mannosyl mannosyl N acetylglucosamyl undecaprenyl diphosphate C75H125NO22P2</v>
          </cell>
        </row>
        <row r="7374">
          <cell r="A7374" t="str">
            <v>o6a4colipa_p</v>
          </cell>
          <cell r="B7374" t="str">
            <v>o6a4colipa</v>
          </cell>
          <cell r="C7374" t="str">
            <v xml:space="preserve"> O6 antigen x4 core oligosaccharide lipid A O225H390N2O120P2</v>
          </cell>
        </row>
        <row r="7375">
          <cell r="A7375" t="str">
            <v>eca4colipa_LptA_p</v>
          </cell>
          <cell r="B7375" t="str">
            <v>eca4colipa_LptA</v>
          </cell>
          <cell r="C7375" t="str">
            <v xml:space="preserve"> enterobacterial common antigen x4 core oligosaccharide lipid A C272H447N14O160P4</v>
          </cell>
        </row>
        <row r="7376">
          <cell r="A7376" t="str">
            <v>uaagmda_p</v>
          </cell>
          <cell r="B7376" t="str">
            <v>uaagmda</v>
          </cell>
          <cell r="C7376" t="str">
            <v>Undecaprenyl-diphospho-N-acetylmuramoyl-(N-acetylglucosamine)-L-ala-D-glu-meso-2,6-diaminopimeloyl-D-ala-D-ala</v>
          </cell>
        </row>
        <row r="7377">
          <cell r="A7377" t="str">
            <v>23tart_c</v>
          </cell>
          <cell r="B7377" t="str">
            <v>23tart</v>
          </cell>
          <cell r="C7377" t="str">
            <v>(2R,3S)-tartrate</v>
          </cell>
        </row>
        <row r="7378">
          <cell r="A7378" t="str">
            <v>malac_c</v>
          </cell>
          <cell r="B7378" t="str">
            <v>malac</v>
          </cell>
          <cell r="C7378" t="str">
            <v>Maleylacetate</v>
          </cell>
        </row>
        <row r="7379">
          <cell r="A7379" t="str">
            <v>cm3ac_c</v>
          </cell>
          <cell r="B7379" t="str">
            <v>cm3ac</v>
          </cell>
          <cell r="C7379" t="str">
            <v>Chloramphenicol 3-acetate</v>
          </cell>
        </row>
        <row r="7380">
          <cell r="A7380" t="str">
            <v>t3mlasp_c</v>
          </cell>
          <cell r="B7380" t="str">
            <v>t3mlasp</v>
          </cell>
          <cell r="C7380" t="str">
            <v>Threo-3-methyl-L-aspartate(1-)</v>
          </cell>
        </row>
        <row r="7381">
          <cell r="A7381" t="str">
            <v>3hivcoa_c</v>
          </cell>
          <cell r="B7381" t="str">
            <v>3hivcoa</v>
          </cell>
          <cell r="C7381" t="str">
            <v>3-Hydroxyisovaleryl-CoA</v>
          </cell>
        </row>
        <row r="7382">
          <cell r="A7382" t="str">
            <v>aad_c</v>
          </cell>
          <cell r="B7382" t="str">
            <v>aad</v>
          </cell>
          <cell r="C7382" t="str">
            <v>Acetyl-adenylate</v>
          </cell>
        </row>
        <row r="7383">
          <cell r="A7383" t="str">
            <v>eoaa_c</v>
          </cell>
          <cell r="B7383" t="str">
            <v>eoaa</v>
          </cell>
          <cell r="C7383" t="str">
            <v>Enol-oxaloacetate</v>
          </cell>
        </row>
        <row r="7384">
          <cell r="A7384" t="str">
            <v>aeioh_c</v>
          </cell>
          <cell r="B7384" t="str">
            <v>aeioh</v>
          </cell>
          <cell r="C7384" t="str">
            <v>3-(2-Aminoethyl)-1H-indol-5-ol</v>
          </cell>
        </row>
        <row r="7385">
          <cell r="A7385" t="str">
            <v>mot_c</v>
          </cell>
          <cell r="B7385" t="str">
            <v>mot</v>
          </cell>
          <cell r="C7385" t="str">
            <v>5-MeOT</v>
          </cell>
        </row>
        <row r="7386">
          <cell r="A7386" t="str">
            <v>ggbcala_c</v>
          </cell>
          <cell r="B7386" t="str">
            <v>ggbcala</v>
          </cell>
          <cell r="C7386" t="str">
            <v>Gamma-Glutamyl-beta-cyanoalanine</v>
          </cell>
        </row>
        <row r="7387">
          <cell r="A7387" t="str">
            <v>ggapn3_c</v>
          </cell>
          <cell r="B7387" t="str">
            <v>ggapn3</v>
          </cell>
          <cell r="C7387" t="str">
            <v>Gamma-Glutamyl-beta-aminopropiononitrile</v>
          </cell>
        </row>
        <row r="7388">
          <cell r="A7388" t="str">
            <v>igly_c</v>
          </cell>
          <cell r="B7388" t="str">
            <v>igly</v>
          </cell>
          <cell r="C7388" t="str">
            <v>Iminoglycine</v>
          </cell>
        </row>
        <row r="7389">
          <cell r="A7389" t="str">
            <v>holocarb_c</v>
          </cell>
          <cell r="B7389" t="str">
            <v>holocarb</v>
          </cell>
          <cell r="C7389" t="str">
            <v>Holo carboxylase</v>
          </cell>
        </row>
        <row r="7390">
          <cell r="A7390" t="str">
            <v>dhi562_c</v>
          </cell>
          <cell r="B7390" t="str">
            <v>dhi562</v>
          </cell>
          <cell r="C7390" t="str">
            <v>Dhi562</v>
          </cell>
        </row>
        <row r="7391">
          <cell r="A7391" t="str">
            <v>ppad_c</v>
          </cell>
          <cell r="B7391" t="str">
            <v>ppad</v>
          </cell>
          <cell r="C7391" t="str">
            <v>Propionyladenylate</v>
          </cell>
        </row>
        <row r="7392">
          <cell r="A7392" t="str">
            <v>propacp_c</v>
          </cell>
          <cell r="B7392" t="str">
            <v>propacp</v>
          </cell>
          <cell r="C7392" t="str">
            <v>Propanoyl-ACP</v>
          </cell>
        </row>
        <row r="7393">
          <cell r="A7393" t="str">
            <v>triacp_c</v>
          </cell>
          <cell r="B7393" t="str">
            <v>triacp</v>
          </cell>
          <cell r="C7393" t="str">
            <v>Tridecanoyl-ACP</v>
          </cell>
        </row>
        <row r="7394">
          <cell r="A7394" t="str">
            <v>peneacp_c</v>
          </cell>
          <cell r="B7394" t="str">
            <v>peneacp</v>
          </cell>
          <cell r="C7394" t="str">
            <v>Pentadecenoyl-ACP</v>
          </cell>
        </row>
        <row r="7395">
          <cell r="A7395" t="str">
            <v>eicacp_c</v>
          </cell>
          <cell r="B7395" t="str">
            <v>eicacp</v>
          </cell>
          <cell r="C7395" t="str">
            <v>Eicosanoyl-ACP</v>
          </cell>
        </row>
        <row r="7396">
          <cell r="A7396" t="str">
            <v>hepedecacid_c</v>
          </cell>
          <cell r="B7396" t="str">
            <v>hepedecacid</v>
          </cell>
          <cell r="C7396" t="str">
            <v>Heptadecenoic acid</v>
          </cell>
        </row>
        <row r="7397">
          <cell r="A7397" t="str">
            <v>bhdodec_c</v>
          </cell>
          <cell r="B7397" t="str">
            <v>bhdodec</v>
          </cell>
          <cell r="C7397" t="str">
            <v>Beta hydroxy dodecanoic acid</v>
          </cell>
        </row>
        <row r="7398">
          <cell r="A7398" t="str">
            <v>bhtetdec_c</v>
          </cell>
          <cell r="B7398" t="str">
            <v>bhtetdec</v>
          </cell>
          <cell r="C7398" t="str">
            <v>Beta hydroxy tetradecanoic acid</v>
          </cell>
        </row>
        <row r="7399">
          <cell r="A7399" t="str">
            <v>primAlc_c</v>
          </cell>
          <cell r="B7399" t="str">
            <v>primAlc</v>
          </cell>
          <cell r="C7399" t="str">
            <v>Primary alcohol</v>
          </cell>
        </row>
        <row r="7400">
          <cell r="A7400" t="str">
            <v>tg160_c</v>
          </cell>
          <cell r="B7400" t="str">
            <v>tg160</v>
          </cell>
          <cell r="C7400" t="str">
            <v>Triacylglycerol</v>
          </cell>
        </row>
        <row r="7401">
          <cell r="A7401" t="str">
            <v>aglp2_c</v>
          </cell>
          <cell r="B7401" t="str">
            <v>aglp2</v>
          </cell>
          <cell r="C7401" t="str">
            <v>2-acyl-sn-glycerol 3-phosphate</v>
          </cell>
        </row>
        <row r="7402">
          <cell r="A7402" t="str">
            <v>agpc23_c</v>
          </cell>
          <cell r="B7402" t="str">
            <v>agpc23</v>
          </cell>
          <cell r="C7402" t="str">
            <v>2-acyl-sn-glycero-3-phosphatidylcholine</v>
          </cell>
        </row>
        <row r="7403">
          <cell r="A7403" t="str">
            <v>idt_c</v>
          </cell>
          <cell r="B7403" t="str">
            <v>idt</v>
          </cell>
          <cell r="C7403" t="str">
            <v>L-iditol</v>
          </cell>
        </row>
        <row r="7404">
          <cell r="A7404" t="str">
            <v>14dh2napcoa_c</v>
          </cell>
          <cell r="B7404" t="str">
            <v>14dh2napcoa</v>
          </cell>
          <cell r="C7404" t="str">
            <v>1,4-Dihydroxy-2-naphthoyl-CoA</v>
          </cell>
        </row>
        <row r="7405">
          <cell r="A7405" t="str">
            <v>2a3o4pob_c</v>
          </cell>
          <cell r="B7405" t="str">
            <v>2a3o4pob</v>
          </cell>
          <cell r="C7405" t="str">
            <v>2-Amino-3-oxo-4-phosphonooxybutyrate</v>
          </cell>
        </row>
        <row r="7406">
          <cell r="A7406" t="str">
            <v>2m6solbzq_c</v>
          </cell>
          <cell r="B7406" t="str">
            <v>2m6solbzq</v>
          </cell>
          <cell r="C7406" t="str">
            <v>2-Methyl-6-solanyl-1,4-benzoquinol</v>
          </cell>
        </row>
        <row r="7407">
          <cell r="A7407" t="str">
            <v>4a_hthptn_c</v>
          </cell>
          <cell r="B7407" t="str">
            <v>4a_hthptn</v>
          </cell>
          <cell r="C7407" t="str">
            <v>4a-Hydroxytetrahydrobiopterin</v>
          </cell>
        </row>
        <row r="7408">
          <cell r="A7408" t="str">
            <v>4pen_c</v>
          </cell>
          <cell r="B7408" t="str">
            <v>4pen</v>
          </cell>
          <cell r="C7408" t="str">
            <v>4-Phospho-D-erythronate</v>
          </cell>
        </row>
        <row r="7409">
          <cell r="A7409" t="str">
            <v>5g2op_c</v>
          </cell>
          <cell r="B7409" t="str">
            <v>5g2op</v>
          </cell>
          <cell r="C7409" t="str">
            <v>5-Guanidino-2-oxopentanoate</v>
          </cell>
        </row>
        <row r="7410">
          <cell r="A7410" t="str">
            <v>AppppA_c</v>
          </cell>
          <cell r="B7410" t="str">
            <v>AppppA</v>
          </cell>
          <cell r="C7410" t="str">
            <v>P1,P4-Bis(5''-adenosyl)tetraphosphate</v>
          </cell>
        </row>
        <row r="7411">
          <cell r="A7411" t="str">
            <v>aptrc_c</v>
          </cell>
          <cell r="B7411" t="str">
            <v>aptrc</v>
          </cell>
          <cell r="C7411" t="str">
            <v>N-Acetylputrescine</v>
          </cell>
        </row>
        <row r="7412">
          <cell r="A7412" t="str">
            <v>arsn_c</v>
          </cell>
          <cell r="B7412" t="str">
            <v>arsn</v>
          </cell>
          <cell r="C7412" t="str">
            <v>Arsenite</v>
          </cell>
        </row>
        <row r="7413">
          <cell r="A7413" t="str">
            <v>arsni_c</v>
          </cell>
          <cell r="B7413" t="str">
            <v>arsni</v>
          </cell>
          <cell r="C7413" t="str">
            <v>Arsenate ion</v>
          </cell>
        </row>
        <row r="7414">
          <cell r="A7414" t="str">
            <v>cresol_c</v>
          </cell>
          <cell r="B7414" t="str">
            <v>cresol</v>
          </cell>
          <cell r="C7414" t="str">
            <v>4-Cresol</v>
          </cell>
        </row>
        <row r="7415">
          <cell r="A7415" t="str">
            <v>e11_c</v>
          </cell>
          <cell r="B7415" t="str">
            <v>e11</v>
          </cell>
          <cell r="C7415" t="str">
            <v>Peptidoglycan</v>
          </cell>
        </row>
        <row r="7416">
          <cell r="A7416" t="str">
            <v>e11_p</v>
          </cell>
          <cell r="B7416" t="str">
            <v>e11</v>
          </cell>
          <cell r="C7416" t="str">
            <v>Peptidoglycan</v>
          </cell>
        </row>
        <row r="7417">
          <cell r="A7417" t="str">
            <v>enz_c</v>
          </cell>
          <cell r="B7417" t="str">
            <v>enz</v>
          </cell>
          <cell r="C7417" t="str">
            <v>Cysteine enzyme</v>
          </cell>
        </row>
        <row r="7418">
          <cell r="A7418" t="str">
            <v>enz_S_c</v>
          </cell>
          <cell r="B7418" t="str">
            <v>enz_S</v>
          </cell>
          <cell r="C7418" t="str">
            <v>Sulfocysteine enzyme</v>
          </cell>
        </row>
        <row r="7419">
          <cell r="A7419" t="str">
            <v>feche_c</v>
          </cell>
          <cell r="B7419" t="str">
            <v>feche</v>
          </cell>
          <cell r="C7419" t="str">
            <v>Iron chelate</v>
          </cell>
        </row>
        <row r="7420">
          <cell r="A7420" t="str">
            <v>flutox_c</v>
          </cell>
          <cell r="B7420" t="str">
            <v>flutox</v>
          </cell>
          <cell r="C7420" t="str">
            <v>Glutaredoxin disulfide</v>
          </cell>
        </row>
        <row r="7421">
          <cell r="A7421" t="str">
            <v>oxRieskeB6_y</v>
          </cell>
          <cell r="B7421" t="str">
            <v>oxRieskeB6</v>
          </cell>
          <cell r="C7421" t="str">
            <v>Oxidized rieske B6</v>
          </cell>
        </row>
        <row r="7422">
          <cell r="A7422" t="str">
            <v>p700p_u</v>
          </cell>
          <cell r="B7422" t="str">
            <v>p700p</v>
          </cell>
          <cell r="C7422" t="str">
            <v>Positive charged reaction centre of the Photosystem I</v>
          </cell>
        </row>
        <row r="7423">
          <cell r="A7423" t="str">
            <v>pcrd_l</v>
          </cell>
          <cell r="B7423" t="str">
            <v>pcrd</v>
          </cell>
          <cell r="C7423" t="str">
            <v>Plastocyanin(Cu+)</v>
          </cell>
        </row>
        <row r="7424">
          <cell r="A7424" t="str">
            <v>phycynbn_c</v>
          </cell>
          <cell r="B7424" t="str">
            <v>phycynbn</v>
          </cell>
          <cell r="C7424" t="str">
            <v>(3Z)-Phycocyanobilin</v>
          </cell>
        </row>
        <row r="7425">
          <cell r="A7425" t="str">
            <v>pqb6s_y</v>
          </cell>
          <cell r="B7425" t="str">
            <v>pqb6s</v>
          </cell>
          <cell r="C7425" t="str">
            <v>Plastosemiquinone located at the stromal side of the Cytochrome-b6/f complex</v>
          </cell>
        </row>
        <row r="7426">
          <cell r="A7426" t="str">
            <v>pqhb6l_y</v>
          </cell>
          <cell r="B7426" t="str">
            <v>pqhb6l</v>
          </cell>
          <cell r="C7426" t="str">
            <v>Plastosemiquinone located at the luminal side of the Cytochrome-b6/f complex</v>
          </cell>
        </row>
        <row r="7427">
          <cell r="A7427" t="str">
            <v>pser_c</v>
          </cell>
          <cell r="B7427" t="str">
            <v>pser</v>
          </cell>
          <cell r="C7427" t="str">
            <v>O-Phospho-L-serine</v>
          </cell>
        </row>
        <row r="7428">
          <cell r="A7428" t="str">
            <v>ptdegly_c</v>
          </cell>
          <cell r="B7428" t="str">
            <v>ptdegly</v>
          </cell>
          <cell r="C7428" t="str">
            <v>Crosslinked peptideglycan</v>
          </cell>
        </row>
        <row r="7429">
          <cell r="A7429" t="str">
            <v>rb15bp_x</v>
          </cell>
          <cell r="B7429" t="str">
            <v>rb15bp</v>
          </cell>
          <cell r="C7429" t="str">
            <v>D-Ribulose 1,5-bisphosphate</v>
          </cell>
        </row>
        <row r="7430">
          <cell r="A7430" t="str">
            <v>rdRieskeB6_y</v>
          </cell>
          <cell r="B7430" t="str">
            <v>rdRieskeB6</v>
          </cell>
          <cell r="C7430" t="str">
            <v>Reduced rieske B6</v>
          </cell>
        </row>
        <row r="7431">
          <cell r="A7431" t="str">
            <v>s3_u</v>
          </cell>
          <cell r="B7431" t="str">
            <v>s3</v>
          </cell>
          <cell r="C7431" t="str">
            <v>Third oxidation state of the cluster of manganese atoms in the Photosystem II</v>
          </cell>
        </row>
        <row r="7432">
          <cell r="A7432" t="str">
            <v>thioc_c</v>
          </cell>
          <cell r="B7432" t="str">
            <v>thioc</v>
          </cell>
          <cell r="C7432" t="str">
            <v>Thiocyanate</v>
          </cell>
        </row>
        <row r="7433">
          <cell r="A7433" t="str">
            <v>12mgdg160_c</v>
          </cell>
          <cell r="B7433" t="str">
            <v>12mgdg160</v>
          </cell>
          <cell r="C7433" t="str">
            <v>3-D-glucosyl-1,2-Diacylglycerol (n-C16)</v>
          </cell>
        </row>
        <row r="7434">
          <cell r="A7434" t="str">
            <v>12mgdg180_c</v>
          </cell>
          <cell r="B7434" t="str">
            <v>12mgdg180</v>
          </cell>
          <cell r="C7434" t="str">
            <v>3-D-glucosyl-1,2-Diacylglycerol (n-C18 0)</v>
          </cell>
        </row>
        <row r="7435">
          <cell r="A7435" t="str">
            <v>12mgdg183_6_9_12_c</v>
          </cell>
          <cell r="B7435" t="str">
            <v>12mgdg183_6_9_12</v>
          </cell>
          <cell r="C7435" t="str">
            <v>3-D-glucosyl-1,2-Diacylglycerol (n-C18 3)</v>
          </cell>
        </row>
        <row r="7436">
          <cell r="A7436" t="str">
            <v>dhlprot_c</v>
          </cell>
          <cell r="B7436" t="str">
            <v>dhlprot</v>
          </cell>
          <cell r="C7436" t="str">
            <v>Dihydrolipolprotein</v>
          </cell>
        </row>
        <row r="7437">
          <cell r="A7437" t="str">
            <v>naglc2p_L_dolp11_c</v>
          </cell>
          <cell r="B7437" t="str">
            <v>naglc2p_L_dolp11</v>
          </cell>
          <cell r="C7437" t="str">
            <v>N-Acetyl-D-glucosaminyl diphosphodolichol(11)</v>
          </cell>
        </row>
        <row r="7438">
          <cell r="A7438" t="str">
            <v>crm_pf_18_1_16_0_c</v>
          </cell>
          <cell r="B7438" t="str">
            <v>crm_pf_18_1_16_0</v>
          </cell>
          <cell r="C7438" t="str">
            <v>N-(hexadecanoyl)-sphing-4-enine</v>
          </cell>
        </row>
        <row r="7439">
          <cell r="A7439" t="str">
            <v>fdox_h</v>
          </cell>
          <cell r="B7439" t="str">
            <v>fdox</v>
          </cell>
          <cell r="C7439" t="str">
            <v>Ferredoxin (oxidized) 2[4Fe-4S]</v>
          </cell>
        </row>
        <row r="7440">
          <cell r="A7440" t="str">
            <v>pchol_pf_16_0_18_0_c</v>
          </cell>
          <cell r="B7440" t="str">
            <v>pchol_pf_16_0_18_0</v>
          </cell>
          <cell r="C7440" t="str">
            <v>Phosphatidyl choline(plasmodium,C16:0,C18:0)</v>
          </cell>
        </row>
        <row r="7441">
          <cell r="A7441" t="str">
            <v>pchol_pf_16_0_20_4_g</v>
          </cell>
          <cell r="B7441" t="str">
            <v>pchol_pf_16_0_20_4</v>
          </cell>
          <cell r="C7441" t="str">
            <v>Phosphatidyl choline(plasmodium,C16:0,C20:4)</v>
          </cell>
        </row>
        <row r="7442">
          <cell r="A7442" t="str">
            <v>dhcrm_pf_18_0_16_0_c</v>
          </cell>
          <cell r="B7442" t="str">
            <v>dhcrm_pf_18_0_16_0</v>
          </cell>
          <cell r="C7442" t="str">
            <v>N-(hexadecanoyl)-sphinganine(dihydroceramide)</v>
          </cell>
        </row>
        <row r="7443">
          <cell r="A7443" t="str">
            <v>pa_pf_18_1_20_4_c</v>
          </cell>
          <cell r="B7443" t="str">
            <v>pa_pf_18_1_20_4</v>
          </cell>
          <cell r="C7443" t="str">
            <v>Phosphatidic acid(plasmodium,C18:1,C20:4)</v>
          </cell>
        </row>
        <row r="7444">
          <cell r="A7444" t="str">
            <v>crm_pf_18_1_24_0_g</v>
          </cell>
          <cell r="B7444" t="str">
            <v>crm_pf_18_1_24_0</v>
          </cell>
          <cell r="C7444" t="str">
            <v>N-(tetracosanoyl)-sphing-4-enine</v>
          </cell>
        </row>
        <row r="7445">
          <cell r="A7445" t="str">
            <v>crm_pf_18_1_18_0_c</v>
          </cell>
          <cell r="B7445" t="str">
            <v>crm_pf_18_1_18_0</v>
          </cell>
          <cell r="C7445" t="str">
            <v>N-(octadecanoyl)-sphing-4-enine</v>
          </cell>
        </row>
        <row r="7446">
          <cell r="A7446" t="str">
            <v>lgn_c</v>
          </cell>
          <cell r="B7446" t="str">
            <v>lgn</v>
          </cell>
          <cell r="C7446" t="str">
            <v>Lignoceric acid or tetracosanoicacid C24:0</v>
          </cell>
        </row>
        <row r="7447">
          <cell r="A7447" t="str">
            <v>gluside_18_0_18_1_c</v>
          </cell>
          <cell r="B7447" t="str">
            <v>gluside_18_0_18_1</v>
          </cell>
          <cell r="C7447" t="str">
            <v>N-(-9Z-octadecanoyl)-1- -glucosyl-sphing-4-enine</v>
          </cell>
        </row>
        <row r="7448">
          <cell r="A7448" t="str">
            <v>gluside_18_1_18_0_c</v>
          </cell>
          <cell r="B7448" t="str">
            <v>gluside_18_1_18_0</v>
          </cell>
          <cell r="C7448" t="str">
            <v>N-(octadecanoyl)-1- -glucosyl-sphing-4-enine</v>
          </cell>
        </row>
        <row r="7449">
          <cell r="A7449" t="str">
            <v>pail3p_pf_18_0_18_1_c</v>
          </cell>
          <cell r="B7449" t="str">
            <v>pail3p_pf_18_0_18_1</v>
          </cell>
          <cell r="C7449" t="str">
            <v>1-Phosphatidyl-1D-myo-inositol3-phosphate(plasmodium,C18:0,C18:1)</v>
          </cell>
        </row>
        <row r="7450">
          <cell r="A7450" t="str">
            <v>dsbgrd_r</v>
          </cell>
          <cell r="B7450" t="str">
            <v>dsbgrd</v>
          </cell>
          <cell r="C7450" t="str">
            <v>Periplasmic disulfide isomerase/thiol-disulphide oxidase (reduced)</v>
          </cell>
        </row>
        <row r="7451">
          <cell r="A7451" t="str">
            <v>dsbcrd_r</v>
          </cell>
          <cell r="B7451" t="str">
            <v>dsbcrd</v>
          </cell>
          <cell r="C7451" t="str">
            <v>Protein disulfide isomerase II (reduced)</v>
          </cell>
        </row>
        <row r="7452">
          <cell r="A7452" t="str">
            <v>5mti_c</v>
          </cell>
          <cell r="B7452" t="str">
            <v>5mti</v>
          </cell>
          <cell r="C7452" t="str">
            <v>5-Methylthioinosine</v>
          </cell>
        </row>
        <row r="7453">
          <cell r="A7453" t="str">
            <v>alpa_pf_16_0_c</v>
          </cell>
          <cell r="B7453" t="str">
            <v>alpa_pf_16_0</v>
          </cell>
          <cell r="C7453" t="str">
            <v>Lysophosphatidic acid(plasmodium,C16:0)</v>
          </cell>
        </row>
        <row r="7454">
          <cell r="A7454" t="str">
            <v>cdpdag_pf_16_0_16_0_c</v>
          </cell>
          <cell r="B7454" t="str">
            <v>cdpdag_pf_16_0_16_0</v>
          </cell>
          <cell r="C7454" t="str">
            <v>CDP diacylglycerol(plasmodium,C16:0,C16:0)</v>
          </cell>
        </row>
        <row r="7455">
          <cell r="A7455" t="str">
            <v>dag_pf_16_0_18_0_c</v>
          </cell>
          <cell r="B7455" t="str">
            <v>dag_pf_16_0_18_0</v>
          </cell>
          <cell r="C7455" t="str">
            <v>Diacylglycerol(plasmodium,C16:0,C18:0)</v>
          </cell>
        </row>
        <row r="7456">
          <cell r="A7456" t="str">
            <v>dag_pf_16_0_18_1_c</v>
          </cell>
          <cell r="B7456" t="str">
            <v>dag_pf_16_0_18_1</v>
          </cell>
          <cell r="C7456" t="str">
            <v>Diacylglycerol(plasmodium,C16:0,C18:1)</v>
          </cell>
        </row>
        <row r="7457">
          <cell r="A7457" t="str">
            <v>dag_pf_16_0_18_1_r</v>
          </cell>
          <cell r="B7457" t="str">
            <v>dag_pf_16_0_18_1</v>
          </cell>
          <cell r="C7457" t="str">
            <v>Diacylglycerol(plasmodium,C16:0,C18:1)</v>
          </cell>
        </row>
        <row r="7458">
          <cell r="A7458" t="str">
            <v>dag_pf_16_0_20_4_c</v>
          </cell>
          <cell r="B7458" t="str">
            <v>dag_pf_16_0_20_4</v>
          </cell>
          <cell r="C7458" t="str">
            <v>Diacylglycerol(plasmodium,C16:0,C20:4)</v>
          </cell>
        </row>
        <row r="7459">
          <cell r="A7459" t="str">
            <v>dag_pf_18_0_18_0_c</v>
          </cell>
          <cell r="B7459" t="str">
            <v>dag_pf_18_0_18_0</v>
          </cell>
          <cell r="C7459" t="str">
            <v>Diacylglycerol(plasmodium,C18:0,C18:0)</v>
          </cell>
        </row>
        <row r="7460">
          <cell r="A7460" t="str">
            <v>dag_pf_18_0_20_4_c</v>
          </cell>
          <cell r="B7460" t="str">
            <v>dag_pf_18_0_20_4</v>
          </cell>
          <cell r="C7460" t="str">
            <v>Diacylglycerol(plasmodium,C18:0,C20:4)</v>
          </cell>
        </row>
        <row r="7461">
          <cell r="A7461" t="str">
            <v>dag_pf_18_1_18_1_c</v>
          </cell>
          <cell r="B7461" t="str">
            <v>dag_pf_18_1_18_1</v>
          </cell>
          <cell r="C7461" t="str">
            <v>Diacylglycerol(plasmodium,C18:1,C18:1)</v>
          </cell>
        </row>
        <row r="7462">
          <cell r="A7462" t="str">
            <v>dag_pf_18_1_18_1_r</v>
          </cell>
          <cell r="B7462" t="str">
            <v>dag_pf_18_1_18_1</v>
          </cell>
          <cell r="C7462" t="str">
            <v>Diacylglycerol(plasmodium,C18:1,C18:1)</v>
          </cell>
        </row>
        <row r="7463">
          <cell r="A7463" t="str">
            <v>dag_pf_18_2_16_0_c</v>
          </cell>
          <cell r="B7463" t="str">
            <v>dag_pf_18_2_16_0</v>
          </cell>
          <cell r="C7463" t="str">
            <v>Diacylglycerol(plasmodium,C18:2,C16:0)</v>
          </cell>
        </row>
        <row r="7464">
          <cell r="A7464" t="str">
            <v>dag_pf_20_4_18_0_c</v>
          </cell>
          <cell r="B7464" t="str">
            <v>dag_pf_20_4_18_0</v>
          </cell>
          <cell r="C7464" t="str">
            <v>Diacylglycerol(plasmodium,C20:4,C18:0)</v>
          </cell>
        </row>
        <row r="7465">
          <cell r="A7465" t="str">
            <v>dag_pf_20_4_18_1_c</v>
          </cell>
          <cell r="B7465" t="str">
            <v>dag_pf_20_4_18_1</v>
          </cell>
          <cell r="C7465" t="str">
            <v>Diacylglycerol(plasmodium,C20:4,C18:1)</v>
          </cell>
        </row>
        <row r="7466">
          <cell r="A7466" t="str">
            <v>dag_pf_20_4_20_4_c</v>
          </cell>
          <cell r="B7466" t="str">
            <v>dag_pf_20_4_20_4</v>
          </cell>
          <cell r="C7466" t="str">
            <v>Diacylglycerol(plasmodium,C20:4,C20:4)</v>
          </cell>
        </row>
        <row r="7467">
          <cell r="A7467" t="str">
            <v>doldp11_c</v>
          </cell>
          <cell r="B7467" t="str">
            <v>doldp11</v>
          </cell>
          <cell r="C7467" t="str">
            <v>Dolichol(11subunits)diphosphate</v>
          </cell>
        </row>
        <row r="7468">
          <cell r="A7468" t="str">
            <v>doldp12_c</v>
          </cell>
          <cell r="B7468" t="str">
            <v>doldp12</v>
          </cell>
          <cell r="C7468" t="str">
            <v>Dolichol(12subunits)diphosphate</v>
          </cell>
        </row>
        <row r="7469">
          <cell r="A7469" t="str">
            <v>gpail_pf_18_0_18_1_c</v>
          </cell>
          <cell r="B7469" t="str">
            <v>gpail_pf_18_0_18_1</v>
          </cell>
          <cell r="C7469" t="str">
            <v>D-glucosaminyl phosphatidyl inositol(plasmodium,C18:0,C18:1)</v>
          </cell>
        </row>
        <row r="7470">
          <cell r="A7470" t="str">
            <v>hivcoa_c</v>
          </cell>
          <cell r="B7470" t="str">
            <v>hivcoa</v>
          </cell>
          <cell r="C7470" t="str">
            <v>3-Hydroxyisovaleryl-CoA</v>
          </cell>
        </row>
        <row r="7471">
          <cell r="A7471" t="str">
            <v>lpe_pf_16_0_c</v>
          </cell>
          <cell r="B7471" t="str">
            <v>lpe_pf_16_0</v>
          </cell>
          <cell r="C7471" t="str">
            <v>Lysophosphatidyl ethanolamine(plasmodium,C16:0)</v>
          </cell>
        </row>
        <row r="7472">
          <cell r="A7472" t="str">
            <v>pa_pf_16_0_16_0_c</v>
          </cell>
          <cell r="B7472" t="str">
            <v>pa_pf_16_0_16_0</v>
          </cell>
          <cell r="C7472" t="str">
            <v>Phosphatidic acid(plasmodium,C16:0,C16:0)</v>
          </cell>
        </row>
        <row r="7473">
          <cell r="A7473" t="str">
            <v>pa_pf_16_0_18_0_c</v>
          </cell>
          <cell r="B7473" t="str">
            <v>pa_pf_16_0_18_0</v>
          </cell>
          <cell r="C7473" t="str">
            <v>Phosphatidic acid(plasmodium,C16:0,C18:0)</v>
          </cell>
        </row>
        <row r="7474">
          <cell r="A7474" t="str">
            <v>pa_pf_18_0_18_1_c</v>
          </cell>
          <cell r="B7474" t="str">
            <v>pa_pf_18_0_18_1</v>
          </cell>
          <cell r="C7474" t="str">
            <v>Phosphatidic acid(plasmodium,C18:0,C18:1)</v>
          </cell>
        </row>
        <row r="7475">
          <cell r="A7475" t="str">
            <v>pail4p_pf_16_0_18_1_c</v>
          </cell>
          <cell r="B7475" t="str">
            <v>pail4p_pf_16_0_18_1</v>
          </cell>
          <cell r="C7475" t="str">
            <v>1-Phosphatidyl-1D-myo-inositol4-phosphate(plasmodium,C16:0,C18:1)</v>
          </cell>
        </row>
        <row r="7476">
          <cell r="A7476" t="str">
            <v>pail4p_pf_18_0_18_1_c</v>
          </cell>
          <cell r="B7476" t="str">
            <v>pail4p_pf_18_0_18_1</v>
          </cell>
          <cell r="C7476" t="str">
            <v>1-Phosphatidyl-1D-myo-inositol4-phosphate(plasmodium,C18:0,C18:1)</v>
          </cell>
        </row>
        <row r="7477">
          <cell r="A7477" t="str">
            <v>pail_pf_16_0_18_0_c</v>
          </cell>
          <cell r="B7477" t="str">
            <v>pail_pf_16_0_18_0</v>
          </cell>
          <cell r="C7477" t="str">
            <v>Phosphatidyl inositol(plasmodium,C16:0,C18:0)</v>
          </cell>
        </row>
        <row r="7478">
          <cell r="A7478" t="str">
            <v>pail_pf_16_0_18_1_c</v>
          </cell>
          <cell r="B7478" t="str">
            <v>pail_pf_16_0_18_1</v>
          </cell>
          <cell r="C7478" t="str">
            <v>Phosphatidyl inositol(plasmodium,C16:0,C18:1)</v>
          </cell>
        </row>
        <row r="7479">
          <cell r="A7479" t="str">
            <v>pchol_pf_16_0_18_2_c</v>
          </cell>
          <cell r="B7479" t="str">
            <v>pchol_pf_16_0_18_2</v>
          </cell>
          <cell r="C7479" t="str">
            <v>Phosphatidyl choline(plasmodium,C16:0,C18:2)</v>
          </cell>
        </row>
        <row r="7480">
          <cell r="A7480" t="str">
            <v>pe_pf_16_0_16_0_r</v>
          </cell>
          <cell r="B7480" t="str">
            <v>pe_pf_16_0_16_0</v>
          </cell>
          <cell r="C7480" t="str">
            <v>Phosphatidyl ethanolamine(plasmodium,C16:0,C16:0)</v>
          </cell>
        </row>
        <row r="7481">
          <cell r="A7481" t="str">
            <v>pe_pf_16_0_18_1_r</v>
          </cell>
          <cell r="B7481" t="str">
            <v>pe_pf_16_0_18_1</v>
          </cell>
          <cell r="C7481" t="str">
            <v>Phosphatidyl ethanolamine(plasmodium,C16:0,C18:1)</v>
          </cell>
        </row>
        <row r="7482">
          <cell r="A7482" t="str">
            <v>pe_pf_18_1_18_1_r</v>
          </cell>
          <cell r="B7482" t="str">
            <v>pe_pf_18_1_18_1</v>
          </cell>
          <cell r="C7482" t="str">
            <v>Phosphatidyl ethanolamine(plasmodium,C18:1,C18:1)</v>
          </cell>
        </row>
        <row r="7483">
          <cell r="A7483" t="str">
            <v>pe_pf_18_1_18_2_r</v>
          </cell>
          <cell r="B7483" t="str">
            <v>pe_pf_18_1_18_2</v>
          </cell>
          <cell r="C7483" t="str">
            <v>Phosphatidyl ethanolamine(plasmodium,C18:1,C18:2)</v>
          </cell>
        </row>
        <row r="7484">
          <cell r="A7484" t="str">
            <v>pe_pf_16_0_16_0_c</v>
          </cell>
          <cell r="B7484" t="str">
            <v>pe_pf_16_0_16_0</v>
          </cell>
          <cell r="C7484" t="str">
            <v>Phosphatidyl ethanolamine(plasmodium,C16:0,C16:0)</v>
          </cell>
        </row>
        <row r="7485">
          <cell r="A7485" t="str">
            <v>pe_pf_16_0_18_1_c</v>
          </cell>
          <cell r="B7485" t="str">
            <v>pe_pf_16_0_18_1</v>
          </cell>
          <cell r="C7485" t="str">
            <v>Phosphatidyl ethanolamine(plasmodium,C16:0,C18:1)</v>
          </cell>
        </row>
        <row r="7486">
          <cell r="A7486" t="str">
            <v>pe_pf_18_1_18_1_c</v>
          </cell>
          <cell r="B7486" t="str">
            <v>pe_pf_18_1_18_1</v>
          </cell>
          <cell r="C7486" t="str">
            <v>Phosphatidyl ethanolamine(plasmodium,C18:1,C18:1)</v>
          </cell>
        </row>
        <row r="7487">
          <cell r="A7487" t="str">
            <v>pe_pf_18_1_18_2_c</v>
          </cell>
          <cell r="B7487" t="str">
            <v>pe_pf_18_1_18_2</v>
          </cell>
          <cell r="C7487" t="str">
            <v>Phosphatidyl ethanolamine(plasmodium,C18:1,C18:2)</v>
          </cell>
        </row>
        <row r="7488">
          <cell r="A7488" t="str">
            <v>pglyc_pf_16_0_18_1_m</v>
          </cell>
          <cell r="B7488" t="str">
            <v>pglyc_pf_16_0_18_1</v>
          </cell>
          <cell r="C7488" t="str">
            <v>Phosphatidyl glycerol(plasmodium)</v>
          </cell>
        </row>
        <row r="7489">
          <cell r="A7489" t="str">
            <v>ps_pf_18_0_18_1_c</v>
          </cell>
          <cell r="B7489" t="str">
            <v>ps_pf_18_0_18_1</v>
          </cell>
          <cell r="C7489" t="str">
            <v>Phosphatidyl serine(plasmodium,C18:0,C18:1)</v>
          </cell>
        </row>
        <row r="7490">
          <cell r="A7490" t="str">
            <v>xp4x_c</v>
          </cell>
          <cell r="B7490" t="str">
            <v>xp4x</v>
          </cell>
          <cell r="C7490" t="str">
            <v>P1,P4-Bis(5-xanthosyl)tetraphosphate</v>
          </cell>
        </row>
        <row r="7491">
          <cell r="A7491" t="str">
            <v>Hb_e</v>
          </cell>
          <cell r="B7491" t="str">
            <v>Hb</v>
          </cell>
          <cell r="C7491" t="str">
            <v>Hemoglobin</v>
          </cell>
        </row>
        <row r="7492">
          <cell r="A7492" t="str">
            <v>dag_pf_18_0_18_1_g</v>
          </cell>
          <cell r="B7492" t="str">
            <v>dag_pf_18_0_18_1</v>
          </cell>
          <cell r="C7492" t="str">
            <v>Diacylglycerol(plasmodium,C18:0,C18:1)</v>
          </cell>
        </row>
        <row r="7493">
          <cell r="A7493" t="str">
            <v>dag_pf_18_0_18_2_g</v>
          </cell>
          <cell r="B7493" t="str">
            <v>dag_pf_18_0_18_2</v>
          </cell>
          <cell r="C7493" t="str">
            <v>Diacylglycerol(plasmodium,C18:0,C18:2)</v>
          </cell>
        </row>
        <row r="7494">
          <cell r="A7494" t="str">
            <v>dag_pf_18_1_18_0_g</v>
          </cell>
          <cell r="B7494" t="str">
            <v>dag_pf_18_1_18_0</v>
          </cell>
          <cell r="C7494" t="str">
            <v>Diacylglycerol(plasmodium,C18:1,C18:0)</v>
          </cell>
        </row>
        <row r="7495">
          <cell r="A7495" t="str">
            <v>dag_pf_18_2_18_2_g</v>
          </cell>
          <cell r="B7495" t="str">
            <v>dag_pf_18_2_18_2</v>
          </cell>
          <cell r="C7495" t="str">
            <v>Diacylglycerol(plasmodium,C18:2,C18:2)</v>
          </cell>
        </row>
        <row r="7496">
          <cell r="A7496" t="str">
            <v>pchol_pf_18_1_18_1_g</v>
          </cell>
          <cell r="B7496" t="str">
            <v>pchol_pf_18_1_18_1</v>
          </cell>
          <cell r="C7496" t="str">
            <v>Phosphatidyl choline(plasmodium,C18:1,C18:1)</v>
          </cell>
        </row>
        <row r="7497">
          <cell r="A7497" t="str">
            <v>pchol_pf_18_1_18_2_g</v>
          </cell>
          <cell r="B7497" t="str">
            <v>pchol_pf_18_1_18_2</v>
          </cell>
          <cell r="C7497" t="str">
            <v>Phosphatidyl choline(plasmodium,C18:1,C18:2)</v>
          </cell>
        </row>
        <row r="7498">
          <cell r="A7498" t="str">
            <v>pchol_pf_18_2_18_2_g</v>
          </cell>
          <cell r="B7498" t="str">
            <v>pchol_pf_18_2_18_2</v>
          </cell>
          <cell r="C7498" t="str">
            <v>Phosphatidyl choline(plasmodium,C18:2,C18:2)</v>
          </cell>
        </row>
        <row r="7499">
          <cell r="A7499" t="str">
            <v>3haACP_h</v>
          </cell>
          <cell r="B7499" t="str">
            <v>3haACP</v>
          </cell>
          <cell r="C7499" t="str">
            <v>(3R)-3-Hydroxyacyl-[acyl-carrier protein]</v>
          </cell>
        </row>
        <row r="7500">
          <cell r="A7500" t="str">
            <v>grxrd_h</v>
          </cell>
          <cell r="B7500" t="str">
            <v>grxrd</v>
          </cell>
          <cell r="C7500" t="str">
            <v>Glutaredoxin (reduced)</v>
          </cell>
        </row>
        <row r="7501">
          <cell r="A7501" t="str">
            <v>polypep_l</v>
          </cell>
          <cell r="B7501" t="str">
            <v>polypep</v>
          </cell>
          <cell r="C7501" t="str">
            <v>Polypeptide</v>
          </cell>
        </row>
        <row r="7502">
          <cell r="A7502" t="str">
            <v>2ohph_m</v>
          </cell>
          <cell r="B7502" t="str">
            <v>2ohph</v>
          </cell>
          <cell r="C7502" t="str">
            <v>2-Octaprenyl-6-hydroxyphenol</v>
          </cell>
        </row>
        <row r="7503">
          <cell r="A7503" t="str">
            <v>2ombzl_m</v>
          </cell>
          <cell r="B7503" t="str">
            <v>2ombzl</v>
          </cell>
          <cell r="C7503" t="str">
            <v>2-Octaprenyl-6-methoxy-1,4-benzoquinol</v>
          </cell>
        </row>
        <row r="7504">
          <cell r="A7504" t="str">
            <v>2omph_m</v>
          </cell>
          <cell r="B7504" t="str">
            <v>2omph</v>
          </cell>
          <cell r="C7504" t="str">
            <v>2-Octaprenyl-6-methoxyphenol</v>
          </cell>
        </row>
        <row r="7505">
          <cell r="A7505" t="str">
            <v>2oph_m</v>
          </cell>
          <cell r="B7505" t="str">
            <v>2oph</v>
          </cell>
          <cell r="C7505" t="str">
            <v>2-Octaprenylphenol</v>
          </cell>
        </row>
        <row r="7506">
          <cell r="A7506" t="str">
            <v>clpn_pf_16_0_18_1_16_0_18_1_m</v>
          </cell>
          <cell r="B7506" t="str">
            <v>clpn_pf_16_0_18_1_16_0_18_1</v>
          </cell>
          <cell r="C7506" t="str">
            <v>Cardiolipin(plasmodium)</v>
          </cell>
        </row>
        <row r="7507">
          <cell r="A7507" t="str">
            <v>mql4_m</v>
          </cell>
          <cell r="B7507" t="str">
            <v>mql4</v>
          </cell>
          <cell r="C7507" t="str">
            <v>Menaquinol4</v>
          </cell>
        </row>
        <row r="7508">
          <cell r="A7508" t="str">
            <v>m4gacpail_pf_18_0_18_1_16_0_r</v>
          </cell>
          <cell r="B7508" t="str">
            <v>m4gacpail_pf_18_0_18_1_16_0</v>
          </cell>
          <cell r="C7508" t="str">
            <v>Tetramannosyl-glucosaminyl-acylphosphatidyl inositol(plasmodium,C18:0,C18:1,C16:0)</v>
          </cell>
        </row>
        <row r="7509">
          <cell r="A7509" t="str">
            <v>mem3gacpail_pf_18_0_18_1_16_0_r</v>
          </cell>
          <cell r="B7509" t="str">
            <v>mem3gacpail_pf_18_0_18_1_16_0</v>
          </cell>
          <cell r="C7509" t="str">
            <v>Mannosyl,phosphoethanolaminyl,trimannosyl-glucosaminyl-acylphosphatidyl inositol(plasmodium,C18:0,C18:1,C16:0)</v>
          </cell>
        </row>
        <row r="7510">
          <cell r="A7510" t="str">
            <v>2dr5p_x</v>
          </cell>
          <cell r="B7510" t="str">
            <v>2dr5p</v>
          </cell>
          <cell r="C7510" t="str">
            <v>2-Deoxy-D-ribose 5-phosphate</v>
          </cell>
        </row>
        <row r="7511">
          <cell r="A7511" t="str">
            <v>ru5p__D_x</v>
          </cell>
          <cell r="B7511" t="str">
            <v>ru5p__D</v>
          </cell>
          <cell r="C7511" t="str">
            <v>D-Ribulose 5-phosphate</v>
          </cell>
        </row>
        <row r="7512">
          <cell r="A7512" t="str">
            <v>b_D_glucose_e</v>
          </cell>
          <cell r="B7512" t="str">
            <v>b_D_glucose</v>
          </cell>
          <cell r="C7512" t="str">
            <v>B DASH D DASH glucose c</v>
          </cell>
        </row>
        <row r="7513">
          <cell r="A7513" t="str">
            <v>arg__L_x</v>
          </cell>
          <cell r="B7513" t="str">
            <v>arg__L</v>
          </cell>
          <cell r="C7513" t="str">
            <v>L-Arginine</v>
          </cell>
        </row>
        <row r="7514">
          <cell r="A7514" t="str">
            <v>3hhACP_m</v>
          </cell>
          <cell r="B7514" t="str">
            <v>3hhACP</v>
          </cell>
          <cell r="C7514" t="str">
            <v xml:space="preserve"> R  3 Hydroxyhexanoyl acp C6H11O2X</v>
          </cell>
        </row>
        <row r="7515">
          <cell r="A7515" t="str">
            <v>3hdeACP_m</v>
          </cell>
          <cell r="B7515" t="str">
            <v>3hdeACP</v>
          </cell>
          <cell r="C7515" t="str">
            <v xml:space="preserve"> 3R  3 Hydroxydecanoyl acyl carrier protein C10H19O2X</v>
          </cell>
        </row>
        <row r="7516">
          <cell r="A7516" t="str">
            <v>2tocdACP_m</v>
          </cell>
          <cell r="B7516" t="str">
            <v>2tocdACP</v>
          </cell>
          <cell r="C7516" t="str">
            <v>Trans Octadec 2 enoyl acyl carrier protein C18H33OX</v>
          </cell>
        </row>
        <row r="7517">
          <cell r="A7517" t="str">
            <v>3hbutcoa_m</v>
          </cell>
          <cell r="B7517" t="str">
            <v>3hbutcoa</v>
          </cell>
          <cell r="C7517" t="str">
            <v xml:space="preserve"> S  3 Hydroxybutyryl CoA C25H38N7O18P3S</v>
          </cell>
        </row>
        <row r="7518">
          <cell r="A7518" t="str">
            <v>octACP_m</v>
          </cell>
          <cell r="B7518" t="str">
            <v>octACP</v>
          </cell>
          <cell r="C7518" t="str">
            <v>Octodecanoyl-ACP</v>
          </cell>
        </row>
        <row r="7519">
          <cell r="A7519" t="str">
            <v>decACP_m</v>
          </cell>
          <cell r="B7519" t="str">
            <v>decACP</v>
          </cell>
          <cell r="C7519" t="str">
            <v>Decanoyl acyl carrier protein C10H19OX</v>
          </cell>
        </row>
        <row r="7520">
          <cell r="A7520" t="str">
            <v>3oxtdACP_m</v>
          </cell>
          <cell r="B7520" t="str">
            <v>3oxtdACP</v>
          </cell>
          <cell r="C7520" t="str">
            <v>3 Oxotetradecanoyl acyl carrier protein C14H25O2X</v>
          </cell>
        </row>
        <row r="7521">
          <cell r="A7521" t="str">
            <v>tdd2coa_m</v>
          </cell>
          <cell r="B7521" t="str">
            <v>tdd2coa</v>
          </cell>
          <cell r="C7521" t="str">
            <v>Trans Tetradec 2 enoyl CoA C35H56N7O17P3S</v>
          </cell>
        </row>
        <row r="7522">
          <cell r="A7522" t="str">
            <v>ddd2coa_m</v>
          </cell>
          <cell r="B7522" t="str">
            <v>ddd2coa</v>
          </cell>
          <cell r="C7522" t="str">
            <v>Trans Dodec 2 enoyl CoA C33H52N7O17P3S</v>
          </cell>
        </row>
        <row r="7523">
          <cell r="A7523" t="str">
            <v>hxd2coa_m</v>
          </cell>
          <cell r="B7523" t="str">
            <v>hxd2coa</v>
          </cell>
          <cell r="C7523" t="str">
            <v>Trans Hex 2 enoyl CoA C27H40N7O17P3S</v>
          </cell>
        </row>
        <row r="7524">
          <cell r="A7524" t="str">
            <v>butd2coa_m</v>
          </cell>
          <cell r="B7524" t="str">
            <v>butd2coa</v>
          </cell>
          <cell r="C7524" t="str">
            <v>Trans But 2 enoyl CoA C25H36N7O17P3S</v>
          </cell>
        </row>
        <row r="7525">
          <cell r="A7525" t="str">
            <v>alincoa_m</v>
          </cell>
          <cell r="B7525" t="str">
            <v>alincoa</v>
          </cell>
          <cell r="C7525" t="str">
            <v>Alpha Linoyl CoA  n C1839 12 15CoA  C39H60N7O17P3S</v>
          </cell>
        </row>
        <row r="7526">
          <cell r="A7526" t="str">
            <v>lincoa_m</v>
          </cell>
          <cell r="B7526" t="str">
            <v>lincoa</v>
          </cell>
          <cell r="C7526" t="str">
            <v>Linoleoyl CoA  n C1829 12CoA  C39H62N7O17P3S</v>
          </cell>
        </row>
        <row r="7527">
          <cell r="A7527" t="str">
            <v>ethap_c</v>
          </cell>
          <cell r="B7527" t="str">
            <v>ethap</v>
          </cell>
          <cell r="C7527" t="str">
            <v>Ethanolamine phosphate C2H7NO4P</v>
          </cell>
        </row>
        <row r="7528">
          <cell r="A7528" t="str">
            <v>pe_LM_m</v>
          </cell>
          <cell r="B7528" t="str">
            <v>pe_LM</v>
          </cell>
          <cell r="C7528" t="str">
            <v>Phosphatidylethanolamine C4040H7524N100O800P100</v>
          </cell>
        </row>
        <row r="7529">
          <cell r="A7529" t="str">
            <v>strcoa_x</v>
          </cell>
          <cell r="B7529" t="str">
            <v>strcoa</v>
          </cell>
          <cell r="C7529" t="str">
            <v>Stearyl CoA  n C180CoA  C39H66N7O17P3S</v>
          </cell>
        </row>
        <row r="7530">
          <cell r="A7530" t="str">
            <v>CDPdag_LM_m</v>
          </cell>
          <cell r="B7530" t="str">
            <v>CDPdag_LM</v>
          </cell>
          <cell r="C7530" t="str">
            <v>CDP diacylglycerol  L major  C4740H8024N300O1500P200</v>
          </cell>
        </row>
        <row r="7531">
          <cell r="A7531" t="str">
            <v>pglyp_LM_m</v>
          </cell>
          <cell r="B7531" t="str">
            <v>pglyp_LM</v>
          </cell>
          <cell r="C7531" t="str">
            <v>Phosphatidylglycerophosphate  L major  C4140H7424O1300P200</v>
          </cell>
        </row>
        <row r="7532">
          <cell r="A7532" t="str">
            <v>ru5p__L_x</v>
          </cell>
          <cell r="B7532" t="str">
            <v>ru5p__L</v>
          </cell>
          <cell r="C7532" t="str">
            <v>L-Ribulose 5-phosphate</v>
          </cell>
        </row>
        <row r="7533">
          <cell r="A7533" t="str">
            <v>5a4icam_c</v>
          </cell>
          <cell r="B7533" t="str">
            <v>5a4icam</v>
          </cell>
          <cell r="C7533" t="str">
            <v>5 Amino 4 imidazolecarboxyamide C4H6N4O</v>
          </cell>
        </row>
        <row r="7534">
          <cell r="A7534" t="str">
            <v>trpdox_n</v>
          </cell>
          <cell r="B7534" t="str">
            <v>trpdox</v>
          </cell>
          <cell r="C7534" t="str">
            <v>Oxidized tryparedoxin X</v>
          </cell>
        </row>
        <row r="7535">
          <cell r="A7535" t="str">
            <v>gmp_r</v>
          </cell>
          <cell r="B7535" t="str">
            <v>gmp</v>
          </cell>
          <cell r="C7535" t="str">
            <v>GMP C10H12N5O8P</v>
          </cell>
        </row>
        <row r="7536">
          <cell r="A7536" t="str">
            <v>3dsphgn_r</v>
          </cell>
          <cell r="B7536" t="str">
            <v>3dsphgn</v>
          </cell>
          <cell r="C7536" t="str">
            <v>3 Dehydrosphinganine C18H38NO2</v>
          </cell>
        </row>
        <row r="7537">
          <cell r="A7537" t="str">
            <v>ethap_r</v>
          </cell>
          <cell r="B7537" t="str">
            <v>ethap</v>
          </cell>
          <cell r="C7537" t="str">
            <v>Ethanolamine phosphate C2H7NO4P</v>
          </cell>
        </row>
        <row r="7538">
          <cell r="A7538" t="str">
            <v>3mbutdhla_m</v>
          </cell>
          <cell r="B7538" t="str">
            <v>3mbutdhla</v>
          </cell>
          <cell r="C7538" t="str">
            <v>S  3 Methylbutanoyl  dihydrolipoamide C13H25NO2S2</v>
          </cell>
        </row>
        <row r="7539">
          <cell r="A7539" t="str">
            <v>hibcoa_m</v>
          </cell>
          <cell r="B7539" t="str">
            <v>hibcoa</v>
          </cell>
          <cell r="C7539" t="str">
            <v xml:space="preserve"> S  3 Hydroxyisobutyryl CoA C25H38N7O18P3S</v>
          </cell>
        </row>
        <row r="7540">
          <cell r="A7540" t="str">
            <v>clpn_LM_m</v>
          </cell>
          <cell r="B7540" t="str">
            <v>clpn_LM</v>
          </cell>
          <cell r="C7540" t="str">
            <v>Cardiolipin  L major  C7980H14248O1700P200</v>
          </cell>
        </row>
        <row r="7541">
          <cell r="A7541" t="str">
            <v>CLP_c</v>
          </cell>
          <cell r="B7541" t="str">
            <v>CLP</v>
          </cell>
          <cell r="C7541" t="str">
            <v>Cross-linked peptidoglycan</v>
          </cell>
        </row>
        <row r="7542">
          <cell r="A7542" t="str">
            <v>actn__S_c</v>
          </cell>
          <cell r="B7542" t="str">
            <v>actn__S</v>
          </cell>
          <cell r="C7542" t="str">
            <v>S-acetoin</v>
          </cell>
        </row>
        <row r="7543">
          <cell r="A7543" t="str">
            <v>LIPID_c</v>
          </cell>
          <cell r="B7543" t="str">
            <v>LIPID</v>
          </cell>
          <cell r="C7543" t="str">
            <v>Lipid</v>
          </cell>
        </row>
        <row r="7544">
          <cell r="A7544" t="str">
            <v>abdmagdpu_c</v>
          </cell>
          <cell r="B7544" t="str">
            <v>abdmagdpu</v>
          </cell>
          <cell r="C7544" t="str">
            <v>N-acetyl-beta-D-mannosaminyl-1,4-N-acetyl-D-glucosaminyldiphosphoundecaprenol</v>
          </cell>
        </row>
        <row r="7545">
          <cell r="A7545" t="str">
            <v>a24op_c</v>
          </cell>
          <cell r="B7545" t="str">
            <v>a24op</v>
          </cell>
          <cell r="C7545" t="str">
            <v>2-amino-4-oxopentanoate</v>
          </cell>
        </row>
        <row r="7546">
          <cell r="A7546" t="str">
            <v>dah35_c</v>
          </cell>
          <cell r="B7546" t="str">
            <v>dah35</v>
          </cell>
          <cell r="C7546" t="str">
            <v>(3S,5S)-3,5-diaminohexanoate</v>
          </cell>
        </row>
        <row r="7547">
          <cell r="A7547" t="str">
            <v>RNA_c</v>
          </cell>
          <cell r="B7547" t="str">
            <v>RNA</v>
          </cell>
          <cell r="C7547" t="str">
            <v>Ribonucleic acid</v>
          </cell>
        </row>
        <row r="7548">
          <cell r="A7548" t="str">
            <v>ppat_c</v>
          </cell>
          <cell r="B7548" t="str">
            <v>ppat</v>
          </cell>
          <cell r="C7548" t="str">
            <v>Phosphonate</v>
          </cell>
        </row>
        <row r="7549">
          <cell r="A7549" t="str">
            <v>m2but_c</v>
          </cell>
          <cell r="B7549" t="str">
            <v>m2but</v>
          </cell>
          <cell r="C7549" t="str">
            <v>2-Methylbutyric acid</v>
          </cell>
        </row>
        <row r="7550">
          <cell r="A7550" t="str">
            <v>mevR_e</v>
          </cell>
          <cell r="B7550" t="str">
            <v>mevR</v>
          </cell>
          <cell r="C7550" t="str">
            <v>(R)-mevalonate</v>
          </cell>
        </row>
        <row r="7551">
          <cell r="A7551" t="str">
            <v>fuc_e</v>
          </cell>
          <cell r="B7551" t="str">
            <v>fuc</v>
          </cell>
          <cell r="C7551" t="str">
            <v>L-fuculose</v>
          </cell>
        </row>
        <row r="7552">
          <cell r="A7552" t="str">
            <v>dhptd_e</v>
          </cell>
          <cell r="B7552" t="str">
            <v>dhptd</v>
          </cell>
          <cell r="C7552" t="str">
            <v>4,5-dihydroxy-2,3-pentanedione</v>
          </cell>
        </row>
        <row r="7553">
          <cell r="A7553" t="str">
            <v>ibtol_c</v>
          </cell>
          <cell r="B7553" t="str">
            <v>ibtol</v>
          </cell>
          <cell r="C7553" t="str">
            <v>Isobutanol</v>
          </cell>
        </row>
        <row r="7554">
          <cell r="A7554" t="str">
            <v>CELLWALL_c</v>
          </cell>
          <cell r="B7554" t="str">
            <v>CELLWALL</v>
          </cell>
          <cell r="C7554" t="str">
            <v>Cell wall</v>
          </cell>
        </row>
        <row r="7555">
          <cell r="A7555" t="str">
            <v>fesm_c</v>
          </cell>
          <cell r="B7555" t="str">
            <v>fesm</v>
          </cell>
          <cell r="C7555" t="str">
            <v>Methylated corrinoid Fe-S protein</v>
          </cell>
        </row>
        <row r="7556">
          <cell r="A7556" t="str">
            <v>dtbt_e</v>
          </cell>
          <cell r="B7556" t="str">
            <v>dtbt</v>
          </cell>
          <cell r="C7556" t="str">
            <v>Dethiobiotin</v>
          </cell>
        </row>
        <row r="7557">
          <cell r="A7557" t="str">
            <v>a5pn_e</v>
          </cell>
          <cell r="B7557" t="str">
            <v>a5pn</v>
          </cell>
          <cell r="C7557" t="str">
            <v>5-aminopentanoate</v>
          </cell>
        </row>
        <row r="7558">
          <cell r="A7558" t="str">
            <v>p3pyr_c</v>
          </cell>
          <cell r="B7558" t="str">
            <v>p3pyr</v>
          </cell>
          <cell r="C7558" t="str">
            <v>3-Phosphonopyruvate</v>
          </cell>
        </row>
        <row r="7559">
          <cell r="A7559" t="str">
            <v>abg4_c</v>
          </cell>
          <cell r="B7559" t="str">
            <v>abg4</v>
          </cell>
          <cell r="C7559" t="str">
            <v>4-aminobenzoate-glutamate</v>
          </cell>
        </row>
        <row r="7560">
          <cell r="A7560" t="str">
            <v>ival_e</v>
          </cell>
          <cell r="B7560" t="str">
            <v>ival</v>
          </cell>
          <cell r="C7560" t="str">
            <v>Isovalerate</v>
          </cell>
        </row>
        <row r="7561">
          <cell r="A7561" t="str">
            <v>elecacceptoxi_c</v>
          </cell>
          <cell r="B7561" t="str">
            <v>elecacceptoxi</v>
          </cell>
          <cell r="C7561" t="str">
            <v>Oxidized electron acceptor</v>
          </cell>
        </row>
        <row r="7562">
          <cell r="A7562" t="str">
            <v>tgt_e</v>
          </cell>
          <cell r="B7562" t="str">
            <v>tgt</v>
          </cell>
          <cell r="C7562" t="str">
            <v>Tagatose</v>
          </cell>
        </row>
        <row r="7563">
          <cell r="A7563" t="str">
            <v>h23k5mt1pp_c</v>
          </cell>
          <cell r="B7563" t="str">
            <v>h23k5mt1pp</v>
          </cell>
          <cell r="C7563" t="str">
            <v>2-hydroxy-3-keto-5-methylthio-1-phosphopentene</v>
          </cell>
        </row>
        <row r="7564">
          <cell r="A7564" t="str">
            <v>escut_c</v>
          </cell>
          <cell r="B7564" t="str">
            <v>escut</v>
          </cell>
          <cell r="C7564" t="str">
            <v>Esculetin</v>
          </cell>
        </row>
        <row r="7565">
          <cell r="A7565" t="str">
            <v>SOLPOOL_c</v>
          </cell>
          <cell r="B7565" t="str">
            <v>SOLPOOL</v>
          </cell>
          <cell r="C7565" t="str">
            <v>Solute Pools</v>
          </cell>
        </row>
        <row r="7566">
          <cell r="A7566" t="str">
            <v>PROTEIN_c</v>
          </cell>
          <cell r="B7566" t="str">
            <v>PROTEIN</v>
          </cell>
          <cell r="C7566" t="str">
            <v>Protein</v>
          </cell>
        </row>
        <row r="7567">
          <cell r="A7567" t="str">
            <v>palmacd_c</v>
          </cell>
          <cell r="B7567" t="str">
            <v>palmacd</v>
          </cell>
          <cell r="C7567" t="str">
            <v>Palmitic acid (Hexadecanoic aicd)   C16:0</v>
          </cell>
        </row>
        <row r="7568">
          <cell r="A7568" t="str">
            <v>palmacp_c</v>
          </cell>
          <cell r="B7568" t="str">
            <v>palmacp</v>
          </cell>
          <cell r="C7568" t="str">
            <v>Palmitoyl-[acp]</v>
          </cell>
        </row>
        <row r="7569">
          <cell r="A7569" t="str">
            <v>sracp_c</v>
          </cell>
          <cell r="B7569" t="str">
            <v>sracp</v>
          </cell>
          <cell r="C7569" t="str">
            <v>Stearoyl-Acp</v>
          </cell>
        </row>
        <row r="7570">
          <cell r="A7570" t="str">
            <v>deccoa_c</v>
          </cell>
          <cell r="B7570" t="str">
            <v>deccoa</v>
          </cell>
          <cell r="C7570" t="str">
            <v>Decanoyl-CoA</v>
          </cell>
        </row>
        <row r="7571">
          <cell r="A7571" t="str">
            <v>srcoa_c</v>
          </cell>
          <cell r="B7571" t="str">
            <v>srcoa</v>
          </cell>
          <cell r="C7571" t="str">
            <v>Stearoyl-CoA</v>
          </cell>
        </row>
        <row r="7572">
          <cell r="A7572" t="str">
            <v>h3hacp_c</v>
          </cell>
          <cell r="B7572" t="str">
            <v>h3hacp</v>
          </cell>
          <cell r="C7572" t="str">
            <v>(3R)-3-hydroxyhexanoyl-[acp]</v>
          </cell>
        </row>
        <row r="7573">
          <cell r="A7573" t="str">
            <v>h3decacp_c</v>
          </cell>
          <cell r="B7573" t="str">
            <v>h3decacp</v>
          </cell>
          <cell r="C7573" t="str">
            <v>(3R)-3-hydroxydecanoyl-[acp]</v>
          </cell>
        </row>
        <row r="7574">
          <cell r="A7574" t="str">
            <v>p3almacp_c</v>
          </cell>
          <cell r="B7574" t="str">
            <v>p3almacp</v>
          </cell>
          <cell r="C7574" t="str">
            <v>(3R)-3hydroxypalmitoyl-[acp]</v>
          </cell>
        </row>
        <row r="7575">
          <cell r="A7575" t="str">
            <v>d3eccoa_c</v>
          </cell>
          <cell r="B7575" t="str">
            <v>d3eccoa</v>
          </cell>
          <cell r="C7575" t="str">
            <v>(S)-Hydroxydecanoyl-CoA</v>
          </cell>
        </row>
        <row r="7576">
          <cell r="A7576" t="str">
            <v>d3odeccoa_c</v>
          </cell>
          <cell r="B7576" t="str">
            <v>d3odeccoa</v>
          </cell>
          <cell r="C7576" t="str">
            <v>(S)-3-Hydroxydodecanoyl-CoA</v>
          </cell>
        </row>
        <row r="7577">
          <cell r="A7577" t="str">
            <v>m3yristcoa_c</v>
          </cell>
          <cell r="B7577" t="str">
            <v>m3yristcoa</v>
          </cell>
          <cell r="C7577" t="str">
            <v>(S)-3-Hydroxytetradecanoyl-CoA</v>
          </cell>
        </row>
        <row r="7578">
          <cell r="A7578" t="str">
            <v>ox3xooctacp_c</v>
          </cell>
          <cell r="B7578" t="str">
            <v>ox3xooctacp</v>
          </cell>
          <cell r="C7578" t="str">
            <v>3-oxo-octanoyl-[acp]</v>
          </cell>
        </row>
        <row r="7579">
          <cell r="A7579" t="str">
            <v>o3xodecacp_c</v>
          </cell>
          <cell r="B7579" t="str">
            <v>o3xodecacp</v>
          </cell>
          <cell r="C7579" t="str">
            <v>3-oxo-decanoyl-[acp]</v>
          </cell>
        </row>
        <row r="7580">
          <cell r="A7580" t="str">
            <v>o3xododecacp_c</v>
          </cell>
          <cell r="B7580" t="str">
            <v>o3xododecacp</v>
          </cell>
          <cell r="C7580" t="str">
            <v>3-oxo-dodecanoyl-[acp]</v>
          </cell>
        </row>
        <row r="7581">
          <cell r="A7581" t="str">
            <v>oxo3dodeccoa_c</v>
          </cell>
          <cell r="B7581" t="str">
            <v>oxo3dodeccoa</v>
          </cell>
          <cell r="C7581" t="str">
            <v>3-oxo-dodecanoyl-coa</v>
          </cell>
        </row>
        <row r="7582">
          <cell r="A7582" t="str">
            <v>b2eacp_c</v>
          </cell>
          <cell r="B7582" t="str">
            <v>b2eacp</v>
          </cell>
          <cell r="C7582" t="str">
            <v>But-2-enoyl-[acyl-carrier protein]</v>
          </cell>
        </row>
        <row r="7583">
          <cell r="A7583" t="str">
            <v>acacacp_c</v>
          </cell>
          <cell r="B7583" t="str">
            <v>acacacp</v>
          </cell>
          <cell r="C7583" t="str">
            <v>Acetoacetyl-[acp]</v>
          </cell>
        </row>
        <row r="7584">
          <cell r="A7584" t="str">
            <v>mglucsyldpalmgl_c</v>
          </cell>
          <cell r="B7584" t="str">
            <v>mglucsyldpalmgl</v>
          </cell>
          <cell r="C7584" t="str">
            <v>Monoglucosyl-1,2 dipalmitoylglycerol</v>
          </cell>
        </row>
        <row r="7585">
          <cell r="A7585" t="str">
            <v>mglucsyldmygl_c</v>
          </cell>
          <cell r="B7585" t="str">
            <v>mglucsyldmygl</v>
          </cell>
          <cell r="C7585" t="str">
            <v>Monoglucosyl-1,2 dimyristoylglycerol</v>
          </cell>
        </row>
        <row r="7586">
          <cell r="A7586" t="str">
            <v>dgludpalmgl_c</v>
          </cell>
          <cell r="B7586" t="str">
            <v>dgludpalmgl</v>
          </cell>
          <cell r="C7586" t="str">
            <v>Diglucosyl-1,2 dipalmitoylglycerol</v>
          </cell>
        </row>
        <row r="7587">
          <cell r="A7587" t="str">
            <v>dgdi12hexdec_c</v>
          </cell>
          <cell r="B7587" t="str">
            <v>dgdi12hexdec</v>
          </cell>
          <cell r="C7587" t="str">
            <v>1,2-Diacyl-sn-glycerol dihexadecanoyl</v>
          </cell>
        </row>
        <row r="7588">
          <cell r="A7588" t="str">
            <v>cdpoctdecglc_c</v>
          </cell>
          <cell r="B7588" t="str">
            <v>cdpoctdecglc</v>
          </cell>
          <cell r="C7588" t="str">
            <v>CDP-1,2-dioctadecanoylglycerol</v>
          </cell>
        </row>
        <row r="7589">
          <cell r="A7589" t="str">
            <v>pgpdihexdec_c</v>
          </cell>
          <cell r="B7589" t="str">
            <v>pgpdihexdec</v>
          </cell>
          <cell r="C7589" t="str">
            <v>Phosphatidylglycerophosphate dihexadecanoyl</v>
          </cell>
        </row>
        <row r="7590">
          <cell r="A7590" t="str">
            <v>phosglcditetdec_c</v>
          </cell>
          <cell r="B7590" t="str">
            <v>phosglcditetdec</v>
          </cell>
          <cell r="C7590" t="str">
            <v>Phosphatidylglycerol ditetradecanoyl</v>
          </cell>
        </row>
        <row r="7591">
          <cell r="A7591" t="str">
            <v>phosglcdioctdec_c</v>
          </cell>
          <cell r="B7591" t="str">
            <v>phosglcdioctdec</v>
          </cell>
          <cell r="C7591" t="str">
            <v>Phosphatidylglycerol dioctadecanoyl</v>
          </cell>
        </row>
        <row r="7592">
          <cell r="A7592" t="str">
            <v>palmphgl_c</v>
          </cell>
          <cell r="B7592" t="str">
            <v>palmphgl</v>
          </cell>
          <cell r="C7592" t="str">
            <v>Palmitoyllysylphophatidylglycerol</v>
          </cell>
        </row>
        <row r="7593">
          <cell r="A7593" t="str">
            <v>strcdlpn_c</v>
          </cell>
          <cell r="B7593" t="str">
            <v>strcdlpn</v>
          </cell>
          <cell r="C7593" t="str">
            <v>Stearoylcardiolipin</v>
          </cell>
        </row>
        <row r="7594">
          <cell r="A7594" t="str">
            <v>selenlhcys_c</v>
          </cell>
          <cell r="B7594" t="str">
            <v>selenlhcys</v>
          </cell>
          <cell r="C7594" t="str">
            <v>Seleno-L-homocysteine</v>
          </cell>
        </row>
        <row r="7595">
          <cell r="A7595" t="str">
            <v>1ag180_e</v>
          </cell>
          <cell r="B7595" t="str">
            <v>1ag180</v>
          </cell>
          <cell r="C7595" t="str">
            <v>1 Acyl sn glycerol  octadecanoate</v>
          </cell>
        </row>
        <row r="7596">
          <cell r="A7596" t="str">
            <v>1ag182d9d12_e</v>
          </cell>
          <cell r="B7596" t="str">
            <v>1ag182d9d12</v>
          </cell>
          <cell r="C7596" t="str">
            <v>1 Acyl sn glycerol  nC182d9d12</v>
          </cell>
        </row>
        <row r="7597">
          <cell r="A7597" t="str">
            <v>3_rhma13unaga_c</v>
          </cell>
          <cell r="B7597" t="str">
            <v>3_rhma13unaga</v>
          </cell>
          <cell r="C7597" t="str">
            <v>3n Rhamnosyl alfa 1  3   N acetyl glucosamine undecaprenyl diphosphate</v>
          </cell>
        </row>
        <row r="7598">
          <cell r="A7598" t="str">
            <v>3h6athcoa_c</v>
          </cell>
          <cell r="B7598" t="str">
            <v>3h6athcoa</v>
          </cell>
          <cell r="C7598" t="str">
            <v>3 Hydroxy 6 acetylthiohexanoyl CoA</v>
          </cell>
        </row>
        <row r="7599">
          <cell r="A7599" t="str">
            <v>3hdd5coa_c</v>
          </cell>
          <cell r="B7599" t="str">
            <v>3hdd5coa</v>
          </cell>
          <cell r="C7599" t="str">
            <v>3-hydroxy-(5Z)-dodecenoyl-CoA</v>
          </cell>
        </row>
        <row r="7600">
          <cell r="A7600" t="str">
            <v>3hddccoa_c</v>
          </cell>
          <cell r="B7600" t="str">
            <v>3hddccoa</v>
          </cell>
          <cell r="C7600" t="str">
            <v>S  3 hydroxy  5Z  dodedecenyl CoA</v>
          </cell>
        </row>
        <row r="7601">
          <cell r="A7601" t="str">
            <v>3hhdd4coa_c</v>
          </cell>
          <cell r="B7601" t="str">
            <v>3hhdd4coa</v>
          </cell>
          <cell r="C7601" t="str">
            <v>S  3 hydroxy  4Z  hexadecenyl CoA</v>
          </cell>
        </row>
        <row r="7602">
          <cell r="A7602" t="str">
            <v>3hhdd7coa_c</v>
          </cell>
          <cell r="B7602" t="str">
            <v>3hhdd7coa</v>
          </cell>
          <cell r="C7602" t="str">
            <v>S  3 hydroxy  7Z  hexadecenyl CoA</v>
          </cell>
        </row>
        <row r="7603">
          <cell r="A7603" t="str">
            <v>3hlnlccoa_c</v>
          </cell>
          <cell r="B7603" t="str">
            <v>3hlnlccoa</v>
          </cell>
          <cell r="C7603" t="str">
            <v>S  3 hydroxy  9Z 12Z  octadecedienyl CoA</v>
          </cell>
        </row>
        <row r="7604">
          <cell r="A7604" t="str">
            <v>3hnonacoa_c</v>
          </cell>
          <cell r="B7604" t="str">
            <v>3hnonacoa</v>
          </cell>
          <cell r="C7604" t="str">
            <v>3 Hydroxynonanoyl CoA</v>
          </cell>
        </row>
        <row r="7605">
          <cell r="A7605" t="str">
            <v>3hpdecacoa_c</v>
          </cell>
          <cell r="B7605" t="str">
            <v>3hpdecacoa</v>
          </cell>
          <cell r="C7605" t="str">
            <v>3 Hydroxyphenyldecanoyl CoA</v>
          </cell>
        </row>
        <row r="7606">
          <cell r="A7606" t="str">
            <v>3hpoctacoa_c</v>
          </cell>
          <cell r="B7606" t="str">
            <v>3hpoctacoa</v>
          </cell>
          <cell r="C7606" t="str">
            <v>3 Hydroxyphenyloctanoyl CoA</v>
          </cell>
        </row>
        <row r="7607">
          <cell r="A7607" t="str">
            <v>3hpptcoa_c</v>
          </cell>
          <cell r="B7607" t="str">
            <v>3hpptcoa</v>
          </cell>
          <cell r="C7607" t="str">
            <v>3 Hydroxyphenylpentanoyl CoA</v>
          </cell>
        </row>
        <row r="7608">
          <cell r="A7608" t="str">
            <v>3odec4coa_c</v>
          </cell>
          <cell r="B7608" t="str">
            <v>3odec4coa</v>
          </cell>
          <cell r="C7608" t="str">
            <v>3 oxo 4Z decenoyl CoA</v>
          </cell>
        </row>
        <row r="7609">
          <cell r="A7609" t="str">
            <v>3ohpcoa_c</v>
          </cell>
          <cell r="B7609" t="str">
            <v>3ohpcoa</v>
          </cell>
          <cell r="C7609" t="str">
            <v>3 oxoheptanoyl CoA</v>
          </cell>
        </row>
        <row r="7610">
          <cell r="A7610" t="str">
            <v>3ononacoa_c</v>
          </cell>
          <cell r="B7610" t="str">
            <v>3ononacoa</v>
          </cell>
          <cell r="C7610" t="str">
            <v>3 Oxononanoyl CoA</v>
          </cell>
        </row>
        <row r="7611">
          <cell r="A7611" t="str">
            <v>3opdecacoa_c</v>
          </cell>
          <cell r="B7611" t="str">
            <v>3opdecacoa</v>
          </cell>
          <cell r="C7611" t="str">
            <v>3 Oxophenyldecanoyl CoA</v>
          </cell>
        </row>
        <row r="7612">
          <cell r="A7612" t="str">
            <v>3ophpcoa_c</v>
          </cell>
          <cell r="B7612" t="str">
            <v>3ophpcoa</v>
          </cell>
          <cell r="C7612" t="str">
            <v>3 Oxophenylheptanoyl CoA</v>
          </cell>
        </row>
        <row r="7613">
          <cell r="A7613" t="str">
            <v>3optslacoa_c</v>
          </cell>
          <cell r="B7613" t="str">
            <v>3optslacoa</v>
          </cell>
          <cell r="C7613" t="str">
            <v>3 oxo  6Z  octadecenyl CoA</v>
          </cell>
        </row>
        <row r="7614">
          <cell r="A7614" t="str">
            <v>6hnac_e</v>
          </cell>
          <cell r="B7614" t="str">
            <v>6hnac</v>
          </cell>
          <cell r="C7614" t="str">
            <v>6-Hydroxynicotinate</v>
          </cell>
        </row>
        <row r="7615">
          <cell r="A7615" t="str">
            <v>C100aPHA_c</v>
          </cell>
          <cell r="B7615" t="str">
            <v>C100aPHA</v>
          </cell>
          <cell r="C7615" t="str">
            <v>C100 Medium chain length aliphatic Polyhydroxyalkanote</v>
          </cell>
        </row>
        <row r="7616">
          <cell r="A7616" t="str">
            <v>C101PAH_c</v>
          </cell>
          <cell r="B7616" t="str">
            <v>C101PAH</v>
          </cell>
          <cell r="C7616" t="str">
            <v>C101 Medium chain length aliphatic Polyhydroxyalkanote</v>
          </cell>
        </row>
        <row r="7617">
          <cell r="A7617" t="str">
            <v>C121aPHA_c</v>
          </cell>
          <cell r="B7617" t="str">
            <v>C121aPHA</v>
          </cell>
          <cell r="C7617" t="str">
            <v>C121 Medium chain length Polylydroxyalkanoate</v>
          </cell>
        </row>
        <row r="7618">
          <cell r="A7618" t="str">
            <v>C121d6PHA_c</v>
          </cell>
          <cell r="B7618" t="str">
            <v>C121d6PHA</v>
          </cell>
          <cell r="C7618" t="str">
            <v>C121d5 Medium chain length Polyhydroxyalkanoate</v>
          </cell>
        </row>
        <row r="7619">
          <cell r="A7619" t="str">
            <v>C141aPHA_c</v>
          </cell>
          <cell r="B7619" t="str">
            <v>C141aPHA</v>
          </cell>
          <cell r="C7619" t="str">
            <v>C141 Medium chain length Polyhydroxyalkanoate</v>
          </cell>
        </row>
        <row r="7620">
          <cell r="A7620" t="str">
            <v>C40aPHA_c</v>
          </cell>
          <cell r="B7620" t="str">
            <v>C40aPHA</v>
          </cell>
          <cell r="C7620" t="str">
            <v>C40 Medium chain length aliphatic Polyhydroxyalcanoate</v>
          </cell>
        </row>
        <row r="7621">
          <cell r="A7621" t="str">
            <v>C60aPHA_c</v>
          </cell>
          <cell r="B7621" t="str">
            <v>C60aPHA</v>
          </cell>
          <cell r="C7621" t="str">
            <v>C60 Medium chain length aliphatic Polyhydroxyalkanoate</v>
          </cell>
        </row>
        <row r="7622">
          <cell r="A7622" t="str">
            <v>R_3h4atba_c</v>
          </cell>
          <cell r="B7622" t="str">
            <v>R_3h4atba</v>
          </cell>
          <cell r="C7622" t="str">
            <v xml:space="preserve"> 3 Hydroxy 4 acetylthiobutanoic acid</v>
          </cell>
        </row>
        <row r="7623">
          <cell r="A7623" t="str">
            <v>R_3h4atba_p</v>
          </cell>
          <cell r="B7623" t="str">
            <v>R_3h4atba</v>
          </cell>
          <cell r="C7623" t="str">
            <v xml:space="preserve"> 3 Hydroxy 4 acetylthiobutanoic acid</v>
          </cell>
        </row>
        <row r="7624">
          <cell r="A7624" t="str">
            <v>R_3h6atha_e</v>
          </cell>
          <cell r="B7624" t="str">
            <v>R_3h6atha</v>
          </cell>
          <cell r="C7624" t="str">
            <v xml:space="preserve"> 3 Hydroxy 6acetylthiohexanoic acid</v>
          </cell>
        </row>
        <row r="7625">
          <cell r="A7625" t="str">
            <v>R_3hdcaa_e</v>
          </cell>
          <cell r="B7625" t="str">
            <v>R_3hdcaa</v>
          </cell>
          <cell r="C7625" t="str">
            <v xml:space="preserve"> 3 hydroxydecanoic acid</v>
          </cell>
        </row>
        <row r="7626">
          <cell r="A7626" t="str">
            <v>R_3hdd5ea_c</v>
          </cell>
          <cell r="B7626" t="str">
            <v>R_3hdd5ea</v>
          </cell>
          <cell r="C7626" t="str">
            <v xml:space="preserve"> 3 Hydroxydodecanoic 5 en acid</v>
          </cell>
        </row>
        <row r="7627">
          <cell r="A7627" t="str">
            <v>R_3hdd5ea_p</v>
          </cell>
          <cell r="B7627" t="str">
            <v>R_3hdd5ea</v>
          </cell>
          <cell r="C7627" t="str">
            <v xml:space="preserve"> 3 Hydroxydodecanoic 5 en acid</v>
          </cell>
        </row>
        <row r="7628">
          <cell r="A7628" t="str">
            <v>R_3hdda_c</v>
          </cell>
          <cell r="B7628" t="str">
            <v>R_3hdda</v>
          </cell>
          <cell r="C7628" t="str">
            <v xml:space="preserve"> 3 Hydroxydodecanoic acid</v>
          </cell>
        </row>
        <row r="7629">
          <cell r="A7629" t="str">
            <v>R_3hdda_p</v>
          </cell>
          <cell r="B7629" t="str">
            <v>R_3hdda</v>
          </cell>
          <cell r="C7629" t="str">
            <v xml:space="preserve"> 3 Hydroxydodecanoic acid</v>
          </cell>
        </row>
        <row r="7630">
          <cell r="A7630" t="str">
            <v>R_3hhpa_c</v>
          </cell>
          <cell r="B7630" t="str">
            <v>R_3hhpa</v>
          </cell>
          <cell r="C7630" t="str">
            <v xml:space="preserve"> 3 hydroxyheptanoic acid</v>
          </cell>
        </row>
        <row r="7631">
          <cell r="A7631" t="str">
            <v>R_3hhpa_p</v>
          </cell>
          <cell r="B7631" t="str">
            <v>R_3hhpa</v>
          </cell>
          <cell r="C7631" t="str">
            <v xml:space="preserve"> 3 hydroxyheptanoic acid</v>
          </cell>
        </row>
        <row r="7632">
          <cell r="A7632" t="str">
            <v>R_3hnonaa_e</v>
          </cell>
          <cell r="B7632" t="str">
            <v>R_3hnonaa</v>
          </cell>
          <cell r="C7632" t="str">
            <v xml:space="preserve"> 3 hydroxynonanoic acid</v>
          </cell>
        </row>
        <row r="7633">
          <cell r="A7633" t="str">
            <v>R_3hpba_e</v>
          </cell>
          <cell r="B7633" t="str">
            <v>R_3hpba</v>
          </cell>
          <cell r="C7633" t="str">
            <v xml:space="preserve"> 3 Hydroxyphenylbutanoic acid</v>
          </cell>
        </row>
        <row r="7634">
          <cell r="A7634" t="str">
            <v>R_3hpbcoa_c</v>
          </cell>
          <cell r="B7634" t="str">
            <v>R_3hpbcoa</v>
          </cell>
          <cell r="C7634" t="str">
            <v xml:space="preserve"> 3 Hydroxyphenylbutanoyl CoA</v>
          </cell>
        </row>
        <row r="7635">
          <cell r="A7635" t="str">
            <v>R_3hpdeca_e</v>
          </cell>
          <cell r="B7635" t="str">
            <v>R_3hpdeca</v>
          </cell>
          <cell r="C7635" t="str">
            <v xml:space="preserve"> 3 Hydroxy 10 phenyldecanoic acid</v>
          </cell>
        </row>
        <row r="7636">
          <cell r="A7636" t="str">
            <v>R_3hphpa_e</v>
          </cell>
          <cell r="B7636" t="str">
            <v>R_3hphpa</v>
          </cell>
          <cell r="C7636" t="str">
            <v xml:space="preserve"> 3 Hydroxy 7 phenylheptanoic acid</v>
          </cell>
        </row>
        <row r="7637">
          <cell r="A7637" t="str">
            <v>R_3hppta_e</v>
          </cell>
          <cell r="B7637" t="str">
            <v>R_3hppta</v>
          </cell>
          <cell r="C7637" t="str">
            <v xml:space="preserve"> 3 Hydroxy 5 phenylpentanoic acic</v>
          </cell>
        </row>
        <row r="7638">
          <cell r="A7638" t="str">
            <v>R_3hpt_e</v>
          </cell>
          <cell r="B7638" t="str">
            <v>R_3hpt</v>
          </cell>
          <cell r="C7638" t="str">
            <v xml:space="preserve"> 3 Hydroxypentanoic acid</v>
          </cell>
        </row>
        <row r="7639">
          <cell r="A7639" t="str">
            <v>R_3htd58coa_c</v>
          </cell>
          <cell r="B7639" t="str">
            <v>R_3htd58coa</v>
          </cell>
          <cell r="C7639" t="str">
            <v xml:space="preserve"> 3 hydroxy  5Z 8Z  tetradecedienyl CoA</v>
          </cell>
        </row>
        <row r="7640">
          <cell r="A7640" t="str">
            <v>aac24dab_c</v>
          </cell>
          <cell r="B7640" t="str">
            <v>aac24dab</v>
          </cell>
          <cell r="C7640" t="str">
            <v>N alpha AcetylL 2 4 diaminobutyrate</v>
          </cell>
        </row>
        <row r="7641">
          <cell r="A7641" t="str">
            <v>actn__R_p</v>
          </cell>
          <cell r="B7641" t="str">
            <v>actn__R</v>
          </cell>
          <cell r="C7641" t="str">
            <v xml:space="preserve"> R  Acetoin C4H8O2</v>
          </cell>
        </row>
        <row r="7642">
          <cell r="A7642" t="str">
            <v>alahis_c</v>
          </cell>
          <cell r="B7642" t="str">
            <v>alahis</v>
          </cell>
          <cell r="C7642" t="str">
            <v>L alaninylhistidine</v>
          </cell>
        </row>
        <row r="7643">
          <cell r="A7643" t="str">
            <v>alahis_p</v>
          </cell>
          <cell r="B7643" t="str">
            <v>alahis</v>
          </cell>
          <cell r="C7643" t="str">
            <v>L alaninylhistidine</v>
          </cell>
        </row>
        <row r="7644">
          <cell r="A7644" t="str">
            <v>alatrp_e</v>
          </cell>
          <cell r="B7644" t="str">
            <v>alatrp</v>
          </cell>
          <cell r="C7644" t="str">
            <v>L alaninyltryptophan</v>
          </cell>
        </row>
        <row r="7645">
          <cell r="A7645" t="str">
            <v>algac_MG_32_e</v>
          </cell>
          <cell r="B7645" t="str">
            <v>algac_MG_32</v>
          </cell>
          <cell r="C7645" t="str">
            <v>Alginate  3 units of acetylated D mannuronate and 2 units ofL guluronate</v>
          </cell>
        </row>
        <row r="7646">
          <cell r="A7646" t="str">
            <v>algac_MG_41_p</v>
          </cell>
          <cell r="B7646" t="str">
            <v>algac_MG_41</v>
          </cell>
          <cell r="C7646" t="str">
            <v>Alginate  4 units of acetylated D mannuronate and one unit ofL guluronate</v>
          </cell>
        </row>
        <row r="7647">
          <cell r="A7647" t="str">
            <v>algac__M_p</v>
          </cell>
          <cell r="B7647" t="str">
            <v>algac__M</v>
          </cell>
          <cell r="C7647" t="str">
            <v>Alginate  5 units of  D mannuronate completelly acetylated</v>
          </cell>
        </row>
        <row r="7648">
          <cell r="A7648" t="str">
            <v>asn__D_e</v>
          </cell>
          <cell r="B7648" t="str">
            <v>asn__D</v>
          </cell>
          <cell r="C7648" t="str">
            <v>D Asparagine</v>
          </cell>
        </row>
        <row r="7649">
          <cell r="A7649" t="str">
            <v>balaala_c</v>
          </cell>
          <cell r="B7649" t="str">
            <v>balaala</v>
          </cell>
          <cell r="C7649" t="str">
            <v>Beta alanylL alanine</v>
          </cell>
        </row>
        <row r="7650">
          <cell r="A7650" t="str">
            <v>balaala_p</v>
          </cell>
          <cell r="B7650" t="str">
            <v>balaala</v>
          </cell>
          <cell r="C7650" t="str">
            <v>Beta alanylL alanine</v>
          </cell>
        </row>
        <row r="7651">
          <cell r="A7651" t="str">
            <v>balabala_c</v>
          </cell>
          <cell r="B7651" t="str">
            <v>balabala</v>
          </cell>
          <cell r="C7651" t="str">
            <v>Beta alanyl beta alanine</v>
          </cell>
        </row>
        <row r="7652">
          <cell r="A7652" t="str">
            <v>balabala_p</v>
          </cell>
          <cell r="B7652" t="str">
            <v>balabala</v>
          </cell>
          <cell r="C7652" t="str">
            <v>Beta alanyl beta alanine</v>
          </cell>
        </row>
        <row r="7653">
          <cell r="A7653" t="str">
            <v>balamd_c</v>
          </cell>
          <cell r="B7653" t="str">
            <v>balamd</v>
          </cell>
          <cell r="C7653" t="str">
            <v>Beta Alaninamide</v>
          </cell>
        </row>
        <row r="7654">
          <cell r="A7654" t="str">
            <v>balamd_p</v>
          </cell>
          <cell r="B7654" t="str">
            <v>balamd</v>
          </cell>
          <cell r="C7654" t="str">
            <v>Beta Alaninamide</v>
          </cell>
        </row>
        <row r="7655">
          <cell r="A7655" t="str">
            <v>cinnm_p</v>
          </cell>
          <cell r="B7655" t="str">
            <v>cinnm</v>
          </cell>
          <cell r="C7655" t="str">
            <v>Trans-Cinnamate</v>
          </cell>
        </row>
        <row r="7656">
          <cell r="A7656" t="str">
            <v>clpn161e9_p</v>
          </cell>
          <cell r="B7656" t="str">
            <v>clpn161e9</v>
          </cell>
          <cell r="C7656" t="str">
            <v>Cardiolipin  tetrahexadec  9E  enoyl  n C161  trans</v>
          </cell>
        </row>
        <row r="7657">
          <cell r="A7657" t="str">
            <v>cro2_e</v>
          </cell>
          <cell r="B7657" t="str">
            <v>cro2</v>
          </cell>
          <cell r="C7657" t="str">
            <v>Chromite</v>
          </cell>
        </row>
        <row r="7658">
          <cell r="A7658" t="str">
            <v>dded3coa_c</v>
          </cell>
          <cell r="B7658" t="str">
            <v>dded3coa</v>
          </cell>
          <cell r="C7658" t="str">
            <v>Cis dodedec 3 enoyl CoAdodedecenoyl CoA  n C121d3CoA</v>
          </cell>
        </row>
        <row r="7659">
          <cell r="A7659" t="str">
            <v>dec4_2_coa_c</v>
          </cell>
          <cell r="B7659" t="str">
            <v>dec4_2_coa</v>
          </cell>
          <cell r="C7659" t="str">
            <v>2 trans 4 cis decadienoyl CoA</v>
          </cell>
        </row>
        <row r="7660">
          <cell r="A7660" t="str">
            <v>dgudbutn_e</v>
          </cell>
          <cell r="B7660" t="str">
            <v>dgudbutn</v>
          </cell>
          <cell r="C7660" t="str">
            <v>1 4 Diguanidinobutane</v>
          </cell>
        </row>
        <row r="7661">
          <cell r="A7661" t="str">
            <v>dmanur_p</v>
          </cell>
          <cell r="B7661" t="str">
            <v>dmanur</v>
          </cell>
          <cell r="C7661" t="str">
            <v>Dimmer of D mannuronate</v>
          </cell>
        </row>
        <row r="7662">
          <cell r="A7662" t="str">
            <v>fe3pyovd_p</v>
          </cell>
          <cell r="B7662" t="str">
            <v>fe3pyovd</v>
          </cell>
          <cell r="C7662" t="str">
            <v>Ferrypyoverdine</v>
          </cell>
        </row>
        <row r="7663">
          <cell r="A7663" t="str">
            <v>ggallpsc_kt_c</v>
          </cell>
          <cell r="B7663" t="str">
            <v>ggallpsc_kt</v>
          </cell>
          <cell r="C7663" t="str">
            <v>Glucosyl  1 4  galactosyl  1 3  heptosyl  1 3  heptosyl  1 5  kdo2 lipidA</v>
          </cell>
        </row>
        <row r="7664">
          <cell r="A7664" t="str">
            <v>ggbamppal_c</v>
          </cell>
          <cell r="B7664" t="str">
            <v>ggbamppal</v>
          </cell>
          <cell r="C7664" t="str">
            <v>Gamma glutamyl beta Aminopropion aldehyde</v>
          </cell>
        </row>
        <row r="7665">
          <cell r="A7665" t="str">
            <v>ggspmd_c</v>
          </cell>
          <cell r="B7665" t="str">
            <v>ggspmd</v>
          </cell>
          <cell r="C7665" t="str">
            <v>Gamma glutamyl spermidine</v>
          </cell>
        </row>
        <row r="7666">
          <cell r="A7666" t="str">
            <v>glutar_p</v>
          </cell>
          <cell r="B7666" t="str">
            <v>glutar</v>
          </cell>
          <cell r="C7666" t="str">
            <v>Glutarate</v>
          </cell>
        </row>
        <row r="7667">
          <cell r="A7667" t="str">
            <v>glygln_c</v>
          </cell>
          <cell r="B7667" t="str">
            <v>glygln</v>
          </cell>
          <cell r="C7667" t="str">
            <v>L glycinylglutamine</v>
          </cell>
        </row>
        <row r="7668">
          <cell r="A7668" t="str">
            <v>glygln_p</v>
          </cell>
          <cell r="B7668" t="str">
            <v>glygln</v>
          </cell>
          <cell r="C7668" t="str">
            <v>L glycinylglutamine</v>
          </cell>
        </row>
        <row r="7669">
          <cell r="A7669" t="str">
            <v>glymet_e</v>
          </cell>
          <cell r="B7669" t="str">
            <v>glymet</v>
          </cell>
          <cell r="C7669" t="str">
            <v>L Glycinylmethionine</v>
          </cell>
        </row>
        <row r="7670">
          <cell r="A7670" t="str">
            <v>glyser_e</v>
          </cell>
          <cell r="B7670" t="str">
            <v>glyser</v>
          </cell>
          <cell r="C7670" t="str">
            <v>L glycinylserine</v>
          </cell>
        </row>
        <row r="7671">
          <cell r="A7671" t="str">
            <v>gudac_p</v>
          </cell>
          <cell r="B7671" t="str">
            <v>gudac</v>
          </cell>
          <cell r="C7671" t="str">
            <v>Guanidinoacetate</v>
          </cell>
        </row>
        <row r="7672">
          <cell r="A7672" t="str">
            <v>hd710_2_coa_c</v>
          </cell>
          <cell r="B7672" t="str">
            <v>hd710_2_coa</v>
          </cell>
          <cell r="C7672" t="str">
            <v>Trans cis cis hexadeca 2 7 10 trienoyl CoA</v>
          </cell>
        </row>
        <row r="7673">
          <cell r="A7673" t="str">
            <v>hethapphlipa_c</v>
          </cell>
          <cell r="B7673" t="str">
            <v>hethapphlipa</v>
          </cell>
          <cell r="C7673" t="str">
            <v>Heptosyl  1 3  ethanolaminephosphate    2  phospho   4  heptosyl  1 5  kdo2 lipidA</v>
          </cell>
        </row>
        <row r="7674">
          <cell r="A7674" t="str">
            <v>hgentis_p</v>
          </cell>
          <cell r="B7674" t="str">
            <v>hgentis</v>
          </cell>
          <cell r="C7674" t="str">
            <v>Homogentisate C8H7O4</v>
          </cell>
        </row>
        <row r="7675">
          <cell r="A7675" t="str">
            <v>hisgly_e</v>
          </cell>
          <cell r="B7675" t="str">
            <v>hisgly</v>
          </cell>
          <cell r="C7675" t="str">
            <v>L histidinylglycine</v>
          </cell>
        </row>
        <row r="7676">
          <cell r="A7676" t="str">
            <v>hlipa_kt_c</v>
          </cell>
          <cell r="B7676" t="str">
            <v>hlipa_kt</v>
          </cell>
          <cell r="C7676" t="str">
            <v>Heptosyl kdo2 lipidA from pseudomonas</v>
          </cell>
        </row>
        <row r="7677">
          <cell r="A7677" t="str">
            <v>hpta_e</v>
          </cell>
          <cell r="B7677" t="str">
            <v>hpta</v>
          </cell>
          <cell r="C7677" t="str">
            <v>Heptanoate</v>
          </cell>
        </row>
        <row r="7678">
          <cell r="A7678" t="str">
            <v>hphlipa_kt_c</v>
          </cell>
          <cell r="B7678" t="str">
            <v>hphlipa_kt</v>
          </cell>
          <cell r="C7678" t="str">
            <v>Heptosyl  1 3  phospho   4  heptosyl  1 5  kdo2 lipidA</v>
          </cell>
        </row>
        <row r="7679">
          <cell r="A7679" t="str">
            <v>ind3ac_p</v>
          </cell>
          <cell r="B7679" t="str">
            <v>ind3ac</v>
          </cell>
          <cell r="C7679" t="str">
            <v>Indole 3 acetate C10H8NO2</v>
          </cell>
        </row>
        <row r="7680">
          <cell r="A7680" t="str">
            <v>kdo2lipid4_kt_c</v>
          </cell>
          <cell r="B7680" t="str">
            <v>kdo2lipid4_kt</v>
          </cell>
          <cell r="C7680" t="str">
            <v>KDO 2  lipid IV A   pseudomonas</v>
          </cell>
        </row>
        <row r="7681">
          <cell r="A7681" t="str">
            <v>lys__D_p</v>
          </cell>
          <cell r="B7681" t="str">
            <v>lys__D</v>
          </cell>
          <cell r="C7681" t="str">
            <v>D-Lysine</v>
          </cell>
        </row>
        <row r="7682">
          <cell r="A7682" t="str">
            <v>mcbtt_p</v>
          </cell>
          <cell r="B7682" t="str">
            <v>mcbtt</v>
          </cell>
          <cell r="C7682" t="str">
            <v>Mycobactin T</v>
          </cell>
        </row>
        <row r="7683">
          <cell r="A7683" t="str">
            <v>n5horn_c</v>
          </cell>
          <cell r="B7683" t="str">
            <v>n5horn</v>
          </cell>
          <cell r="C7683" t="str">
            <v>N5 hydroxyL ornithine</v>
          </cell>
        </row>
        <row r="7684">
          <cell r="A7684" t="str">
            <v>nonacoa_c</v>
          </cell>
          <cell r="B7684" t="str">
            <v>nonacoa</v>
          </cell>
          <cell r="C7684" t="str">
            <v>Nonanoyl CoA</v>
          </cell>
        </row>
        <row r="7685">
          <cell r="A7685" t="str">
            <v>pe181e11_p</v>
          </cell>
          <cell r="B7685" t="str">
            <v>pe181e11</v>
          </cell>
          <cell r="C7685" t="str">
            <v>Phosphatidylethanolamine  dioctadec  11E  enoyl  n C181 trans</v>
          </cell>
        </row>
        <row r="7686">
          <cell r="A7686" t="str">
            <v>phe__D_e</v>
          </cell>
          <cell r="B7686" t="str">
            <v>phe__D</v>
          </cell>
          <cell r="C7686" t="str">
            <v>D-phenylalanine</v>
          </cell>
        </row>
        <row r="7687">
          <cell r="A7687" t="str">
            <v>phedca_e</v>
          </cell>
          <cell r="B7687" t="str">
            <v>phedca</v>
          </cell>
          <cell r="C7687" t="str">
            <v>10 Phenyldecanoic acid</v>
          </cell>
        </row>
        <row r="7688">
          <cell r="A7688" t="str">
            <v>phehpa_p</v>
          </cell>
          <cell r="B7688" t="str">
            <v>phehpa</v>
          </cell>
          <cell r="C7688" t="str">
            <v>7 Phenylheptanoic acid</v>
          </cell>
        </row>
        <row r="7689">
          <cell r="A7689" t="str">
            <v>phehxa_e</v>
          </cell>
          <cell r="B7689" t="str">
            <v>phehxa</v>
          </cell>
          <cell r="C7689" t="str">
            <v>6 Phenylhexanoic acid</v>
          </cell>
        </row>
        <row r="7690">
          <cell r="A7690" t="str">
            <v>pheocta_p</v>
          </cell>
          <cell r="B7690" t="str">
            <v>pheocta</v>
          </cell>
          <cell r="C7690" t="str">
            <v>8 Phenyloctanoic acid</v>
          </cell>
        </row>
        <row r="7691">
          <cell r="A7691" t="str">
            <v>phnac_c</v>
          </cell>
          <cell r="B7691" t="str">
            <v>phnac</v>
          </cell>
          <cell r="C7691" t="str">
            <v>Phosphonoacetate</v>
          </cell>
        </row>
        <row r="7692">
          <cell r="A7692" t="str">
            <v>php2coa_c</v>
          </cell>
          <cell r="B7692" t="str">
            <v>php2coa</v>
          </cell>
          <cell r="C7692" t="str">
            <v>Phenyl hepta 2 enoyl CoA</v>
          </cell>
        </row>
        <row r="7693">
          <cell r="A7693" t="str">
            <v>phpyr_p</v>
          </cell>
          <cell r="B7693" t="str">
            <v>phpyr</v>
          </cell>
          <cell r="C7693" t="str">
            <v>Phenylpyruvate</v>
          </cell>
        </row>
        <row r="7694">
          <cell r="A7694" t="str">
            <v>pnonacoa_c</v>
          </cell>
          <cell r="B7694" t="str">
            <v>pnonacoa</v>
          </cell>
          <cell r="C7694" t="str">
            <v>Phenyl nonanoyl CoA  Phe C90CoA</v>
          </cell>
        </row>
        <row r="7695">
          <cell r="A7695" t="str">
            <v>pqqA_kt_c</v>
          </cell>
          <cell r="B7695" t="str">
            <v>pqqA_kt</v>
          </cell>
          <cell r="C7695" t="str">
            <v>Peptide pqqA from Pseudomonas putida  MWTKPAYTDLRIGFEVTMYFANR</v>
          </cell>
        </row>
        <row r="7696">
          <cell r="A7696" t="str">
            <v>pqqh2_p</v>
          </cell>
          <cell r="B7696" t="str">
            <v>pqqh2</v>
          </cell>
          <cell r="C7696" t="str">
            <v>Reduced pyrroloquinoline-quinone</v>
          </cell>
        </row>
        <row r="7697">
          <cell r="A7697" t="str">
            <v>prealg_MG_32_e</v>
          </cell>
          <cell r="B7697" t="str">
            <v>prealg_MG_32</v>
          </cell>
          <cell r="C7697" t="str">
            <v>Beta 1 4 glycosidic  3  beta D mannuronic  2L guluronic acid</v>
          </cell>
        </row>
        <row r="7698">
          <cell r="A7698" t="str">
            <v>prealg_MG_41_p</v>
          </cell>
          <cell r="B7698" t="str">
            <v>prealg_MG_41</v>
          </cell>
          <cell r="C7698" t="str">
            <v>Beta 1 4 glycosidic  4  beta D mannuronic  1L guluronic acid</v>
          </cell>
        </row>
        <row r="7699">
          <cell r="A7699" t="str">
            <v>prealgac_M2_p</v>
          </cell>
          <cell r="B7699" t="str">
            <v>prealgac_M2</v>
          </cell>
          <cell r="C7699" t="str">
            <v>Polymer  5 units  of D mannuronate  2 units acetylated</v>
          </cell>
        </row>
        <row r="7700">
          <cell r="A7700" t="str">
            <v>prealgac_M4_p</v>
          </cell>
          <cell r="B7700" t="str">
            <v>prealgac_M4</v>
          </cell>
          <cell r="C7700" t="str">
            <v>Polymer  5 units  of D mannuronate  4 units acetylated</v>
          </cell>
        </row>
        <row r="7701">
          <cell r="A7701" t="str">
            <v>prealginate_G_p</v>
          </cell>
          <cell r="B7701" t="str">
            <v>prealginate_G</v>
          </cell>
          <cell r="C7701" t="str">
            <v>Prealginate KT2440   beta 1 4  linked copolymers of  bL guluronic acid 5 units</v>
          </cell>
        </row>
        <row r="7702">
          <cell r="A7702" t="str">
            <v>pro__D_p</v>
          </cell>
          <cell r="B7702" t="str">
            <v>pro__D</v>
          </cell>
          <cell r="C7702" t="str">
            <v>D-Proline</v>
          </cell>
        </row>
        <row r="7703">
          <cell r="A7703" t="str">
            <v>ptsla_p</v>
          </cell>
          <cell r="B7703" t="str">
            <v>ptsla</v>
          </cell>
          <cell r="C7703" t="str">
            <v>Petroselaidic acid</v>
          </cell>
        </row>
        <row r="7704">
          <cell r="A7704" t="str">
            <v>ptslacoa_c</v>
          </cell>
          <cell r="B7704" t="str">
            <v>ptslacoa</v>
          </cell>
          <cell r="C7704" t="str">
            <v>Petroselenic coenzyme A</v>
          </cell>
        </row>
        <row r="7705">
          <cell r="A7705" t="str">
            <v>sbo3_c</v>
          </cell>
          <cell r="B7705" t="str">
            <v>sbo3</v>
          </cell>
          <cell r="C7705" t="str">
            <v>Antimonite</v>
          </cell>
        </row>
        <row r="7706">
          <cell r="A7706" t="str">
            <v>sbo3_p</v>
          </cell>
          <cell r="B7706" t="str">
            <v>sbo3</v>
          </cell>
          <cell r="C7706" t="str">
            <v>Antimonite</v>
          </cell>
        </row>
        <row r="7707">
          <cell r="A7707" t="str">
            <v>tag181d9_e</v>
          </cell>
          <cell r="B7707" t="str">
            <v>tag181d9</v>
          </cell>
          <cell r="C7707" t="str">
            <v>Triacylglycerol  nC181d9</v>
          </cell>
        </row>
        <row r="7708">
          <cell r="A7708" t="str">
            <v>tag182d9d12_e</v>
          </cell>
          <cell r="B7708" t="str">
            <v>tag182d9d12</v>
          </cell>
          <cell r="C7708" t="str">
            <v>Triacylglycerol  nC182d9d12</v>
          </cell>
        </row>
        <row r="7709">
          <cell r="A7709" t="str">
            <v>td58_2_coa_c</v>
          </cell>
          <cell r="B7709" t="str">
            <v>td58_2_coa</v>
          </cell>
          <cell r="C7709" t="str">
            <v>Trans cis cis tetradec 2 5 8 trienoyl CoA</v>
          </cell>
        </row>
        <row r="7710">
          <cell r="A7710" t="str">
            <v>tde2coa_c</v>
          </cell>
          <cell r="B7710" t="str">
            <v>tde2coa</v>
          </cell>
          <cell r="C7710" t="str">
            <v>Trans cis tetradeca 2 7 dienoyl CoA</v>
          </cell>
        </row>
        <row r="7711">
          <cell r="A7711" t="str">
            <v>tmanur_e</v>
          </cell>
          <cell r="B7711" t="str">
            <v>tmanur</v>
          </cell>
          <cell r="C7711" t="str">
            <v>Trimmer of D mannuronate</v>
          </cell>
        </row>
        <row r="7712">
          <cell r="A7712" t="str">
            <v>trnahisqo_c</v>
          </cell>
          <cell r="B7712" t="str">
            <v>trnahisqo</v>
          </cell>
          <cell r="C7712" t="str">
            <v>L Histidyl tRNA His  epoxyqueuosine34</v>
          </cell>
        </row>
        <row r="7713">
          <cell r="A7713" t="str">
            <v>trnatyrq_c</v>
          </cell>
          <cell r="B7713" t="str">
            <v>trnatyrq</v>
          </cell>
          <cell r="C7713" t="str">
            <v>TRNA tyr  queuosine34</v>
          </cell>
        </row>
        <row r="7714">
          <cell r="A7714" t="str">
            <v>u23dddcga_c</v>
          </cell>
          <cell r="B7714" t="str">
            <v>u23dddcga</v>
          </cell>
          <cell r="C7714" t="str">
            <v>UDP 2 3 3 hydroxydode decanoyl glucosamine</v>
          </cell>
        </row>
        <row r="7715">
          <cell r="A7715" t="str">
            <v>val__D_c</v>
          </cell>
          <cell r="B7715" t="str">
            <v>val__D</v>
          </cell>
          <cell r="C7715" t="str">
            <v>D Valine</v>
          </cell>
        </row>
        <row r="7716">
          <cell r="A7716" t="str">
            <v>val__D_p</v>
          </cell>
          <cell r="B7716" t="str">
            <v>val__D</v>
          </cell>
          <cell r="C7716" t="str">
            <v>D Valine</v>
          </cell>
        </row>
        <row r="7717">
          <cell r="A7717" t="str">
            <v>4opa_c</v>
          </cell>
          <cell r="B7717" t="str">
            <v>4opa</v>
          </cell>
          <cell r="C7717" t="str">
            <v>4-oxopentanoic acid</v>
          </cell>
        </row>
        <row r="7718">
          <cell r="A7718" t="str">
            <v>und2one_c</v>
          </cell>
          <cell r="B7718" t="str">
            <v>und2one</v>
          </cell>
          <cell r="C7718" t="str">
            <v>2 Undecanone</v>
          </cell>
        </row>
        <row r="7719">
          <cell r="A7719" t="str">
            <v>und2one_p</v>
          </cell>
          <cell r="B7719" t="str">
            <v>und2one</v>
          </cell>
          <cell r="C7719" t="str">
            <v>2 Undecanone</v>
          </cell>
        </row>
        <row r="7720">
          <cell r="A7720" t="str">
            <v>hpppa_c</v>
          </cell>
          <cell r="B7720" t="str">
            <v>hpppa</v>
          </cell>
          <cell r="C7720" t="str">
            <v>Heptyl propionate</v>
          </cell>
        </row>
        <row r="7721">
          <cell r="A7721" t="str">
            <v>hxbut_c</v>
          </cell>
          <cell r="B7721" t="str">
            <v>hxbut</v>
          </cell>
          <cell r="C7721" t="str">
            <v>Hexyl butirate</v>
          </cell>
        </row>
        <row r="7722">
          <cell r="A7722" t="str">
            <v>4hptn_e</v>
          </cell>
          <cell r="B7722" t="str">
            <v>4hptn</v>
          </cell>
          <cell r="C7722" t="str">
            <v>4 Hydroxypentanoate</v>
          </cell>
        </row>
        <row r="7723">
          <cell r="A7723" t="str">
            <v>4oxptcoa_c</v>
          </cell>
          <cell r="B7723" t="str">
            <v>4oxptcoa</v>
          </cell>
          <cell r="C7723" t="str">
            <v>4 Oxopentanoyl CoA</v>
          </cell>
        </row>
        <row r="7724">
          <cell r="A7724" t="str">
            <v>4poptcoa_c</v>
          </cell>
          <cell r="B7724" t="str">
            <v>4poptcoa</v>
          </cell>
          <cell r="C7724" t="str">
            <v>4 Phosphooxypentanoyl CoA</v>
          </cell>
        </row>
        <row r="7725">
          <cell r="A7725" t="str">
            <v>3ptcoa_c</v>
          </cell>
          <cell r="B7725" t="str">
            <v>3ptcoa</v>
          </cell>
          <cell r="C7725" t="str">
            <v>3 Pentenoyl CoA</v>
          </cell>
        </row>
        <row r="7726">
          <cell r="A7726" t="str">
            <v>pptrn_e</v>
          </cell>
          <cell r="B7726" t="str">
            <v>pptrn</v>
          </cell>
          <cell r="C7726" t="str">
            <v>L Phosphinothricin</v>
          </cell>
        </row>
        <row r="7727">
          <cell r="A7727" t="str">
            <v>mtsoxin_c</v>
          </cell>
          <cell r="B7727" t="str">
            <v>mtsoxin</v>
          </cell>
          <cell r="C7727" t="str">
            <v>Methionine sulfoximine</v>
          </cell>
        </row>
        <row r="7728">
          <cell r="A7728" t="str">
            <v>mtsoxin_p</v>
          </cell>
          <cell r="B7728" t="str">
            <v>mtsoxin</v>
          </cell>
          <cell r="C7728" t="str">
            <v>Methionine sulfoximine</v>
          </cell>
        </row>
        <row r="7729">
          <cell r="A7729" t="str">
            <v>acmtsoxin_c</v>
          </cell>
          <cell r="B7729" t="str">
            <v>acmtsoxin</v>
          </cell>
          <cell r="C7729" t="str">
            <v>N Acetylmethionine sulfoximine</v>
          </cell>
        </row>
        <row r="7730">
          <cell r="A7730" t="str">
            <v>acmtsoxin_p</v>
          </cell>
          <cell r="B7730" t="str">
            <v>acmtsoxin</v>
          </cell>
          <cell r="C7730" t="str">
            <v>N Acetylmethionine sulfoximine</v>
          </cell>
        </row>
        <row r="7731">
          <cell r="A7731" t="str">
            <v>ggagicolipamin_c</v>
          </cell>
          <cell r="B7731" t="str">
            <v>ggagicolipamin</v>
          </cell>
          <cell r="C7731" t="str">
            <v>Glucosyl-galactosyl-glucosyl-inner-core-oligosaccharide-lipid-A min</v>
          </cell>
        </row>
        <row r="7732">
          <cell r="A7732" t="str">
            <v>gggagicolipamin_c</v>
          </cell>
          <cell r="B7732" t="str">
            <v>gggagicolipamin</v>
          </cell>
          <cell r="C7732" t="str">
            <v>Glucosyl-glucosyl-galactosyl-glucosyl-inner-core-oligosaccharide-lipid-A min</v>
          </cell>
        </row>
        <row r="7733">
          <cell r="A7733" t="str">
            <v>colipaOAmin_e</v>
          </cell>
          <cell r="B7733" t="str">
            <v>colipaOAmin</v>
          </cell>
          <cell r="C7733" t="str">
            <v>Membrane LPS mixture min</v>
          </cell>
        </row>
        <row r="7734">
          <cell r="A7734" t="str">
            <v>23dhb_e</v>
          </cell>
          <cell r="B7734" t="str">
            <v>23dhb</v>
          </cell>
          <cell r="C7734" t="str">
            <v>2,3-Dihydroxybenzoate</v>
          </cell>
        </row>
        <row r="7735">
          <cell r="A7735" t="str">
            <v>colipamin_e</v>
          </cell>
          <cell r="B7735" t="str">
            <v>colipamin</v>
          </cell>
          <cell r="C7735" t="str">
            <v>Core-oligosaccharide-lipid-A min</v>
          </cell>
        </row>
        <row r="7736">
          <cell r="A7736" t="str">
            <v>LPS51_ST_e</v>
          </cell>
          <cell r="B7736" t="str">
            <v>LPS51_ST</v>
          </cell>
          <cell r="C7736" t="str">
            <v>Extracellular lipopolysaccharide group O:51 with a short O antigen polysaccharide</v>
          </cell>
        </row>
        <row r="7737">
          <cell r="A7737" t="str">
            <v>LPS66_VL_e</v>
          </cell>
          <cell r="B7737" t="str">
            <v>LPS66_VL</v>
          </cell>
          <cell r="C7737" t="str">
            <v>Extracellular lipopolysaccharide group O:66 with a very long O antigen polysaccharide</v>
          </cell>
        </row>
        <row r="7738">
          <cell r="A7738" t="str">
            <v>LPS60_VL_p</v>
          </cell>
          <cell r="B7738" t="str">
            <v>LPS60_VL</v>
          </cell>
          <cell r="C7738" t="str">
            <v>Extracellular lipopolysaccharide group O:60 with a very long O antigen polysaccharide</v>
          </cell>
        </row>
        <row r="7739">
          <cell r="A7739" t="str">
            <v>OA35_ST_p</v>
          </cell>
          <cell r="B7739" t="str">
            <v>OA35_ST</v>
          </cell>
          <cell r="C7739" t="str">
            <v>Periplasmic O antigen group O:35 polysaccharide with a short chain length (15 repeat units)</v>
          </cell>
        </row>
        <row r="7740">
          <cell r="A7740" t="str">
            <v>OA43__L_p</v>
          </cell>
          <cell r="B7740" t="str">
            <v>OA43__L</v>
          </cell>
          <cell r="C7740" t="str">
            <v>Periplasmic O antigen group O:43 polysaccharide with a long chain length (25 repeat units)</v>
          </cell>
        </row>
        <row r="7741">
          <cell r="A7741" t="str">
            <v>LPS43__L_p</v>
          </cell>
          <cell r="B7741" t="str">
            <v>LPS43__L</v>
          </cell>
          <cell r="C7741" t="str">
            <v>Periplasmic lipopolysaccharide group O:43 with a long O antigen polysaccharide</v>
          </cell>
        </row>
        <row r="7742">
          <cell r="A7742" t="str">
            <v>LPS17_VL_p</v>
          </cell>
          <cell r="B7742" t="str">
            <v>LPS17_VL</v>
          </cell>
          <cell r="C7742" t="str">
            <v>Extracellular lipopolysaccharide group O:17 with a very long O antigen polysaccharide</v>
          </cell>
        </row>
        <row r="7743">
          <cell r="A7743" t="str">
            <v>LPS16__L_e</v>
          </cell>
          <cell r="B7743" t="str">
            <v>LPS16__L</v>
          </cell>
          <cell r="C7743" t="str">
            <v>Extracellular lipopolysaccharide group O:16 with a long O antigen polysaccharide</v>
          </cell>
        </row>
        <row r="7744">
          <cell r="A7744" t="str">
            <v>OA42_VL_p</v>
          </cell>
          <cell r="B7744" t="str">
            <v>OA42_VL</v>
          </cell>
          <cell r="C7744" t="str">
            <v>Periplasmic O antigen group O:42 polysaccharide with a very long chain length (100 repeat units)</v>
          </cell>
        </row>
        <row r="7745">
          <cell r="A7745" t="str">
            <v>OA9_ST_p</v>
          </cell>
          <cell r="B7745" t="str">
            <v>OA9_ST</v>
          </cell>
          <cell r="C7745" t="str">
            <v>Periplasmic O antigen group O:9 polysaccharide with a short chain length (15 repeat units)</v>
          </cell>
        </row>
        <row r="7746">
          <cell r="A7746" t="str">
            <v>OA57__L_p</v>
          </cell>
          <cell r="B7746" t="str">
            <v>OA57__L</v>
          </cell>
          <cell r="C7746" t="str">
            <v>Periplasmic O antigen group O:57 polysaccharide with a long chain length (25 repeat units)</v>
          </cell>
        </row>
        <row r="7747">
          <cell r="A7747" t="str">
            <v>LPS8__L_e</v>
          </cell>
          <cell r="B7747" t="str">
            <v>LPS8__L</v>
          </cell>
          <cell r="C7747" t="str">
            <v>Extracellular lipopolysaccharide group O:8 with a long O antigen polysaccharide</v>
          </cell>
        </row>
        <row r="7748">
          <cell r="A7748" t="str">
            <v>LPS28ac_VL_p</v>
          </cell>
          <cell r="B7748" t="str">
            <v>LPS28ac_VL</v>
          </cell>
          <cell r="C7748" t="str">
            <v>Extracellular lipopolysaccharide group O:28ac with a very long O antigen polysaccharide</v>
          </cell>
        </row>
        <row r="7749">
          <cell r="A7749" t="str">
            <v>LPS40_VL_e</v>
          </cell>
          <cell r="B7749" t="str">
            <v>LPS40_VL</v>
          </cell>
          <cell r="C7749" t="str">
            <v>Extracellular lipopolysaccharide group O:40 with a very long O antigen polysaccharide</v>
          </cell>
        </row>
        <row r="7750">
          <cell r="A7750" t="str">
            <v>LPS57__L_e</v>
          </cell>
          <cell r="B7750" t="str">
            <v>LPS57__L</v>
          </cell>
          <cell r="C7750" t="str">
            <v>Extracellular lipopolysaccharide group O:57 with a long O antigen polysaccharide</v>
          </cell>
        </row>
        <row r="7751">
          <cell r="A7751" t="str">
            <v>LPS3_10_VL_e</v>
          </cell>
          <cell r="B7751" t="str">
            <v>LPS3_10_VL</v>
          </cell>
          <cell r="C7751" t="str">
            <v>Extracellular lipopolysaccharide group O:3 10 with a very long O antigen polysaccharide</v>
          </cell>
        </row>
        <row r="7752">
          <cell r="A7752" t="str">
            <v>LPS50_ST_e</v>
          </cell>
          <cell r="B7752" t="str">
            <v>LPS50_ST</v>
          </cell>
          <cell r="C7752" t="str">
            <v>Periplasmic lipopolysaccharide group O:50 with a short O antigen polysaccharide</v>
          </cell>
        </row>
        <row r="7753">
          <cell r="A7753" t="str">
            <v>LPS65_VL_p</v>
          </cell>
          <cell r="B7753" t="str">
            <v>LPS65_VL</v>
          </cell>
          <cell r="C7753" t="str">
            <v>Periplasmic lipopolysaccharide group O:65 with a very long O antigen polysaccharide</v>
          </cell>
        </row>
        <row r="7754">
          <cell r="A7754" t="str">
            <v>LPS47_ST_p</v>
          </cell>
          <cell r="B7754" t="str">
            <v>LPS47_ST</v>
          </cell>
          <cell r="C7754" t="str">
            <v>Extracellular lipopolysaccharide group O:47 with a short O antigen polysaccharide</v>
          </cell>
        </row>
        <row r="7755">
          <cell r="A7755" t="str">
            <v>OA4_VL_p</v>
          </cell>
          <cell r="B7755" t="str">
            <v>OA4_VL</v>
          </cell>
          <cell r="C7755" t="str">
            <v>Periplasmic O antigen group O:XX polysaccharide with a very long chain length (100 repeat units)</v>
          </cell>
        </row>
        <row r="7756">
          <cell r="A7756" t="str">
            <v>LPS4_VL_p</v>
          </cell>
          <cell r="B7756" t="str">
            <v>LPS4_VL</v>
          </cell>
          <cell r="C7756" t="str">
            <v>Periplasmic lipopolysaccharide group O:XX with a very long O antigen polysaccharide</v>
          </cell>
        </row>
        <row r="7757">
          <cell r="A7757" t="str">
            <v>OA62_ST_p</v>
          </cell>
          <cell r="B7757" t="str">
            <v>OA62_ST</v>
          </cell>
          <cell r="C7757" t="str">
            <v>Periplasmic O antigen group O:62 polysaccharide with a short chain length (15 repeat units)</v>
          </cell>
        </row>
        <row r="7758">
          <cell r="A7758" t="str">
            <v>LPS2_VL_e</v>
          </cell>
          <cell r="B7758" t="str">
            <v>LPS2_VL</v>
          </cell>
          <cell r="C7758" t="str">
            <v>Periplasmic lipopolysaccharide group O:2 with a very long O antigen polysaccharide</v>
          </cell>
        </row>
        <row r="7759">
          <cell r="A7759" t="str">
            <v>LPS44__L_e</v>
          </cell>
          <cell r="B7759" t="str">
            <v>LPS44__L</v>
          </cell>
          <cell r="C7759" t="str">
            <v>Periplasmic lipopolysaccharide group O:44 with a long O antigen polysaccharide</v>
          </cell>
        </row>
        <row r="7760">
          <cell r="A7760" t="str">
            <v>OA9_46__L_p</v>
          </cell>
          <cell r="B7760" t="str">
            <v>OA9_46__L</v>
          </cell>
          <cell r="C7760" t="str">
            <v>[Undecaprenyl-diphosphate-galactose-(alpha 1-&gt;3)-rhamnose-(alpha 1-&gt;4)-mannose-(alpha1-&gt;3)-tyvelose] 25</v>
          </cell>
        </row>
        <row r="7761">
          <cell r="A7761" t="str">
            <v>udcdpglcnac_a1_3_galnac_b1_3_gal_a1_3_gal_a1_2_fuc_p</v>
          </cell>
          <cell r="B7761" t="str">
            <v>udcdpglcnac_a1_3_galnac_b1_3_gal_a1_3_gal_a1_2_fuc</v>
          </cell>
          <cell r="C7761" t="str">
            <v>Periplasmic O antigen group O:43 repeat unit on undecaprenyl diphosphate carrier</v>
          </cell>
        </row>
        <row r="7762">
          <cell r="A7762" t="str">
            <v>OA17_ST_p</v>
          </cell>
          <cell r="B7762" t="str">
            <v>OA17_ST</v>
          </cell>
          <cell r="C7762" t="str">
            <v>Periplasmic O antigen group O:17 polysaccharide with a short chain length (15 repeat units)</v>
          </cell>
        </row>
        <row r="7763">
          <cell r="A7763" t="str">
            <v>LPS3_10_ST_e</v>
          </cell>
          <cell r="B7763" t="str">
            <v>LPS3_10_ST</v>
          </cell>
          <cell r="C7763" t="str">
            <v>Periplasmic lipopolysaccharide group O:3 10 with a short O antigen polysaccharide</v>
          </cell>
        </row>
        <row r="7764">
          <cell r="A7764" t="str">
            <v>LPS38__L_p</v>
          </cell>
          <cell r="B7764" t="str">
            <v>LPS38__L</v>
          </cell>
          <cell r="C7764" t="str">
            <v>Extracellular lipopolysaccharide group O:38 with a long O antigen polysaccharide</v>
          </cell>
        </row>
        <row r="7765">
          <cell r="A7765" t="str">
            <v>udcdpglcnac_a1_3_galnac_b1_3_gal_b1_3_glcnac_a1_4_glc_p</v>
          </cell>
          <cell r="B7765" t="str">
            <v>udcdpglcnac_a1_3_galnac_b1_3_gal_b1_3_glcnac_a1_4_glc</v>
          </cell>
          <cell r="C7765" t="str">
            <v>Periplasmic O antigen group O:51 repeat unit on undecaprenyl diphosphate carrier</v>
          </cell>
        </row>
        <row r="7766">
          <cell r="A7766" t="str">
            <v>udcdpglcnac_a1_3_galnac_b1_3_gal_b1_3_glcnac_a1_4_glc_c</v>
          </cell>
          <cell r="B7766" t="str">
            <v>udcdpglcnac_a1_3_galnac_b1_3_gal_b1_3_glcnac_a1_4_glc</v>
          </cell>
          <cell r="C7766" t="str">
            <v>Periplasmic O antigen group O:51 repeat unit on undecaprenyl diphosphate carrier</v>
          </cell>
        </row>
        <row r="7767">
          <cell r="A7767" t="str">
            <v>LPS62_VL_p</v>
          </cell>
          <cell r="B7767" t="str">
            <v>LPS62_VL</v>
          </cell>
          <cell r="C7767" t="str">
            <v>Periplasmic lipopolysaccharide group O:62 with a very long O antigen polysaccharide</v>
          </cell>
        </row>
        <row r="7768">
          <cell r="A7768" t="str">
            <v>udcdpgalnac_a1_3_b1_3_glc_a1_4_gal_a1_6_gal_c</v>
          </cell>
          <cell r="B7768" t="str">
            <v>udcdpgalnac_a1_3_b1_3_glc_a1_4_gal_a1_6_gal</v>
          </cell>
          <cell r="C7768" t="str">
            <v>Cytoplasmic O antigen group O:66 repeat unit on undecaprenyl diphosphate carrier</v>
          </cell>
        </row>
        <row r="7769">
          <cell r="A7769" t="str">
            <v>udpacgala_c</v>
          </cell>
          <cell r="B7769" t="str">
            <v>udpacgala</v>
          </cell>
          <cell r="C7769" t="str">
            <v>UDP-N-acetyl-alpha-D-galactosaminouronate</v>
          </cell>
        </row>
        <row r="7770">
          <cell r="A7770" t="str">
            <v>udcdpgalnac_a1_3_galnac_a1_4_glc_b1_4_gal_a1_4_fuc3nac_c</v>
          </cell>
          <cell r="B7770" t="str">
            <v>udcdpgalnac_a1_3_galnac_a1_4_glc_b1_4_gal_a1_4_fuc3nac</v>
          </cell>
          <cell r="C7770" t="str">
            <v>Cytoplasmic O antigen group O:63 repeat unit on undecaprenyl diphosphate carrier</v>
          </cell>
        </row>
        <row r="7771">
          <cell r="A7771" t="str">
            <v>udcdpglcnac_a1_3_rmn_a1_4_glcnac_b1_3_gal_p</v>
          </cell>
          <cell r="B7771" t="str">
            <v>udcdpglcnac_a1_3_rmn_a1_4_glcnac_b1_3_gal</v>
          </cell>
          <cell r="C7771" t="str">
            <v>Periplasmic O antigen group O:59 repeat unit on undecaprenyl diphosphate carrier</v>
          </cell>
        </row>
        <row r="7772">
          <cell r="A7772" t="str">
            <v>LPS56_ST_p</v>
          </cell>
          <cell r="B7772" t="str">
            <v>LPS56_ST</v>
          </cell>
          <cell r="C7772" t="str">
            <v>Periplasmic lipopolysaccharide group O:56 with a short O antigen polysaccharide</v>
          </cell>
        </row>
        <row r="7773">
          <cell r="A7773" t="str">
            <v>OA53__L_p</v>
          </cell>
          <cell r="B7773" t="str">
            <v>OA53__L</v>
          </cell>
          <cell r="C7773" t="str">
            <v>Periplasmic O antigen group O:53 polysaccharide with a very long chain length (100 repeat units)</v>
          </cell>
        </row>
        <row r="7774">
          <cell r="A7774" t="str">
            <v>OA52__L_p</v>
          </cell>
          <cell r="B7774" t="str">
            <v>OA52__L</v>
          </cell>
          <cell r="C7774" t="str">
            <v>Periplasmic O antigen group O:52 polysaccharide with a long chain length (25 repeat units)</v>
          </cell>
        </row>
        <row r="7775">
          <cell r="A7775" t="str">
            <v>LPS59_ST_p</v>
          </cell>
          <cell r="B7775" t="str">
            <v>LPS59_ST</v>
          </cell>
          <cell r="C7775" t="str">
            <v>Periplasmic lipopolysaccharide group O:59 with a short O antigen polysaccharide</v>
          </cell>
        </row>
        <row r="7776">
          <cell r="A7776" t="str">
            <v>LPS52__L_p</v>
          </cell>
          <cell r="B7776" t="str">
            <v>LPS52__L</v>
          </cell>
          <cell r="C7776" t="str">
            <v>Periplasmic lipopolysaccharide group O:52 with a long O antigen polysaccharide</v>
          </cell>
        </row>
        <row r="7777">
          <cell r="A7777" t="str">
            <v>OA16__L_p</v>
          </cell>
          <cell r="B7777" t="str">
            <v>OA16__L</v>
          </cell>
          <cell r="C7777" t="str">
            <v>Periplasmic O antigen group O:16 polysaccharide with a long chain length (25 repeat units)</v>
          </cell>
        </row>
        <row r="7778">
          <cell r="A7778" t="str">
            <v>udcpdpgalnac_a1_3_fucnam_c</v>
          </cell>
          <cell r="B7778" t="str">
            <v>udcpdpgalnac_a1_3_fucnam</v>
          </cell>
          <cell r="C7778" t="str">
            <v>Cytoplasmic O antigen group O:48 partial repeat unit (2) on undecaprenyl diphosphate carrier</v>
          </cell>
        </row>
        <row r="7779">
          <cell r="A7779" t="str">
            <v>udpfucnam_c</v>
          </cell>
          <cell r="B7779" t="str">
            <v>udpfucnam</v>
          </cell>
          <cell r="C7779" t="str">
            <v>UDP-2,6-dideoxy-2-acetamidino-beta-L-galactose</v>
          </cell>
        </row>
        <row r="7780">
          <cell r="A7780" t="str">
            <v>udcdpgal_a1_3_man_c</v>
          </cell>
          <cell r="B7780" t="str">
            <v>udcdpgal_a1_3_man</v>
          </cell>
          <cell r="C7780" t="str">
            <v>Cytoplasmic O antigen group O:8 partial repeat unit (1) on undecaprenyl diphosphate carrier</v>
          </cell>
        </row>
        <row r="7781">
          <cell r="A7781" t="str">
            <v>OA41_ST_p</v>
          </cell>
          <cell r="B7781" t="str">
            <v>OA41_ST</v>
          </cell>
          <cell r="C7781" t="str">
            <v>Periplasmic O antigen group O:41 polysaccharide with a long chain length (25 repeat units)</v>
          </cell>
        </row>
        <row r="7782">
          <cell r="A7782" t="str">
            <v>LPS39_VL_p</v>
          </cell>
          <cell r="B7782" t="str">
            <v>LPS39_VL</v>
          </cell>
          <cell r="C7782" t="str">
            <v>Periplasmic lipopolysaccharide group O:39 with a very long O antigen polysaccharide</v>
          </cell>
        </row>
        <row r="7783">
          <cell r="A7783" t="str">
            <v>udcdpgal_a1_3_man_a1_2_man_c</v>
          </cell>
          <cell r="B7783" t="str">
            <v>udcdpgal_a1_3_man_a1_2_man</v>
          </cell>
          <cell r="C7783" t="str">
            <v>Cytoplasmic O antigen group O:8 partial repeat unit (2) on undecaprenyl diphosphate carrier</v>
          </cell>
        </row>
        <row r="7784">
          <cell r="A7784" t="str">
            <v>udcdpgalnac_a1_3_galnac_a1_4_glc_b1_4_gal_a1_4_fuc3nac_p</v>
          </cell>
          <cell r="B7784" t="str">
            <v>udcdpgalnac_a1_3_galnac_a1_4_glc_b1_4_gal_a1_4_fuc3nac</v>
          </cell>
          <cell r="C7784" t="str">
            <v>Cytoplasmic O antigen group O:63 repeat unit on undecaprenyl diphosphate carrier</v>
          </cell>
        </row>
        <row r="7785">
          <cell r="A7785" t="str">
            <v>udcdpglcnac_b1_3_galf_b1_6_mannac_a1_3_gal_a1_4_galf_c</v>
          </cell>
          <cell r="B7785" t="str">
            <v>udcdpglcnac_b1_3_galf_b1_6_mannac_a1_3_gal_a1_4_galf</v>
          </cell>
          <cell r="C7785" t="str">
            <v>Cytoplasmic O antigen group O:17 repeat unit on undecaprenyl diphosphate carrier</v>
          </cell>
        </row>
        <row r="7786">
          <cell r="A7786" t="str">
            <v>udcdpglcnac_b1_3_galf_b1_6_mannac_a1_3_gal_a1_4_galf_p</v>
          </cell>
          <cell r="B7786" t="str">
            <v>udcdpglcnac_b1_3_galf_b1_6_mannac_a1_3_gal_a1_4_galf</v>
          </cell>
          <cell r="C7786" t="str">
            <v>Cytoplasmic O antigen group O:17 repeat unit on undecaprenyl diphosphate carrier</v>
          </cell>
        </row>
        <row r="7787">
          <cell r="A7787" t="str">
            <v>LPS47__L_e</v>
          </cell>
          <cell r="B7787" t="str">
            <v>LPS47__L</v>
          </cell>
          <cell r="C7787" t="str">
            <v>Periplasmic lipopolysaccharide group O:47 with a long O antigen polysaccharide</v>
          </cell>
        </row>
        <row r="7788">
          <cell r="A7788" t="str">
            <v>OA39__L_p</v>
          </cell>
          <cell r="B7788" t="str">
            <v>OA39__L</v>
          </cell>
          <cell r="C7788" t="str">
            <v>Periplasmic O antigen group O:39 polysaccharide with a long chain length (25 repeat units)</v>
          </cell>
        </row>
        <row r="7789">
          <cell r="A7789" t="str">
            <v>LPS7_ST_p</v>
          </cell>
          <cell r="B7789" t="str">
            <v>LPS7_ST</v>
          </cell>
          <cell r="C7789" t="str">
            <v>Periplasmic lipopolysaccharide group O:7 with a short O antigen polysaccharide</v>
          </cell>
        </row>
        <row r="7790">
          <cell r="A7790" t="str">
            <v>udcdpgal_a1_3_man_a1_2_man_b1_2_acrmn_c</v>
          </cell>
          <cell r="B7790" t="str">
            <v>udcdpgal_a1_3_man_a1_2_man_b1_2_acrmn</v>
          </cell>
          <cell r="C7790" t="str">
            <v>Cytoplasmic O antigen group O:8 partial repeat unit (4) on undecaprenyl diphosphate carrier</v>
          </cell>
        </row>
        <row r="7791">
          <cell r="A7791" t="str">
            <v>udcdpglcnac_a1_3_gal_a1_2_rmn_a1_2_rmn_b1_2_mannac_p</v>
          </cell>
          <cell r="B7791" t="str">
            <v>udcdpglcnac_a1_3_gal_a1_2_rmn_a1_2_rmn_b1_2_mannac</v>
          </cell>
          <cell r="C7791" t="str">
            <v>Periplasmic O antigen group O:42 repeat unit on undecaprenyl diphosphate carrier</v>
          </cell>
        </row>
        <row r="7792">
          <cell r="A7792" t="str">
            <v>OA42__L_p</v>
          </cell>
          <cell r="B7792" t="str">
            <v>OA42__L</v>
          </cell>
          <cell r="C7792" t="str">
            <v>Periplasmic O antigen group O:42 polysaccharide with a long chain length (25 repeat units)</v>
          </cell>
        </row>
        <row r="7793">
          <cell r="A7793" t="str">
            <v>udcpdpglcnac_a1_3_galnac_b1_3_gal_a1_2_fuc_p</v>
          </cell>
          <cell r="B7793" t="str">
            <v>udcpdpglcnac_a1_3_galnac_b1_3_gal_a1_2_fuc</v>
          </cell>
          <cell r="C7793" t="str">
            <v>Periplasmic O antigen group O:13 repeat unit on undecaprenyl diphosphate carrier</v>
          </cell>
        </row>
        <row r="7794">
          <cell r="A7794" t="str">
            <v>OA60_ST_p</v>
          </cell>
          <cell r="B7794" t="str">
            <v>OA60_ST</v>
          </cell>
          <cell r="C7794" t="str">
            <v>Periplasmic O antigen group O:60 polysaccharide with a short chain length (15 repeat units)</v>
          </cell>
        </row>
        <row r="7795">
          <cell r="A7795" t="str">
            <v>LPS13_VL_p</v>
          </cell>
          <cell r="B7795" t="str">
            <v>LPS13_VL</v>
          </cell>
          <cell r="C7795" t="str">
            <v>Extracellular lipopolysaccharide group O:13 with a very long O antigen polysaccharide</v>
          </cell>
        </row>
        <row r="7796">
          <cell r="A7796" t="str">
            <v>OA59_ST_p</v>
          </cell>
          <cell r="B7796" t="str">
            <v>OA59_ST</v>
          </cell>
          <cell r="C7796" t="str">
            <v>Periplasmic O antigen group O:59 polysaccharide with a short chain length (15 repeat units)</v>
          </cell>
        </row>
        <row r="7797">
          <cell r="A7797" t="str">
            <v>LPS65_ST_p</v>
          </cell>
          <cell r="B7797" t="str">
            <v>LPS65_ST</v>
          </cell>
          <cell r="C7797" t="str">
            <v>Periplasmic lipopolysaccharide group O:65 with a short O antigen polysaccharide</v>
          </cell>
        </row>
        <row r="7798">
          <cell r="A7798" t="str">
            <v>OA6_14_ST_p</v>
          </cell>
          <cell r="B7798" t="str">
            <v>OA6_14_ST</v>
          </cell>
          <cell r="C7798" t="str">
            <v>Periplasmic O antigen group O:6 14 polysaccharide with a short chain length (15 repeat units)</v>
          </cell>
        </row>
        <row r="7799">
          <cell r="A7799" t="str">
            <v>gdpcol_c</v>
          </cell>
          <cell r="B7799" t="str">
            <v>gdpcol</v>
          </cell>
          <cell r="C7799" t="str">
            <v>GDP-beta-L-colitose</v>
          </cell>
        </row>
        <row r="7800">
          <cell r="A7800" t="str">
            <v>udcdpgalnac_a13_gal_b1_3_b13_gal_a12_c</v>
          </cell>
          <cell r="B7800" t="str">
            <v>udcdpgalnac_a13_gal_b1_3_b13_gal_a12</v>
          </cell>
          <cell r="C7800" t="str">
            <v>Cytoplasmic O antigen group O:18 repeat unit on undecaprenyl diphosphate carrier</v>
          </cell>
        </row>
        <row r="7801">
          <cell r="A7801" t="str">
            <v>LPS62__L_e</v>
          </cell>
          <cell r="B7801" t="str">
            <v>LPS62__L</v>
          </cell>
          <cell r="C7801" t="str">
            <v>Extracellular lipopolysaccharide group O:62 with a long O antigen polysaccharide</v>
          </cell>
        </row>
        <row r="7802">
          <cell r="A7802" t="str">
            <v>udcdpglcnac_a1_3_rmn_a1_4_glcnac_b1_3_gal_c</v>
          </cell>
          <cell r="B7802" t="str">
            <v>udcdpglcnac_a1_3_rmn_a1_4_glcnac_b1_3_gal</v>
          </cell>
          <cell r="C7802" t="str">
            <v>Periplasmic O antigen group O:59 repeat unit on undecaprenyl diphosphate carrier</v>
          </cell>
        </row>
        <row r="7803">
          <cell r="A7803" t="str">
            <v>LPS45_VL_p</v>
          </cell>
          <cell r="B7803" t="str">
            <v>LPS45_VL</v>
          </cell>
          <cell r="C7803" t="str">
            <v>Periplasmic lipopolysaccharide group O:45 with a very long O antigen polysaccharide</v>
          </cell>
        </row>
        <row r="7804">
          <cell r="A7804" t="str">
            <v>OA38_VL_p</v>
          </cell>
          <cell r="B7804" t="str">
            <v>OA38_VL</v>
          </cell>
          <cell r="C7804" t="str">
            <v>Periplasmic O antigen group O:38 polysaccharide with a very long chain length (100 repeat units)</v>
          </cell>
        </row>
        <row r="7805">
          <cell r="A7805" t="str">
            <v>LPS57_ST_p</v>
          </cell>
          <cell r="B7805" t="str">
            <v>LPS57_ST</v>
          </cell>
          <cell r="C7805" t="str">
            <v>Extracellular lipopolysaccharide group O:57 with a short O antigen polysaccharide</v>
          </cell>
        </row>
        <row r="7806">
          <cell r="A7806" t="str">
            <v>LPS21__L_p</v>
          </cell>
          <cell r="B7806" t="str">
            <v>LPS21__L</v>
          </cell>
          <cell r="C7806" t="str">
            <v>Extracellular lipopolysaccharide group O:21 with a long O antigen polysaccharide</v>
          </cell>
        </row>
        <row r="7807">
          <cell r="A7807" t="str">
            <v>OA3_10_VL_p</v>
          </cell>
          <cell r="B7807" t="str">
            <v>OA3_10_VL</v>
          </cell>
          <cell r="C7807" t="str">
            <v>Periplasmic O antigen group O:3 10 polysaccharide with a very long chain length (100 repeat units)</v>
          </cell>
        </row>
        <row r="7808">
          <cell r="A7808" t="str">
            <v>udpadgluc_c</v>
          </cell>
          <cell r="B7808" t="str">
            <v>udpadgluc</v>
          </cell>
          <cell r="C7808" t="str">
            <v xml:space="preserve">UDP-2-acetamido-2-deoxy-alpha-D-glucuronate </v>
          </cell>
        </row>
        <row r="7809">
          <cell r="A7809" t="str">
            <v>LPS59__L_e</v>
          </cell>
          <cell r="B7809" t="str">
            <v>LPS59__L</v>
          </cell>
          <cell r="C7809" t="str">
            <v>Periplasmic lipopolysaccharide group O:59 with a long O antigen polysaccharide</v>
          </cell>
        </row>
        <row r="7810">
          <cell r="A7810" t="str">
            <v>udcdpglcnac_a1_3_gal_a1_2_rmn_a1_2_rmn_b1_2_mannac_c</v>
          </cell>
          <cell r="B7810" t="str">
            <v>udcdpglcnac_a1_3_gal_a1_2_rmn_a1_2_rmn_b1_2_mannac</v>
          </cell>
          <cell r="C7810" t="str">
            <v>Periplasmic O antigen group O:42 repeat unit on undecaprenyl diphosphate carrier</v>
          </cell>
        </row>
        <row r="7811">
          <cell r="A7811" t="str">
            <v>dtdp3a36ddgalp_c</v>
          </cell>
          <cell r="B7811" t="str">
            <v>dtdp3a36ddgalp</v>
          </cell>
          <cell r="C7811" t="str">
            <v>DTDP-3-amino-3,6-dideoxy-alpha-D-galactopyranose</v>
          </cell>
        </row>
        <row r="7812">
          <cell r="A7812" t="str">
            <v>LPS35_ST_e</v>
          </cell>
          <cell r="B7812" t="str">
            <v>LPS35_ST</v>
          </cell>
          <cell r="C7812" t="str">
            <v>Periplasmic lipopolysaccharide group O:35 with a short O antigen polysaccharide</v>
          </cell>
        </row>
        <row r="7813">
          <cell r="A7813" t="str">
            <v>LPS21_VL_e</v>
          </cell>
          <cell r="B7813" t="str">
            <v>LPS21_VL</v>
          </cell>
          <cell r="C7813" t="str">
            <v>Extracellular lipopolysaccharide group O:21 with a very long O antigen polysaccharide</v>
          </cell>
        </row>
        <row r="7814">
          <cell r="A7814" t="str">
            <v>gdpper_c</v>
          </cell>
          <cell r="B7814" t="str">
            <v>gdpper</v>
          </cell>
          <cell r="C7814" t="str">
            <v>GDP-alpha-D-perosamine</v>
          </cell>
        </row>
        <row r="7815">
          <cell r="A7815" t="str">
            <v>LPS30_ST_e</v>
          </cell>
          <cell r="B7815" t="str">
            <v>LPS30_ST</v>
          </cell>
          <cell r="C7815" t="str">
            <v>Extracellular lipopolysaccharide group O:30 with a short O antigen polysaccharide</v>
          </cell>
        </row>
        <row r="7816">
          <cell r="A7816" t="str">
            <v>OA8_ST_p</v>
          </cell>
          <cell r="B7816" t="str">
            <v>OA8_ST</v>
          </cell>
          <cell r="C7816" t="str">
            <v>Periplasmic O antigen group O:8 polysaccharide with a short chain length (15 repeat units)</v>
          </cell>
        </row>
        <row r="7817">
          <cell r="A7817" t="str">
            <v>udcdpgalnac_a13_gal_b1_3_b13_gal_a12_p</v>
          </cell>
          <cell r="B7817" t="str">
            <v>udcdpgalnac_a13_gal_b1_3_b13_gal_a12</v>
          </cell>
          <cell r="C7817" t="str">
            <v>Cytoplasmic O antigen group O:18 repeat unit on undecaprenyl diphosphate carrier</v>
          </cell>
        </row>
        <row r="7818">
          <cell r="A7818" t="str">
            <v>udcpdpglcnac_a1_3_galnac_b1_3_gal_a1_2_fuc_c</v>
          </cell>
          <cell r="B7818" t="str">
            <v>udcpdpglcnac_a1_3_galnac_b1_3_gal_a1_2_fuc</v>
          </cell>
          <cell r="C7818" t="str">
            <v>Periplasmic O antigen group O:13 repeat unit on undecaprenyl diphosphate carrier</v>
          </cell>
        </row>
        <row r="7819">
          <cell r="A7819" t="str">
            <v>OA48_ST_p</v>
          </cell>
          <cell r="B7819" t="str">
            <v>OA48_ST</v>
          </cell>
          <cell r="C7819" t="str">
            <v>Periplasmic O antigen group O:48 polysaccharide with a short chain length (15 repeat units)</v>
          </cell>
        </row>
        <row r="7820">
          <cell r="A7820" t="str">
            <v>gdp3h5a6m36dh2p_c</v>
          </cell>
          <cell r="B7820" t="str">
            <v>gdp3h5a6m36dh2p</v>
          </cell>
          <cell r="C7820" t="str">
            <v>GDP-(2S,3S,6R)-3-hydroxy-5-amino-6-methyl-3,6-dihydro-2H-pyran</v>
          </cell>
        </row>
        <row r="7821">
          <cell r="A7821" t="str">
            <v>OA18_ST_p</v>
          </cell>
          <cell r="B7821" t="str">
            <v>OA18_ST</v>
          </cell>
          <cell r="C7821" t="str">
            <v>Periplasmic O antigen group O:18 polysaccharide with a short chain length (15 repeat units)</v>
          </cell>
        </row>
        <row r="7822">
          <cell r="A7822" t="str">
            <v>LPS18_ST_p</v>
          </cell>
          <cell r="B7822" t="str">
            <v>LPS18_ST</v>
          </cell>
          <cell r="C7822" t="str">
            <v>Periplasmic lipopolysaccharide group O:18 with a short O antigen polysaccharide</v>
          </cell>
        </row>
        <row r="7823">
          <cell r="A7823" t="str">
            <v>OA52_VL_p</v>
          </cell>
          <cell r="B7823" t="str">
            <v>OA52_VL</v>
          </cell>
          <cell r="C7823" t="str">
            <v>Periplasmic O antigen group O:52 polysaccharide with a very long chain length (100 repeat units)</v>
          </cell>
        </row>
        <row r="7824">
          <cell r="A7824" t="str">
            <v>OA48__L_p</v>
          </cell>
          <cell r="B7824" t="str">
            <v>OA48__L</v>
          </cell>
          <cell r="C7824" t="str">
            <v>Periplasmic O antigen group O:48 polysaccharide with a long chain length (25 repeat units)</v>
          </cell>
        </row>
        <row r="7825">
          <cell r="A7825" t="str">
            <v>LPS42_VL_e</v>
          </cell>
          <cell r="B7825" t="str">
            <v>LPS42_VL</v>
          </cell>
          <cell r="C7825" t="str">
            <v>Periplasmic lipopolysaccharide group O:42 with a very long O antigen polysaccharide</v>
          </cell>
        </row>
        <row r="7826">
          <cell r="A7826" t="str">
            <v>udcdpgalnac_a1_3_fuc_a1_3_man_a1_6_galnac_a1_3_fuc_c</v>
          </cell>
          <cell r="B7826" t="str">
            <v>udcdpgalnac_a1_3_fuc_a1_3_man_a1_6_galnac_a1_3_fuc</v>
          </cell>
          <cell r="C7826" t="str">
            <v>Cytoplasmic O antigen group O:16 repeat unit on undecaprenyl diphosphate carrier</v>
          </cell>
        </row>
        <row r="7827">
          <cell r="A7827" t="str">
            <v>LPS63_VL_p</v>
          </cell>
          <cell r="B7827" t="str">
            <v>LPS63_VL</v>
          </cell>
          <cell r="C7827" t="str">
            <v>Periplasmic lipopolysaccharide group O:63 with a very long O antigen polysaccharide</v>
          </cell>
        </row>
        <row r="7828">
          <cell r="A7828" t="str">
            <v>OA13__L_p</v>
          </cell>
          <cell r="B7828" t="str">
            <v>OA13__L</v>
          </cell>
          <cell r="C7828" t="str">
            <v>Periplasmic O antigen group O:13 polysaccharide with a long chain length (25 repeat units)</v>
          </cell>
        </row>
        <row r="7829">
          <cell r="A7829" t="str">
            <v>LPS28ac__L_e</v>
          </cell>
          <cell r="B7829" t="str">
            <v>LPS28ac__L</v>
          </cell>
          <cell r="C7829" t="str">
            <v>Periplasmic lipopolysaccharide group O:28ac with a long O antigen polysaccharide</v>
          </cell>
        </row>
        <row r="7830">
          <cell r="A7830" t="str">
            <v>udcdpgalnac_a1_3_fuc_a1_3_man_a1_6_galnac_a1_3_fuc_p</v>
          </cell>
          <cell r="B7830" t="str">
            <v>udcdpgalnac_a1_3_fuc_a1_3_man_a1_6_galnac_a1_3_fuc</v>
          </cell>
          <cell r="C7830" t="str">
            <v>Cytoplasmic O antigen group O:16 repeat unit on undecaprenyl diphosphate carrier</v>
          </cell>
        </row>
        <row r="7831">
          <cell r="A7831" t="str">
            <v>LPS8_VL_e</v>
          </cell>
          <cell r="B7831" t="str">
            <v>LPS8_VL</v>
          </cell>
          <cell r="C7831" t="str">
            <v>Periplasmic lipopolysaccharide group O:8 with a very long O antigen polysaccharide</v>
          </cell>
        </row>
        <row r="7832">
          <cell r="A7832" t="str">
            <v>LPS9__L_p</v>
          </cell>
          <cell r="B7832" t="str">
            <v>LPS9__L</v>
          </cell>
          <cell r="C7832" t="str">
            <v>Extracellular lipopolysaccharide group O:9 with a long O antigen polysaccharide</v>
          </cell>
        </row>
        <row r="7833">
          <cell r="A7833" t="str">
            <v>LPS57_VL_p</v>
          </cell>
          <cell r="B7833" t="str">
            <v>LPS57_VL</v>
          </cell>
          <cell r="C7833" t="str">
            <v>Extracellular lipopolysaccharide group O:57 with a very long O antigen polysaccharide</v>
          </cell>
        </row>
        <row r="7834">
          <cell r="A7834" t="str">
            <v>udcdpglcnac_a1_3_fucnam_a1_3_gal_O_6_ribt_p</v>
          </cell>
          <cell r="B7834" t="str">
            <v>udcdpglcnac_a1_3_fucnam_a1_3_gal_O_6_ribt</v>
          </cell>
          <cell r="C7834" t="str">
            <v>Periplasmic O antigen group O:47 repeat unit on undecaprenyl diphosphate carrier</v>
          </cell>
        </row>
        <row r="7835">
          <cell r="A7835" t="str">
            <v>LPS9_46_27_VL_p</v>
          </cell>
          <cell r="B7835" t="str">
            <v>LPS9_46_27_VL</v>
          </cell>
          <cell r="C7835" t="str">
            <v>Periplasmic lipopolysaccharide group O:9 46 27 with a very long O antigen polysaccharide</v>
          </cell>
        </row>
        <row r="7836">
          <cell r="A7836" t="str">
            <v>OA66_VL_p</v>
          </cell>
          <cell r="B7836" t="str">
            <v>OA66_VL</v>
          </cell>
          <cell r="C7836" t="str">
            <v>Periplasmic O antigen group O:66 polysaccharide with a very long chain length (100 repeat units)</v>
          </cell>
        </row>
        <row r="7837">
          <cell r="A7837" t="str">
            <v>udcdpgalnac_a1_3_b1_3_glc_a1_4_gal_a1_6_gal_p</v>
          </cell>
          <cell r="B7837" t="str">
            <v>udcdpgalnac_a1_3_b1_3_glc_a1_4_gal_a1_6_gal</v>
          </cell>
          <cell r="C7837" t="str">
            <v>Cytoplasmic O antigen group O:66 repeat unit on undecaprenyl diphosphate carrier</v>
          </cell>
        </row>
        <row r="7838">
          <cell r="A7838" t="str">
            <v>OA50__L_p</v>
          </cell>
          <cell r="B7838" t="str">
            <v>OA50__L</v>
          </cell>
          <cell r="C7838" t="str">
            <v>Periplasmic O antigen group O:50 polysaccharide with a long chain length (25 repeat units)</v>
          </cell>
        </row>
        <row r="7839">
          <cell r="A7839" t="str">
            <v>LPS53_ST_e</v>
          </cell>
          <cell r="B7839" t="str">
            <v>LPS53_ST</v>
          </cell>
          <cell r="C7839" t="str">
            <v>Extracellular lipopolysaccharide group O:53 with a long O antigen polysaccharide</v>
          </cell>
        </row>
        <row r="7840">
          <cell r="A7840" t="str">
            <v>OA9_46_ST_p</v>
          </cell>
          <cell r="B7840" t="str">
            <v>OA9_46_ST</v>
          </cell>
          <cell r="C7840" t="str">
            <v>[Undecaprenyl-diphosphate-galactose-(alpha 1-&gt;3)-rhamnose-(alpha 1-&gt;4)-mannose-(alpha1-&gt;3)-tyvelose] 15</v>
          </cell>
        </row>
        <row r="7841">
          <cell r="A7841" t="str">
            <v>OA9_46_VL_p</v>
          </cell>
          <cell r="B7841" t="str">
            <v>OA9_46_VL</v>
          </cell>
          <cell r="C7841" t="str">
            <v>[Undecaprenyl-diphosphate-galactose-(alpha 1-&gt;3)-rhamnose-(alpha 1-&gt;4)-mannose-(alpha1-&gt;3)-tyvelose] 100</v>
          </cell>
        </row>
        <row r="7842">
          <cell r="A7842" t="str">
            <v>LPS4__L_e</v>
          </cell>
          <cell r="B7842" t="str">
            <v>LPS4__L</v>
          </cell>
          <cell r="C7842" t="str">
            <v>Periplasmic lipopolysaccharide group O:XX with a long O antigen polysaccharide</v>
          </cell>
        </row>
        <row r="7843">
          <cell r="A7843" t="str">
            <v>udcdpglcnac_a1_3_galnac_b1_3_gal_a1_3_gal_a1_2_fuc_c</v>
          </cell>
          <cell r="B7843" t="str">
            <v>udcdpglcnac_a1_3_galnac_b1_3_gal_a1_3_gal_a1_2_fuc</v>
          </cell>
          <cell r="C7843" t="str">
            <v>Periplasmic O antigen group O:43 repeat unit on undecaprenyl diphosphate carrier</v>
          </cell>
        </row>
        <row r="7844">
          <cell r="A7844" t="str">
            <v>udcdpglcnac_b1_3_gal_a1_2_fuc_b1_4_rib_a1_3_fuc_b1_4_glc_c</v>
          </cell>
          <cell r="B7844" t="str">
            <v>udcdpglcnac_b1_3_gal_a1_2_fuc_b1_4_rib_a1_3_fuc_b1_4_glc</v>
          </cell>
          <cell r="C7844" t="str">
            <v>Und-P-N-acetylglucosamine(beta1-&gt;3)galactose((alpha1-&gt;2)fucose)(beta1-&gt;4)ribose(alpha1-&gt;3)fucose(beta1-&gt;4)glucose</v>
          </cell>
        </row>
        <row r="7845">
          <cell r="A7845" t="str">
            <v>udcdpglcnac_a1_3_fucnam_a1_3_gal_O_6_ribt_c</v>
          </cell>
          <cell r="B7845" t="str">
            <v>udcdpglcnac_a1_3_fucnam_a1_3_gal_O_6_ribt</v>
          </cell>
          <cell r="C7845" t="str">
            <v>Periplasmic O antigen group O:47 repeat unit on undecaprenyl diphosphate carrier</v>
          </cell>
        </row>
        <row r="7846">
          <cell r="A7846" t="str">
            <v>LPS47_VL_p</v>
          </cell>
          <cell r="B7846" t="str">
            <v>LPS47_VL</v>
          </cell>
          <cell r="C7846" t="str">
            <v>Extracellular lipopolysaccharide group O:47 with a very long O antigen polysaccharide</v>
          </cell>
        </row>
        <row r="7847">
          <cell r="A7847" t="str">
            <v>LPS52_ST_p</v>
          </cell>
          <cell r="B7847" t="str">
            <v>LPS52_ST</v>
          </cell>
          <cell r="C7847" t="str">
            <v>Periplasmic lipopolysaccharide group O:52 with a short O antigen polysaccharide</v>
          </cell>
        </row>
        <row r="7848">
          <cell r="A7848" t="str">
            <v>OA54_p</v>
          </cell>
          <cell r="B7848" t="str">
            <v>OA54</v>
          </cell>
          <cell r="C7848" t="str">
            <v>Periplasmic O antigen group O:54 polysaccharide with 10 repeat units</v>
          </cell>
        </row>
        <row r="7849">
          <cell r="A7849" t="str">
            <v>OA28ab_VL_p</v>
          </cell>
          <cell r="B7849" t="str">
            <v>OA28ab_VL</v>
          </cell>
          <cell r="C7849" t="str">
            <v>Periplasmic O antigen group O:28ab polysaccharide with a very long chain length (100 repeat units)</v>
          </cell>
        </row>
        <row r="7850">
          <cell r="A7850" t="str">
            <v>LPS2_ST_e</v>
          </cell>
          <cell r="B7850" t="str">
            <v>LPS2_ST</v>
          </cell>
          <cell r="C7850" t="str">
            <v>Periplasmic lipopolysaccharide group O:2 with a short O antigen polysaccharide</v>
          </cell>
        </row>
        <row r="7851">
          <cell r="A7851" t="str">
            <v>OA66_ST_p</v>
          </cell>
          <cell r="B7851" t="str">
            <v>OA66_ST</v>
          </cell>
          <cell r="C7851" t="str">
            <v>Periplasmic O antigen group O:66 polysaccharide with a short chain length (15 repeat units)</v>
          </cell>
        </row>
        <row r="7852">
          <cell r="A7852" t="str">
            <v>LPS43_VL_e</v>
          </cell>
          <cell r="B7852" t="str">
            <v>LPS43_VL</v>
          </cell>
          <cell r="C7852" t="str">
            <v>Periplasmic lipopolysaccharide group O:43 with a very long O antigen polysaccharide</v>
          </cell>
        </row>
        <row r="7853">
          <cell r="A7853" t="str">
            <v>LPS48_VL_e</v>
          </cell>
          <cell r="B7853" t="str">
            <v>LPS48_VL</v>
          </cell>
          <cell r="C7853" t="str">
            <v>Periplasmic lipopolysaccharide group O:48 with a very long O antigen polysaccharide</v>
          </cell>
        </row>
        <row r="7854">
          <cell r="A7854" t="str">
            <v>LPS41__L_e</v>
          </cell>
          <cell r="B7854" t="str">
            <v>LPS41__L</v>
          </cell>
          <cell r="C7854" t="str">
            <v>Periplasmic lipopolysaccharide group O:41 with a very long O antigen polysaccharide</v>
          </cell>
        </row>
        <row r="7855">
          <cell r="A7855" t="str">
            <v>LPS60__L_e</v>
          </cell>
          <cell r="B7855" t="str">
            <v>LPS60__L</v>
          </cell>
          <cell r="C7855" t="str">
            <v>Extracellular lipopolysaccharide group O:60 with a long O antigen polysaccharide</v>
          </cell>
        </row>
        <row r="7856">
          <cell r="A7856" t="str">
            <v>OA60__L_p</v>
          </cell>
          <cell r="B7856" t="str">
            <v>OA60__L</v>
          </cell>
          <cell r="C7856" t="str">
            <v>Periplasmic O antigen group O:60 polysaccharide with a long chain length (25 repeat units)</v>
          </cell>
        </row>
        <row r="7857">
          <cell r="A7857" t="str">
            <v>LPS66__L_p</v>
          </cell>
          <cell r="B7857" t="str">
            <v>LPS66__L</v>
          </cell>
          <cell r="C7857" t="str">
            <v>Periplasmic lipopolysaccharide group O:66 with a long O antigen polysaccharide</v>
          </cell>
        </row>
        <row r="7858">
          <cell r="A7858" t="str">
            <v>LPS35_VL_p</v>
          </cell>
          <cell r="B7858" t="str">
            <v>LPS35_VL</v>
          </cell>
          <cell r="C7858" t="str">
            <v>Extracellular lipopolysaccharide group O:35 with a very long O antigen polysaccharide</v>
          </cell>
        </row>
        <row r="7859">
          <cell r="A7859" t="str">
            <v>LPS16_ST_p</v>
          </cell>
          <cell r="B7859" t="str">
            <v>LPS16_ST</v>
          </cell>
          <cell r="C7859" t="str">
            <v>Extracellular lipopolysaccharide group O:16 with a short O antigen polysaccharide</v>
          </cell>
        </row>
        <row r="7860">
          <cell r="A7860" t="str">
            <v>OA44_ST_p</v>
          </cell>
          <cell r="B7860" t="str">
            <v>OA44_ST</v>
          </cell>
          <cell r="C7860" t="str">
            <v>Periplasmic O antigen group O:44 polysaccharide with a short chain length (15 repeat units)</v>
          </cell>
        </row>
        <row r="7861">
          <cell r="A7861" t="str">
            <v>LPS9_ST_e</v>
          </cell>
          <cell r="B7861" t="str">
            <v>LPS9_ST</v>
          </cell>
          <cell r="C7861" t="str">
            <v>Periplasmic lipopolysaccharide group O:9 with a short O antigen polysaccharide</v>
          </cell>
        </row>
        <row r="7862">
          <cell r="A7862" t="str">
            <v>OA30__L_p</v>
          </cell>
          <cell r="B7862" t="str">
            <v>OA30__L</v>
          </cell>
          <cell r="C7862" t="str">
            <v>Periplasmic O antigen group O:30 polysaccharide with a long chain length (25 repeat units</v>
          </cell>
        </row>
        <row r="7863">
          <cell r="A7863" t="str">
            <v>LPS59_VL_p</v>
          </cell>
          <cell r="B7863" t="str">
            <v>LPS59_VL</v>
          </cell>
          <cell r="C7863" t="str">
            <v>Extracellular lipopolysaccharide group O:59 with a very long O antigen polysaccharide</v>
          </cell>
        </row>
        <row r="7864">
          <cell r="A7864" t="str">
            <v>OA30_VL_p</v>
          </cell>
          <cell r="B7864" t="str">
            <v>OA30_VL</v>
          </cell>
          <cell r="C7864" t="str">
            <v>Periplasmic O antigen group O:30 polysaccharide with a very long chain length (100 repeat units)</v>
          </cell>
        </row>
        <row r="7865">
          <cell r="A7865" t="str">
            <v>LPS51_VL_p</v>
          </cell>
          <cell r="B7865" t="str">
            <v>LPS51_VL</v>
          </cell>
          <cell r="C7865" t="str">
            <v>Periplasmic lipopolysaccharide group O:51 with a very long O antigen polysaccharide</v>
          </cell>
        </row>
        <row r="7866">
          <cell r="A7866" t="str">
            <v>LPS28ab__L_e</v>
          </cell>
          <cell r="B7866" t="str">
            <v>LPS28ab__L</v>
          </cell>
          <cell r="C7866" t="str">
            <v>Periplasmic lipopolysaccharide group O:28ab with a long O antigen polysaccharide</v>
          </cell>
        </row>
        <row r="7867">
          <cell r="A7867" t="str">
            <v>LPS39__L_e</v>
          </cell>
          <cell r="B7867" t="str">
            <v>LPS39__L</v>
          </cell>
          <cell r="C7867" t="str">
            <v>Periplasmic lipopolysaccharide group O:39 with a long O antigen polysaccharide</v>
          </cell>
        </row>
        <row r="7868">
          <cell r="A7868" t="str">
            <v>LPS54_e</v>
          </cell>
          <cell r="B7868" t="str">
            <v>LPS54</v>
          </cell>
          <cell r="C7868" t="str">
            <v>Extracellular lipopolysaccharide group O:54 with a short O antigen polysaccharide</v>
          </cell>
        </row>
        <row r="7869">
          <cell r="A7869" t="str">
            <v>LPS60_ST_e</v>
          </cell>
          <cell r="B7869" t="str">
            <v>LPS60_ST</v>
          </cell>
          <cell r="C7869" t="str">
            <v>Periplasmic lipopolysaccharide group O:60 with a short O antigen polysaccharide</v>
          </cell>
        </row>
        <row r="7870">
          <cell r="A7870" t="str">
            <v>10fthf_c</v>
          </cell>
          <cell r="B7870" t="str">
            <v>10fthf</v>
          </cell>
          <cell r="C7870" t="str">
            <v>10-Formyltetrahydrofolate</v>
          </cell>
        </row>
        <row r="7871">
          <cell r="A7871" t="str">
            <v>12dgr161_c</v>
          </cell>
          <cell r="B7871" t="str">
            <v>12dgr161</v>
          </cell>
          <cell r="C7871" t="str">
            <v>1,2-Diacyl-sn-glycerol (dihexadec-9-enoyl, n-C16:1)</v>
          </cell>
        </row>
        <row r="7872">
          <cell r="A7872" t="str">
            <v>12ppd__S_c</v>
          </cell>
          <cell r="B7872" t="str">
            <v>12ppd__S</v>
          </cell>
          <cell r="C7872" t="str">
            <v>(S)-Propane-1,2-diol</v>
          </cell>
        </row>
        <row r="7873">
          <cell r="A7873" t="str">
            <v>14dhncoa_c</v>
          </cell>
          <cell r="B7873" t="str">
            <v>14dhncoa</v>
          </cell>
          <cell r="C7873" t="str">
            <v>1,4-dihydroxy-2-napthoyl-CoA</v>
          </cell>
        </row>
        <row r="7874">
          <cell r="A7874" t="str">
            <v>1ddecg3p_c</v>
          </cell>
          <cell r="B7874" t="str">
            <v>1ddecg3p</v>
          </cell>
          <cell r="C7874" t="str">
            <v>1-dodecanoyl-sn-glycerol 3-phosphate</v>
          </cell>
        </row>
        <row r="7875">
          <cell r="A7875" t="str">
            <v>1hdec9eg3p_c</v>
          </cell>
          <cell r="B7875" t="str">
            <v>1hdec9eg3p</v>
          </cell>
          <cell r="C7875" t="str">
            <v>1-hexadec-9-enoyl-sn-glycerol 3-phosphate</v>
          </cell>
        </row>
        <row r="7876">
          <cell r="A7876" t="str">
            <v>1hdecg3p_c</v>
          </cell>
          <cell r="B7876" t="str">
            <v>1hdecg3p</v>
          </cell>
          <cell r="C7876" t="str">
            <v>1-hexadecanoyl-sn-glycerol 3-phosphate</v>
          </cell>
        </row>
        <row r="7877">
          <cell r="A7877" t="str">
            <v>1odec11eg3p_c</v>
          </cell>
          <cell r="B7877" t="str">
            <v>1odec11eg3p</v>
          </cell>
          <cell r="C7877" t="str">
            <v>1-octadec-11-enoyl-sn-glycerol 3-phosphate</v>
          </cell>
        </row>
        <row r="7878">
          <cell r="A7878" t="str">
            <v>23dhdp_c</v>
          </cell>
          <cell r="B7878" t="str">
            <v>23dhdp</v>
          </cell>
          <cell r="C7878" t="str">
            <v>2,3-Dihydrodipicolinate</v>
          </cell>
        </row>
        <row r="7879">
          <cell r="A7879" t="str">
            <v>25dkglcn_c</v>
          </cell>
          <cell r="B7879" t="str">
            <v>25dkglcn</v>
          </cell>
          <cell r="C7879" t="str">
            <v>2,5-diketo-D-gluconate</v>
          </cell>
        </row>
        <row r="7880">
          <cell r="A7880" t="str">
            <v>26dap__M_c</v>
          </cell>
          <cell r="B7880" t="str">
            <v>26dap__M</v>
          </cell>
          <cell r="C7880" t="str">
            <v>Meso-2,6-Diaminoheptanedioate</v>
          </cell>
        </row>
        <row r="7881">
          <cell r="A7881" t="str">
            <v>2agpe181_c</v>
          </cell>
          <cell r="B7881" t="str">
            <v>2agpe181</v>
          </cell>
          <cell r="C7881" t="str">
            <v>2-Acyl-sn-glycero-3-phosphoethanolamine (n-C18:1)</v>
          </cell>
        </row>
        <row r="7882">
          <cell r="A7882" t="str">
            <v>2agpg160_c</v>
          </cell>
          <cell r="B7882" t="str">
            <v>2agpg160</v>
          </cell>
          <cell r="C7882" t="str">
            <v>2-Acyl-sn-glycero-3-phosphoglycerol (n-C16:0)</v>
          </cell>
        </row>
        <row r="7883">
          <cell r="A7883" t="str">
            <v>2agpg161_c</v>
          </cell>
          <cell r="B7883" t="str">
            <v>2agpg161</v>
          </cell>
          <cell r="C7883" t="str">
            <v>2-Acyl-sn-glycero-3-phosphoglycerol (n-C16:1)</v>
          </cell>
        </row>
        <row r="7884">
          <cell r="A7884" t="str">
            <v>2agpg180_c</v>
          </cell>
          <cell r="B7884" t="str">
            <v>2agpg180</v>
          </cell>
          <cell r="C7884" t="str">
            <v>2-Acyl-sn-glycero-3-phosphoglycerol (n-C18:0)</v>
          </cell>
        </row>
        <row r="7885">
          <cell r="A7885" t="str">
            <v>2agpg181_c</v>
          </cell>
          <cell r="B7885" t="str">
            <v>2agpg181</v>
          </cell>
          <cell r="C7885" t="str">
            <v>2-Acyl-sn-glycero-3-phosphoglycerol (n-C18:1)</v>
          </cell>
        </row>
        <row r="7886">
          <cell r="A7886" t="str">
            <v>2cpr5p_c</v>
          </cell>
          <cell r="B7886" t="str">
            <v>2cpr5p</v>
          </cell>
          <cell r="C7886" t="str">
            <v>1-(2-Carboxyphenylamino)-1-deoxy-D-ribulose 5-phosphate</v>
          </cell>
        </row>
        <row r="7887">
          <cell r="A7887" t="str">
            <v>2dr1p_c</v>
          </cell>
          <cell r="B7887" t="str">
            <v>2dr1p</v>
          </cell>
          <cell r="C7887" t="str">
            <v>2-Deoxy-D-ribose 1-phosphate</v>
          </cell>
        </row>
        <row r="7888">
          <cell r="A7888" t="str">
            <v>2mahmp_c</v>
          </cell>
          <cell r="B7888" t="str">
            <v>2mahmp</v>
          </cell>
          <cell r="C7888" t="str">
            <v>2-Methyl-4-amino-5-hydroxymethylpyrimidine diphosphate</v>
          </cell>
        </row>
        <row r="7889">
          <cell r="A7889" t="str">
            <v>2mcacn_c</v>
          </cell>
          <cell r="B7889" t="str">
            <v>2mcacn</v>
          </cell>
          <cell r="C7889" t="str">
            <v>Cis-2-Methylaconitate</v>
          </cell>
        </row>
        <row r="7890">
          <cell r="A7890" t="str">
            <v>2obut_c</v>
          </cell>
          <cell r="B7890" t="str">
            <v>2obut</v>
          </cell>
          <cell r="C7890" t="str">
            <v>2-Oxobutanoate</v>
          </cell>
        </row>
        <row r="7891">
          <cell r="A7891" t="str">
            <v>2ommbl_c</v>
          </cell>
          <cell r="B7891" t="str">
            <v>2ommbl</v>
          </cell>
          <cell r="C7891" t="str">
            <v>2-Octaprenyl-3-methyl-6-methoxy- 1,4-benzoquinol</v>
          </cell>
        </row>
        <row r="7892">
          <cell r="A7892" t="str">
            <v>2pg_c</v>
          </cell>
          <cell r="B7892" t="str">
            <v>2pg</v>
          </cell>
          <cell r="C7892" t="str">
            <v>D-Glycerate 2-phosphate</v>
          </cell>
        </row>
        <row r="7893">
          <cell r="A7893" t="str">
            <v>2tdecg3p_c</v>
          </cell>
          <cell r="B7893" t="str">
            <v>2tdecg3p</v>
          </cell>
          <cell r="C7893" t="str">
            <v>2-tetradecanoyl-sn-glycerol 3-phosphate</v>
          </cell>
        </row>
        <row r="7894">
          <cell r="A7894" t="str">
            <v>3hbcoa_c</v>
          </cell>
          <cell r="B7894" t="str">
            <v>3hbcoa</v>
          </cell>
          <cell r="C7894" t="str">
            <v>(S)-3-Hydroxybutanoyl-CoA</v>
          </cell>
        </row>
        <row r="7895">
          <cell r="A7895" t="str">
            <v>3hcpalm9eACP_c</v>
          </cell>
          <cell r="B7895" t="str">
            <v>3hcpalm9eACP</v>
          </cell>
          <cell r="C7895" t="str">
            <v>(R)-3-hydroxy-cis-palm-9-eoyl-[acyl-carrier protein]</v>
          </cell>
        </row>
        <row r="7896">
          <cell r="A7896" t="str">
            <v>3hddcoa_c</v>
          </cell>
          <cell r="B7896" t="str">
            <v>3hddcoa</v>
          </cell>
          <cell r="C7896" t="str">
            <v>(S)-3-Hydroxydodecanoyl-CoA</v>
          </cell>
        </row>
        <row r="7897">
          <cell r="A7897" t="str">
            <v>3hhcoa_c</v>
          </cell>
          <cell r="B7897" t="str">
            <v>3hhcoa</v>
          </cell>
          <cell r="C7897" t="str">
            <v>(S)-3-Hydroxyhexanoyl-CoA</v>
          </cell>
        </row>
        <row r="7898">
          <cell r="A7898" t="str">
            <v>3hpp_c</v>
          </cell>
          <cell r="B7898" t="str">
            <v>3hpp</v>
          </cell>
          <cell r="C7898" t="str">
            <v>3-Hydroxypropanoate</v>
          </cell>
        </row>
        <row r="7899">
          <cell r="A7899" t="str">
            <v>3ocmrs7eACP_c</v>
          </cell>
          <cell r="B7899" t="str">
            <v>3ocmrs7eACP</v>
          </cell>
          <cell r="C7899" t="str">
            <v>3-oxo-cis-myristol-7-eoyl-[acyl-carrier protein]</v>
          </cell>
        </row>
        <row r="7900">
          <cell r="A7900" t="str">
            <v>3ocvac11eACP_c</v>
          </cell>
          <cell r="B7900" t="str">
            <v>3ocvac11eACP</v>
          </cell>
          <cell r="C7900" t="str">
            <v>3-oxo-cis-vacc-11-enoyl-[acyl-carrier protein]</v>
          </cell>
        </row>
        <row r="7901">
          <cell r="A7901" t="str">
            <v>3ohdcoa_c</v>
          </cell>
          <cell r="B7901" t="str">
            <v>3ohdcoa</v>
          </cell>
          <cell r="C7901" t="str">
            <v>3-Oxohexadecanoyl-CoA</v>
          </cell>
        </row>
        <row r="7902">
          <cell r="A7902" t="str">
            <v>3ohodcoa_c</v>
          </cell>
          <cell r="B7902" t="str">
            <v>3ohodcoa</v>
          </cell>
          <cell r="C7902" t="str">
            <v>3-Oxooctadecanoyl-CoA</v>
          </cell>
        </row>
        <row r="7903">
          <cell r="A7903" t="str">
            <v>3otdcoa_c</v>
          </cell>
          <cell r="B7903" t="str">
            <v>3otdcoa</v>
          </cell>
          <cell r="C7903" t="str">
            <v>3-Oxotetradecanoyl-CoA</v>
          </cell>
        </row>
        <row r="7904">
          <cell r="A7904" t="str">
            <v>3oxdhscoa_c</v>
          </cell>
          <cell r="B7904" t="str">
            <v>3oxdhscoa</v>
          </cell>
          <cell r="C7904" t="str">
            <v>3-oxo-5,6-dehydrosuberyl-CoA</v>
          </cell>
        </row>
        <row r="7905">
          <cell r="A7905" t="str">
            <v>4ahmmp_c</v>
          </cell>
          <cell r="B7905" t="str">
            <v>4ahmmp</v>
          </cell>
          <cell r="C7905" t="str">
            <v>4-Amino-5-hydroxymethyl-2-methylpyrimidine</v>
          </cell>
        </row>
        <row r="7906">
          <cell r="A7906" t="str">
            <v>4crsol_c</v>
          </cell>
          <cell r="B7906" t="str">
            <v>4crsol</v>
          </cell>
          <cell r="C7906" t="str">
            <v>P-Cresol</v>
          </cell>
        </row>
        <row r="7907">
          <cell r="A7907" t="str">
            <v>4mop_c</v>
          </cell>
          <cell r="B7907" t="str">
            <v>4mop</v>
          </cell>
          <cell r="C7907" t="str">
            <v>4-Methyl-2-oxopentanoate</v>
          </cell>
        </row>
        <row r="7908">
          <cell r="A7908" t="str">
            <v>4mpetz_c</v>
          </cell>
          <cell r="B7908" t="str">
            <v>4mpetz</v>
          </cell>
          <cell r="C7908" t="str">
            <v>4-Methyl-5-(2-phosphoethyl)-thiazole</v>
          </cell>
        </row>
        <row r="7909">
          <cell r="A7909" t="str">
            <v>4ppcys_c</v>
          </cell>
          <cell r="B7909" t="str">
            <v>4ppcys</v>
          </cell>
          <cell r="C7909" t="str">
            <v>N-((R)-4-Phosphopantothenoyl)-L-cysteine</v>
          </cell>
        </row>
        <row r="7910">
          <cell r="A7910" t="str">
            <v>56dura_c</v>
          </cell>
          <cell r="B7910" t="str">
            <v>56dura</v>
          </cell>
          <cell r="C7910" t="str">
            <v>5,6-dihydrouracil</v>
          </cell>
        </row>
        <row r="7911">
          <cell r="A7911" t="str">
            <v>5apru_c</v>
          </cell>
          <cell r="B7911" t="str">
            <v>5apru</v>
          </cell>
          <cell r="C7911" t="str">
            <v>5-Amino-6-(5'-phosphoribosylamino)uracil</v>
          </cell>
        </row>
        <row r="7912">
          <cell r="A7912" t="str">
            <v>5dh4dglc_c</v>
          </cell>
          <cell r="B7912" t="str">
            <v>5dh4dglc</v>
          </cell>
          <cell r="C7912" t="str">
            <v>5-Dehydro-4-deoxy-D-glucarate</v>
          </cell>
        </row>
        <row r="7913">
          <cell r="A7913" t="str">
            <v>5drib_c</v>
          </cell>
          <cell r="B7913" t="str">
            <v>5drib</v>
          </cell>
          <cell r="C7913" t="str">
            <v>5'-deoxyribose</v>
          </cell>
        </row>
        <row r="7914">
          <cell r="A7914" t="str">
            <v>6hmhpt_c</v>
          </cell>
          <cell r="B7914" t="str">
            <v>6hmhpt</v>
          </cell>
          <cell r="C7914" t="str">
            <v>6-hydroxymethyl dihydropterin</v>
          </cell>
        </row>
        <row r="7915">
          <cell r="A7915" t="str">
            <v>6hmhptpp_c</v>
          </cell>
          <cell r="B7915" t="str">
            <v>6hmhptpp</v>
          </cell>
          <cell r="C7915" t="str">
            <v>6-hydroxymethyl-dihydropterin pyrophosphate</v>
          </cell>
        </row>
        <row r="7916">
          <cell r="A7916" t="str">
            <v>6pgl_c</v>
          </cell>
          <cell r="B7916" t="str">
            <v>6pgl</v>
          </cell>
          <cell r="C7916" t="str">
            <v>6-phospho-D-glucono-1,5-lactone</v>
          </cell>
        </row>
        <row r="7917">
          <cell r="A7917" t="str">
            <v>LalaDglu_c</v>
          </cell>
          <cell r="B7917" t="str">
            <v>LalaDglu</v>
          </cell>
          <cell r="C7917" t="str">
            <v>L-alanine-D-glutamate</v>
          </cell>
        </row>
        <row r="7918">
          <cell r="A7918" t="str">
            <v>LalaDgluMdapDala_c</v>
          </cell>
          <cell r="B7918" t="str">
            <v>LalaDgluMdapDala</v>
          </cell>
          <cell r="C7918" t="str">
            <v>L-alanine-D-glutamate-meso-2,6-diaminoheptanedioate-D-alanine</v>
          </cell>
        </row>
        <row r="7919">
          <cell r="A7919" t="str">
            <v>Nmtrp_c</v>
          </cell>
          <cell r="B7919" t="str">
            <v>Nmtrp</v>
          </cell>
          <cell r="C7919" t="str">
            <v>N-Methyltryptophan</v>
          </cell>
        </row>
        <row r="7920">
          <cell r="A7920" t="str">
            <v>aacoa_c</v>
          </cell>
          <cell r="B7920" t="str">
            <v>aacoa</v>
          </cell>
          <cell r="C7920" t="str">
            <v>Acetoacetyl-CoA</v>
          </cell>
        </row>
        <row r="7921">
          <cell r="A7921" t="str">
            <v>accoa_c</v>
          </cell>
          <cell r="B7921" t="str">
            <v>accoa</v>
          </cell>
          <cell r="C7921" t="str">
            <v>Acetyl-CoA</v>
          </cell>
        </row>
        <row r="7922">
          <cell r="A7922" t="str">
            <v>acg5p_c</v>
          </cell>
          <cell r="B7922" t="str">
            <v>acg5p</v>
          </cell>
          <cell r="C7922" t="str">
            <v>N-Acetyl-L-glutamyl 5-phosphate</v>
          </cell>
        </row>
        <row r="7923">
          <cell r="A7923" t="str">
            <v>acgam_c</v>
          </cell>
          <cell r="B7923" t="str">
            <v>acgam</v>
          </cell>
          <cell r="C7923" t="str">
            <v>N-Acetyl-D-glucosamine</v>
          </cell>
        </row>
        <row r="7924">
          <cell r="A7924" t="str">
            <v>acgam1p_c</v>
          </cell>
          <cell r="B7924" t="str">
            <v>acgam1p</v>
          </cell>
          <cell r="C7924" t="str">
            <v>N-Acetyl-D-glucosamine 1-phosphate</v>
          </cell>
        </row>
        <row r="7925">
          <cell r="A7925" t="str">
            <v>acmalt_c</v>
          </cell>
          <cell r="B7925" t="str">
            <v>acmalt</v>
          </cell>
          <cell r="C7925" t="str">
            <v>Acetyl-maltose</v>
          </cell>
        </row>
        <row r="7926">
          <cell r="A7926" t="str">
            <v>acnam_c</v>
          </cell>
          <cell r="B7926" t="str">
            <v>acnam</v>
          </cell>
          <cell r="C7926" t="str">
            <v>N-Acetylneuraminate</v>
          </cell>
        </row>
        <row r="7927">
          <cell r="A7927" t="str">
            <v>aconm_c</v>
          </cell>
          <cell r="B7927" t="str">
            <v>aconm</v>
          </cell>
          <cell r="C7927" t="str">
            <v>E-3-carboxy-2-pentenedioate 6-methyl ester</v>
          </cell>
        </row>
        <row r="7928">
          <cell r="A7928" t="str">
            <v>adocbi_c</v>
          </cell>
          <cell r="B7928" t="str">
            <v>adocbi</v>
          </cell>
          <cell r="C7928" t="str">
            <v>Adenosyl cobinamide</v>
          </cell>
        </row>
        <row r="7929">
          <cell r="A7929" t="str">
            <v>adpglc_c</v>
          </cell>
          <cell r="B7929" t="str">
            <v>adpglc</v>
          </cell>
          <cell r="C7929" t="str">
            <v>ADPglucose C16H23N5O15P2</v>
          </cell>
        </row>
        <row r="7930">
          <cell r="A7930" t="str">
            <v>agdpcbi_c</v>
          </cell>
          <cell r="B7930" t="str">
            <v>agdpcbi</v>
          </cell>
          <cell r="C7930" t="str">
            <v>Adenosine-GDP-cobinamide</v>
          </cell>
        </row>
        <row r="7931">
          <cell r="A7931" t="str">
            <v>agm_c</v>
          </cell>
          <cell r="B7931" t="str">
            <v>agm</v>
          </cell>
          <cell r="C7931" t="str">
            <v>Agmatine</v>
          </cell>
        </row>
        <row r="7932">
          <cell r="A7932" t="str">
            <v>air_c</v>
          </cell>
          <cell r="B7932" t="str">
            <v>air</v>
          </cell>
          <cell r="C7932" t="str">
            <v>5-amino-1-(5-phospho-D-ribosyl)imidazole</v>
          </cell>
        </row>
        <row r="7933">
          <cell r="A7933" t="str">
            <v>alac__S_c</v>
          </cell>
          <cell r="B7933" t="str">
            <v>alac__S</v>
          </cell>
          <cell r="C7933" t="str">
            <v>(S)-2-Acetolactate</v>
          </cell>
        </row>
        <row r="7934">
          <cell r="A7934" t="str">
            <v>alatrna_c</v>
          </cell>
          <cell r="B7934" t="str">
            <v>alatrna</v>
          </cell>
          <cell r="C7934" t="str">
            <v>L-Alanyl-tRNA(Ala)</v>
          </cell>
        </row>
        <row r="7935">
          <cell r="A7935" t="str">
            <v>all__D_c</v>
          </cell>
          <cell r="B7935" t="str">
            <v>all__D</v>
          </cell>
          <cell r="C7935" t="str">
            <v>D-Allose</v>
          </cell>
        </row>
        <row r="7936">
          <cell r="A7936" t="str">
            <v>alltt_c</v>
          </cell>
          <cell r="B7936" t="str">
            <v>alltt</v>
          </cell>
          <cell r="C7936" t="str">
            <v>Allantoate</v>
          </cell>
        </row>
        <row r="7937">
          <cell r="A7937" t="str">
            <v>amob_c</v>
          </cell>
          <cell r="B7937" t="str">
            <v>amob</v>
          </cell>
          <cell r="C7937" t="str">
            <v>S-Adenosyl-4-methylthio-2-oxobutanoate</v>
          </cell>
        </row>
        <row r="7938">
          <cell r="A7938" t="str">
            <v>amp_c</v>
          </cell>
          <cell r="B7938" t="str">
            <v>amp</v>
          </cell>
          <cell r="C7938" t="str">
            <v>AMP C10H12N5O7P</v>
          </cell>
        </row>
        <row r="7939">
          <cell r="A7939" t="str">
            <v>anhgm4p_c</v>
          </cell>
          <cell r="B7939" t="str">
            <v>anhgm4p</v>
          </cell>
          <cell r="C7939" t="str">
            <v>N-Acetyl-D-glucosamine(anhydrous)N-Acetylmuramyl-tetrapeptide</v>
          </cell>
        </row>
        <row r="7940">
          <cell r="A7940" t="str">
            <v>ap4a_c</v>
          </cell>
          <cell r="B7940" t="str">
            <v>ap4a</v>
          </cell>
          <cell r="C7940" t="str">
            <v>P1,P4-Bis(5'-adenosyl) tetraphosphate</v>
          </cell>
        </row>
        <row r="7941">
          <cell r="A7941" t="str">
            <v>apg120_c</v>
          </cell>
          <cell r="B7941" t="str">
            <v>apg120</v>
          </cell>
          <cell r="C7941" t="str">
            <v>Acyl phosphatidylglycerol (n-C12:0)</v>
          </cell>
        </row>
        <row r="7942">
          <cell r="A7942" t="str">
            <v>apg140_c</v>
          </cell>
          <cell r="B7942" t="str">
            <v>apg140</v>
          </cell>
          <cell r="C7942" t="str">
            <v>Acyl phosphatidylglycerol (n-C14:0)</v>
          </cell>
        </row>
        <row r="7943">
          <cell r="A7943" t="str">
            <v>apg141_c</v>
          </cell>
          <cell r="B7943" t="str">
            <v>apg141</v>
          </cell>
          <cell r="C7943" t="str">
            <v>Acyl phosphatidylglycerol (n-C14:1)</v>
          </cell>
        </row>
        <row r="7944">
          <cell r="A7944" t="str">
            <v>arbt6p_c</v>
          </cell>
          <cell r="B7944" t="str">
            <v>arbt6p</v>
          </cell>
          <cell r="C7944" t="str">
            <v>Arbutin 6-phosphate</v>
          </cell>
        </row>
        <row r="7945">
          <cell r="A7945" t="str">
            <v>arbtn_c</v>
          </cell>
          <cell r="B7945" t="str">
            <v>arbtn</v>
          </cell>
          <cell r="C7945" t="str">
            <v>Aerobactin minus Fe3</v>
          </cell>
        </row>
        <row r="7946">
          <cell r="A7946" t="str">
            <v>argsuc_c</v>
          </cell>
          <cell r="B7946" t="str">
            <v>argsuc</v>
          </cell>
          <cell r="C7946" t="str">
            <v>N(omega)-(L-Arginino)succinate</v>
          </cell>
        </row>
        <row r="7947">
          <cell r="A7947" t="str">
            <v>ascb6p_c</v>
          </cell>
          <cell r="B7947" t="str">
            <v>ascb6p</v>
          </cell>
          <cell r="C7947" t="str">
            <v>L-ascorbate-6-phosphate</v>
          </cell>
        </row>
        <row r="7948">
          <cell r="A7948" t="str">
            <v>asntrna_c</v>
          </cell>
          <cell r="B7948" t="str">
            <v>asntrna</v>
          </cell>
          <cell r="C7948" t="str">
            <v>L-Asparaginyl-tRNA(Asn)</v>
          </cell>
        </row>
        <row r="7949">
          <cell r="A7949" t="str">
            <v>aso4_c</v>
          </cell>
          <cell r="B7949" t="str">
            <v>aso4</v>
          </cell>
          <cell r="C7949" t="str">
            <v>Arsenate</v>
          </cell>
        </row>
        <row r="7950">
          <cell r="A7950" t="str">
            <v>asp__L_c</v>
          </cell>
          <cell r="B7950" t="str">
            <v>asp__L</v>
          </cell>
          <cell r="C7950" t="str">
            <v>L-Aspartate</v>
          </cell>
        </row>
        <row r="7951">
          <cell r="A7951" t="str">
            <v>aspsa_c</v>
          </cell>
          <cell r="B7951" t="str">
            <v>aspsa</v>
          </cell>
          <cell r="C7951" t="str">
            <v>L-Aspartate 4-semialdehyde</v>
          </cell>
        </row>
        <row r="7952">
          <cell r="A7952" t="str">
            <v>athr__L_c</v>
          </cell>
          <cell r="B7952" t="str">
            <v>athr__L</v>
          </cell>
          <cell r="C7952" t="str">
            <v>L-Allo-threonine</v>
          </cell>
        </row>
        <row r="7953">
          <cell r="A7953" t="str">
            <v>b2coa_c</v>
          </cell>
          <cell r="B7953" t="str">
            <v>b2coa</v>
          </cell>
          <cell r="C7953" t="str">
            <v>Crotonoyl-CoA</v>
          </cell>
        </row>
        <row r="7954">
          <cell r="A7954" t="str">
            <v>bbtcoa_c</v>
          </cell>
          <cell r="B7954" t="str">
            <v>bbtcoa</v>
          </cell>
          <cell r="C7954" t="str">
            <v>Gamma-butyrobetainyl-CoA</v>
          </cell>
        </row>
        <row r="7955">
          <cell r="A7955" t="str">
            <v>bmocogdp_c</v>
          </cell>
          <cell r="B7955" t="str">
            <v>bmocogdp</v>
          </cell>
          <cell r="C7955" t="str">
            <v>Bis-molybdopterin guanine dinucleotide</v>
          </cell>
        </row>
        <row r="7956">
          <cell r="A7956" t="str">
            <v>but_c</v>
          </cell>
          <cell r="B7956" t="str">
            <v>but</v>
          </cell>
          <cell r="C7956" t="str">
            <v>Butyrate (n-C4:0)</v>
          </cell>
        </row>
        <row r="7957">
          <cell r="A7957" t="str">
            <v>bwcogdp_c</v>
          </cell>
          <cell r="B7957" t="str">
            <v>bwcogdp</v>
          </cell>
          <cell r="C7957" t="str">
            <v>Tungsten bispterin cofactor guanine dinucleotide</v>
          </cell>
        </row>
        <row r="7958">
          <cell r="A7958" t="str">
            <v>cbi_c</v>
          </cell>
          <cell r="B7958" t="str">
            <v>cbi</v>
          </cell>
          <cell r="C7958" t="str">
            <v>Cobinamide</v>
          </cell>
        </row>
        <row r="7959">
          <cell r="A7959" t="str">
            <v>cbp_c</v>
          </cell>
          <cell r="B7959" t="str">
            <v>cbp</v>
          </cell>
          <cell r="C7959" t="str">
            <v>Carbamoyl phosphate</v>
          </cell>
        </row>
        <row r="7960">
          <cell r="A7960" t="str">
            <v>cd2_c</v>
          </cell>
          <cell r="B7960" t="str">
            <v>cd2</v>
          </cell>
          <cell r="C7960" t="str">
            <v>Cadmium</v>
          </cell>
        </row>
        <row r="7961">
          <cell r="A7961" t="str">
            <v>cdpdddecg_c</v>
          </cell>
          <cell r="B7961" t="str">
            <v>cdpdddecg</v>
          </cell>
          <cell r="C7961" t="str">
            <v>CDP-1,2-didodecanoylglycerol</v>
          </cell>
        </row>
        <row r="7962">
          <cell r="A7962" t="str">
            <v>cenchddd_c</v>
          </cell>
          <cell r="B7962" t="str">
            <v>cenchddd</v>
          </cell>
          <cell r="C7962" t="str">
            <v>Cis-3-(3-carboxyethenyl)-3,5-cyclohexadiene-1,2-diol</v>
          </cell>
        </row>
        <row r="7963">
          <cell r="A7963" t="str">
            <v>chtbs6p_c</v>
          </cell>
          <cell r="B7963" t="str">
            <v>chtbs6p</v>
          </cell>
          <cell r="C7963" t="str">
            <v>Diacetylchitobiose-6-phosphate</v>
          </cell>
        </row>
        <row r="7964">
          <cell r="A7964" t="str">
            <v>cl_c</v>
          </cell>
          <cell r="B7964" t="str">
            <v>cl</v>
          </cell>
          <cell r="C7964" t="str">
            <v>Chloride</v>
          </cell>
        </row>
        <row r="7965">
          <cell r="A7965" t="str">
            <v>cmp_c</v>
          </cell>
          <cell r="B7965" t="str">
            <v>cmp</v>
          </cell>
          <cell r="C7965" t="str">
            <v>CMP C9H12N3O8P</v>
          </cell>
        </row>
        <row r="7966">
          <cell r="A7966" t="str">
            <v>coa_c</v>
          </cell>
          <cell r="B7966" t="str">
            <v>coa</v>
          </cell>
          <cell r="C7966" t="str">
            <v>Coenzyme A</v>
          </cell>
        </row>
        <row r="7967">
          <cell r="A7967" t="str">
            <v>cpg180_c</v>
          </cell>
          <cell r="B7967" t="str">
            <v>cpg180</v>
          </cell>
          <cell r="C7967" t="str">
            <v>Cyclopropane phosphatidylglycerol (dioctadec-11,12-cyclo-anoyl, n-C18:0 cyclo)</v>
          </cell>
        </row>
        <row r="7968">
          <cell r="A7968" t="str">
            <v>crn__D_c</v>
          </cell>
          <cell r="B7968" t="str">
            <v>crn__D</v>
          </cell>
          <cell r="C7968" t="str">
            <v>D-Carnitine</v>
          </cell>
        </row>
        <row r="7969">
          <cell r="A7969" t="str">
            <v>csn_c</v>
          </cell>
          <cell r="B7969" t="str">
            <v>csn</v>
          </cell>
          <cell r="C7969" t="str">
            <v>Cytosine</v>
          </cell>
        </row>
        <row r="7970">
          <cell r="A7970" t="str">
            <v>ctbt_c</v>
          </cell>
          <cell r="B7970" t="str">
            <v>ctbt</v>
          </cell>
          <cell r="C7970" t="str">
            <v>Crotonobetaine</v>
          </cell>
        </row>
        <row r="7971">
          <cell r="A7971" t="str">
            <v>ctp_c</v>
          </cell>
          <cell r="B7971" t="str">
            <v>ctp</v>
          </cell>
          <cell r="C7971" t="str">
            <v>CTP C9H12N3O14P3</v>
          </cell>
        </row>
        <row r="7972">
          <cell r="A7972" t="str">
            <v>cu2_c</v>
          </cell>
          <cell r="B7972" t="str">
            <v>cu2</v>
          </cell>
          <cell r="C7972" t="str">
            <v>Copper</v>
          </cell>
        </row>
        <row r="7973">
          <cell r="A7973" t="str">
            <v>cys__D_c</v>
          </cell>
          <cell r="B7973" t="str">
            <v>cys__D</v>
          </cell>
          <cell r="C7973" t="str">
            <v>D-Cysteine</v>
          </cell>
        </row>
        <row r="7974">
          <cell r="A7974" t="str">
            <v>cystrna_c</v>
          </cell>
          <cell r="B7974" t="str">
            <v>cystrna</v>
          </cell>
          <cell r="C7974" t="str">
            <v>L-Cysteinyl-tRNA(Cys)</v>
          </cell>
        </row>
        <row r="7975">
          <cell r="A7975" t="str">
            <v>dann_c</v>
          </cell>
          <cell r="B7975" t="str">
            <v>dann</v>
          </cell>
          <cell r="C7975" t="str">
            <v>7,8-Diaminononanoate</v>
          </cell>
        </row>
        <row r="7976">
          <cell r="A7976" t="str">
            <v>db4p_c</v>
          </cell>
          <cell r="B7976" t="str">
            <v>db4p</v>
          </cell>
          <cell r="C7976" t="str">
            <v>3,4-dihydroxy-2-butanone 4-phosphate</v>
          </cell>
        </row>
        <row r="7977">
          <cell r="A7977" t="str">
            <v>dcaACP_c</v>
          </cell>
          <cell r="B7977" t="str">
            <v>dcaACP</v>
          </cell>
          <cell r="C7977" t="str">
            <v>Decanoyl-ACP (n-C10:0ACP)</v>
          </cell>
        </row>
        <row r="7978">
          <cell r="A7978" t="str">
            <v>dcyt_c</v>
          </cell>
          <cell r="B7978" t="str">
            <v>dcyt</v>
          </cell>
          <cell r="C7978" t="str">
            <v>Deoxycytidine</v>
          </cell>
        </row>
        <row r="7979">
          <cell r="A7979" t="str">
            <v>ddcacoa_c</v>
          </cell>
          <cell r="B7979" t="str">
            <v>ddcacoa</v>
          </cell>
          <cell r="C7979" t="str">
            <v>Dodecanoyl-CoA (n-C12:0CoA)</v>
          </cell>
        </row>
        <row r="7980">
          <cell r="A7980" t="str">
            <v>ddcap_c</v>
          </cell>
          <cell r="B7980" t="str">
            <v>ddcap</v>
          </cell>
          <cell r="C7980" t="str">
            <v>Dodecanoly-phosphate (n-C12:0)</v>
          </cell>
        </row>
        <row r="7981">
          <cell r="A7981" t="str">
            <v>dgmp_c</v>
          </cell>
          <cell r="B7981" t="str">
            <v>dgmp</v>
          </cell>
          <cell r="C7981" t="str">
            <v>DGMP C10H12N5O7P</v>
          </cell>
        </row>
        <row r="7982">
          <cell r="A7982" t="str">
            <v>dhgly_c</v>
          </cell>
          <cell r="B7982" t="str">
            <v>dhgly</v>
          </cell>
          <cell r="C7982" t="str">
            <v>Dehydroglycine</v>
          </cell>
        </row>
        <row r="7983">
          <cell r="A7983" t="str">
            <v>dhna_c</v>
          </cell>
          <cell r="B7983" t="str">
            <v>dhna</v>
          </cell>
          <cell r="C7983" t="str">
            <v>1,4-Dihydroxy-2-naphthoate</v>
          </cell>
        </row>
        <row r="7984">
          <cell r="A7984" t="str">
            <v>dhpmp_c</v>
          </cell>
          <cell r="B7984" t="str">
            <v>dhpmp</v>
          </cell>
          <cell r="C7984" t="str">
            <v>Dihydroneopterin monophosphate</v>
          </cell>
        </row>
        <row r="7985">
          <cell r="A7985" t="str">
            <v>dhpppn_c</v>
          </cell>
          <cell r="B7985" t="str">
            <v>dhpppn</v>
          </cell>
          <cell r="C7985" t="str">
            <v>3-(2,3-Dihydroxyphenyl)propanoate</v>
          </cell>
        </row>
        <row r="7986">
          <cell r="A7986" t="str">
            <v>dhptdn_c</v>
          </cell>
          <cell r="B7986" t="str">
            <v>dhptdn</v>
          </cell>
          <cell r="C7986" t="str">
            <v>6,7-Dihydropteridine</v>
          </cell>
        </row>
        <row r="7987">
          <cell r="A7987" t="str">
            <v>ditp_c</v>
          </cell>
          <cell r="B7987" t="str">
            <v>ditp</v>
          </cell>
          <cell r="C7987" t="str">
            <v>DITP(4-)</v>
          </cell>
        </row>
        <row r="7988">
          <cell r="A7988" t="str">
            <v>dmbzid_c</v>
          </cell>
          <cell r="B7988" t="str">
            <v>dmbzid</v>
          </cell>
          <cell r="C7988" t="str">
            <v>5,6-Dimethylbenzimidazole</v>
          </cell>
        </row>
        <row r="7989">
          <cell r="A7989" t="str">
            <v>dmlz_c</v>
          </cell>
          <cell r="B7989" t="str">
            <v>dmlz</v>
          </cell>
          <cell r="C7989" t="str">
            <v>6,7-Dimethyl-8-(1-D-ribityl)lumazine</v>
          </cell>
        </row>
        <row r="7990">
          <cell r="A7990" t="str">
            <v>dsbdrd_c</v>
          </cell>
          <cell r="B7990" t="str">
            <v>dsbdrd</v>
          </cell>
          <cell r="C7990" t="str">
            <v>Fused thiol:disulfide interchange protein (reduced)</v>
          </cell>
        </row>
        <row r="7991">
          <cell r="A7991" t="str">
            <v>dtdp4addg_c</v>
          </cell>
          <cell r="B7991" t="str">
            <v>dtdp4addg</v>
          </cell>
          <cell r="C7991" t="str">
            <v>DTDP-4-amino-4,6-dideoxy-D-galactose</v>
          </cell>
        </row>
        <row r="7992">
          <cell r="A7992" t="str">
            <v>dtmp_c</v>
          </cell>
          <cell r="B7992" t="str">
            <v>dtmp</v>
          </cell>
          <cell r="C7992" t="str">
            <v>DTMP C10H13N2O8P</v>
          </cell>
        </row>
        <row r="7993">
          <cell r="A7993" t="str">
            <v>dudp_c</v>
          </cell>
          <cell r="B7993" t="str">
            <v>dudp</v>
          </cell>
          <cell r="C7993" t="str">
            <v>DUDP C9H11N2O11P2</v>
          </cell>
        </row>
        <row r="7994">
          <cell r="A7994" t="str">
            <v>duri_c</v>
          </cell>
          <cell r="B7994" t="str">
            <v>duri</v>
          </cell>
          <cell r="C7994" t="str">
            <v>Deoxyuridine</v>
          </cell>
        </row>
        <row r="7995">
          <cell r="A7995" t="str">
            <v>enter_c</v>
          </cell>
          <cell r="B7995" t="str">
            <v>enter</v>
          </cell>
          <cell r="C7995" t="str">
            <v>Enterochelin</v>
          </cell>
        </row>
        <row r="7996">
          <cell r="A7996" t="str">
            <v>etoh_c</v>
          </cell>
          <cell r="B7996" t="str">
            <v>etoh</v>
          </cell>
          <cell r="C7996" t="str">
            <v>Ethanol</v>
          </cell>
        </row>
        <row r="7997">
          <cell r="A7997" t="str">
            <v>fadh2_c</v>
          </cell>
          <cell r="B7997" t="str">
            <v>fadh2</v>
          </cell>
          <cell r="C7997" t="str">
            <v>Flavin adenine dinucleotide reduced</v>
          </cell>
        </row>
        <row r="7998">
          <cell r="A7998" t="str">
            <v>fald_c</v>
          </cell>
          <cell r="B7998" t="str">
            <v>fald</v>
          </cell>
          <cell r="C7998" t="str">
            <v>Formaldehyde</v>
          </cell>
        </row>
        <row r="7999">
          <cell r="A7999" t="str">
            <v>fc1p_c</v>
          </cell>
          <cell r="B7999" t="str">
            <v>fc1p</v>
          </cell>
          <cell r="C7999" t="str">
            <v>L-Fuculose 1-phosphate</v>
          </cell>
        </row>
        <row r="8000">
          <cell r="A8000" t="str">
            <v>fe3_c</v>
          </cell>
          <cell r="B8000" t="str">
            <v>fe3</v>
          </cell>
          <cell r="C8000" t="str">
            <v>Iron (Fe3+)</v>
          </cell>
        </row>
        <row r="8001">
          <cell r="A8001" t="str">
            <v>fe3hox_c</v>
          </cell>
          <cell r="B8001" t="str">
            <v>fe3hox</v>
          </cell>
          <cell r="C8001" t="str">
            <v>Fe(III)hydroxamate</v>
          </cell>
        </row>
        <row r="8002">
          <cell r="A8002" t="str">
            <v>fgam_c</v>
          </cell>
          <cell r="B8002" t="str">
            <v>fgam</v>
          </cell>
          <cell r="C8002" t="str">
            <v>N2-Formyl-N1-(5-phospho-D-ribosyl)glycinamide</v>
          </cell>
        </row>
        <row r="8003">
          <cell r="A8003" t="str">
            <v>flxso_c</v>
          </cell>
          <cell r="B8003" t="str">
            <v>flxso</v>
          </cell>
          <cell r="C8003" t="str">
            <v>Flavodoxin semi oxidized</v>
          </cell>
        </row>
        <row r="8004">
          <cell r="A8004" t="str">
            <v>fmn_c</v>
          </cell>
          <cell r="B8004" t="str">
            <v>fmn</v>
          </cell>
          <cell r="C8004" t="str">
            <v>FMN C17H19N4O9P</v>
          </cell>
        </row>
        <row r="8005">
          <cell r="A8005" t="str">
            <v>fpram_c</v>
          </cell>
          <cell r="B8005" t="str">
            <v>fpram</v>
          </cell>
          <cell r="C8005" t="str">
            <v>2-(Formamido)-N1-(5-phospho-D-ribosyl)acetamidine</v>
          </cell>
        </row>
        <row r="8006">
          <cell r="A8006" t="str">
            <v>fru_c</v>
          </cell>
          <cell r="B8006" t="str">
            <v>fru</v>
          </cell>
          <cell r="C8006" t="str">
            <v>D-Fructose</v>
          </cell>
        </row>
        <row r="8007">
          <cell r="A8007" t="str">
            <v>frulys_c</v>
          </cell>
          <cell r="B8007" t="str">
            <v>frulys</v>
          </cell>
          <cell r="C8007" t="str">
            <v>Fructoselysine</v>
          </cell>
        </row>
        <row r="8008">
          <cell r="A8008" t="str">
            <v>frulysp_c</v>
          </cell>
          <cell r="B8008" t="str">
            <v>frulysp</v>
          </cell>
          <cell r="C8008" t="str">
            <v>Fructoselysine Phosphate</v>
          </cell>
        </row>
        <row r="8009">
          <cell r="A8009" t="str">
            <v>g1p_c</v>
          </cell>
          <cell r="B8009" t="str">
            <v>g1p</v>
          </cell>
          <cell r="C8009" t="str">
            <v>D-Glucose 1-phosphate</v>
          </cell>
        </row>
        <row r="8010">
          <cell r="A8010" t="str">
            <v>g3p_c</v>
          </cell>
          <cell r="B8010" t="str">
            <v>g3p</v>
          </cell>
          <cell r="C8010" t="str">
            <v>Glyceraldehyde 3-phosphate</v>
          </cell>
        </row>
        <row r="8011">
          <cell r="A8011" t="str">
            <v>g3ps_c</v>
          </cell>
          <cell r="B8011" t="str">
            <v>g3ps</v>
          </cell>
          <cell r="C8011" t="str">
            <v>Glycerophosphoserine</v>
          </cell>
        </row>
        <row r="8012">
          <cell r="A8012" t="str">
            <v>gagicolipa_c</v>
          </cell>
          <cell r="B8012" t="str">
            <v>gagicolipa</v>
          </cell>
          <cell r="C8012" t="str">
            <v>Galactosyl-glucosyl-inner core oligosaccharide lipid A</v>
          </cell>
        </row>
        <row r="8013">
          <cell r="A8013" t="str">
            <v>galur_c</v>
          </cell>
          <cell r="B8013" t="str">
            <v>galur</v>
          </cell>
          <cell r="C8013" t="str">
            <v>D-Galacturonate</v>
          </cell>
        </row>
        <row r="8014">
          <cell r="A8014" t="str">
            <v>gar_c</v>
          </cell>
          <cell r="B8014" t="str">
            <v>gar</v>
          </cell>
          <cell r="C8014" t="str">
            <v>N1-(5-Phospho-D-ribosyl)glycinamide</v>
          </cell>
        </row>
        <row r="8015">
          <cell r="A8015" t="str">
            <v>garagund_c</v>
          </cell>
          <cell r="B8015" t="str">
            <v>garagund</v>
          </cell>
          <cell r="C8015" t="str">
            <v>Glucosyl-O-acetyl-rhamanosyl-N-acetylglucosamyl-undecaprenyl diphosphate</v>
          </cell>
        </row>
        <row r="8016">
          <cell r="A8016" t="str">
            <v>gbbtn_c</v>
          </cell>
          <cell r="B8016" t="str">
            <v>gbbtn</v>
          </cell>
          <cell r="C8016" t="str">
            <v>Gamma-butyrobetaine</v>
          </cell>
        </row>
        <row r="8017">
          <cell r="A8017" t="str">
            <v>gdp_c</v>
          </cell>
          <cell r="B8017" t="str">
            <v>gdp</v>
          </cell>
          <cell r="C8017" t="str">
            <v>GDP C10H12N5O11P2</v>
          </cell>
        </row>
        <row r="8018">
          <cell r="A8018" t="str">
            <v>gdpddman_c</v>
          </cell>
          <cell r="B8018" t="str">
            <v>gdpddman</v>
          </cell>
          <cell r="C8018" t="str">
            <v>GDP-4-dehydro-6-deoxy-D-mannose</v>
          </cell>
        </row>
        <row r="8019">
          <cell r="A8019" t="str">
            <v>gdpmann_c</v>
          </cell>
          <cell r="B8019" t="str">
            <v>gdpmann</v>
          </cell>
          <cell r="C8019" t="str">
            <v>GDP-D-mannose</v>
          </cell>
        </row>
        <row r="8020">
          <cell r="A8020" t="str">
            <v>gfgaragund_c</v>
          </cell>
          <cell r="B8020" t="str">
            <v>gfgaragund</v>
          </cell>
          <cell r="C8020" t="str">
            <v>Galactofuranosyl-glucosyl-O-acetyl-rhamanosyl-N-acetylglucosamyl-undecaprenyl diphosphate</v>
          </cell>
        </row>
        <row r="8021">
          <cell r="A8021" t="str">
            <v>ggbutal_c</v>
          </cell>
          <cell r="B8021" t="str">
            <v>ggbutal</v>
          </cell>
          <cell r="C8021" t="str">
            <v>Gamma-glutamyl-gamma-butyraldehyde</v>
          </cell>
        </row>
        <row r="8022">
          <cell r="A8022" t="str">
            <v>glc__D_c</v>
          </cell>
          <cell r="B8022" t="str">
            <v>glc__D</v>
          </cell>
          <cell r="C8022" t="str">
            <v>D-Glucose</v>
          </cell>
        </row>
        <row r="8023">
          <cell r="A8023" t="str">
            <v>glcr_c</v>
          </cell>
          <cell r="B8023" t="str">
            <v>glcr</v>
          </cell>
          <cell r="C8023" t="str">
            <v>D-Glucarate</v>
          </cell>
        </row>
        <row r="8024">
          <cell r="A8024" t="str">
            <v>glcur_c</v>
          </cell>
          <cell r="B8024" t="str">
            <v>glcur</v>
          </cell>
          <cell r="C8024" t="str">
            <v>D-Glucuronate</v>
          </cell>
        </row>
        <row r="8025">
          <cell r="A8025" t="str">
            <v>gln__L_c</v>
          </cell>
          <cell r="B8025" t="str">
            <v>gln__L</v>
          </cell>
          <cell r="C8025" t="str">
            <v>L-Glutamine</v>
          </cell>
        </row>
        <row r="8026">
          <cell r="A8026" t="str">
            <v>glu__L_c</v>
          </cell>
          <cell r="B8026" t="str">
            <v>glu__L</v>
          </cell>
          <cell r="C8026" t="str">
            <v>L-Glutamate</v>
          </cell>
        </row>
        <row r="8027">
          <cell r="A8027" t="str">
            <v>glu1sa_c</v>
          </cell>
          <cell r="B8027" t="str">
            <v>glu1sa</v>
          </cell>
          <cell r="C8027" t="str">
            <v>L-Glutamate 1-semialdehyde</v>
          </cell>
        </row>
        <row r="8028">
          <cell r="A8028" t="str">
            <v>glu5p_c</v>
          </cell>
          <cell r="B8028" t="str">
            <v>glu5p</v>
          </cell>
          <cell r="C8028" t="str">
            <v>L-Glutamate 5-phosphate</v>
          </cell>
        </row>
        <row r="8029">
          <cell r="A8029" t="str">
            <v>glyald_c</v>
          </cell>
          <cell r="B8029" t="str">
            <v>glyald</v>
          </cell>
          <cell r="C8029" t="str">
            <v>D-Glyceraldehyde</v>
          </cell>
        </row>
        <row r="8030">
          <cell r="A8030" t="str">
            <v>glyc_c</v>
          </cell>
          <cell r="B8030" t="str">
            <v>glyc</v>
          </cell>
          <cell r="C8030" t="str">
            <v>Glycerol</v>
          </cell>
        </row>
        <row r="8031">
          <cell r="A8031" t="str">
            <v>glycogen_c</v>
          </cell>
          <cell r="B8031" t="str">
            <v>glycogen</v>
          </cell>
          <cell r="C8031" t="str">
            <v>Glycogen C6H10O5</v>
          </cell>
        </row>
        <row r="8032">
          <cell r="A8032" t="str">
            <v>glytrna_c</v>
          </cell>
          <cell r="B8032" t="str">
            <v>glytrna</v>
          </cell>
          <cell r="C8032" t="str">
            <v>Glycyl-tRNA(Gly)</v>
          </cell>
        </row>
        <row r="8033">
          <cell r="A8033" t="str">
            <v>gmhep1p_c</v>
          </cell>
          <cell r="B8033" t="str">
            <v>gmhep1p</v>
          </cell>
          <cell r="C8033" t="str">
            <v>D-Glycero-D-manno-heptose 1-phosphate</v>
          </cell>
        </row>
        <row r="8034">
          <cell r="A8034" t="str">
            <v>gmhep7p_c</v>
          </cell>
          <cell r="B8034" t="str">
            <v>gmhep7p</v>
          </cell>
          <cell r="C8034" t="str">
            <v>D-Glycero-D-manno-heptose 7-phosphate</v>
          </cell>
        </row>
        <row r="8035">
          <cell r="A8035" t="str">
            <v>gp4g_c</v>
          </cell>
          <cell r="B8035" t="str">
            <v>gp4g</v>
          </cell>
          <cell r="C8035" t="str">
            <v>P1,P4-Bis(5'-guanosyl) tetraphosphate</v>
          </cell>
        </row>
        <row r="8036">
          <cell r="A8036" t="str">
            <v>gsn_c</v>
          </cell>
          <cell r="B8036" t="str">
            <v>gsn</v>
          </cell>
          <cell r="C8036" t="str">
            <v>Guanosine</v>
          </cell>
        </row>
        <row r="8037">
          <cell r="A8037" t="str">
            <v>gthox_c</v>
          </cell>
          <cell r="B8037" t="str">
            <v>gthox</v>
          </cell>
          <cell r="C8037" t="str">
            <v>Oxidized glutathione</v>
          </cell>
        </row>
        <row r="8038">
          <cell r="A8038" t="str">
            <v>gtspmd_c</v>
          </cell>
          <cell r="B8038" t="str">
            <v>gtspmd</v>
          </cell>
          <cell r="C8038" t="str">
            <v>Glutathionylspermidine</v>
          </cell>
        </row>
        <row r="8039">
          <cell r="A8039" t="str">
            <v>gua_c</v>
          </cell>
          <cell r="B8039" t="str">
            <v>gua</v>
          </cell>
          <cell r="C8039" t="str">
            <v>Guanine</v>
          </cell>
        </row>
        <row r="8040">
          <cell r="A8040" t="str">
            <v>hdcea_c</v>
          </cell>
          <cell r="B8040" t="str">
            <v>hdcea</v>
          </cell>
          <cell r="C8040" t="str">
            <v>Hexadecenoate (n-C16:1)</v>
          </cell>
        </row>
        <row r="8041">
          <cell r="A8041" t="str">
            <v>hdceap_c</v>
          </cell>
          <cell r="B8041" t="str">
            <v>hdceap</v>
          </cell>
          <cell r="C8041" t="str">
            <v>Hexadecanoyl-phosphate (n-C16:1)</v>
          </cell>
        </row>
        <row r="8042">
          <cell r="A8042" t="str">
            <v>hexACP_c</v>
          </cell>
          <cell r="B8042" t="str">
            <v>hexACP</v>
          </cell>
          <cell r="C8042" t="str">
            <v>Hexanoyl-ACP (n-C6:0ACP)</v>
          </cell>
        </row>
        <row r="8043">
          <cell r="A8043" t="str">
            <v>histd_c</v>
          </cell>
          <cell r="B8043" t="str">
            <v>histd</v>
          </cell>
          <cell r="C8043" t="str">
            <v>L-Histidinol</v>
          </cell>
        </row>
        <row r="8044">
          <cell r="A8044" t="str">
            <v>hkntd_c</v>
          </cell>
          <cell r="B8044" t="str">
            <v>hkntd</v>
          </cell>
          <cell r="C8044" t="str">
            <v>2-hydroxy-6-ketononatrienedioate</v>
          </cell>
        </row>
        <row r="8045">
          <cell r="A8045" t="str">
            <v>hmgth_c</v>
          </cell>
          <cell r="B8045" t="str">
            <v>hmgth</v>
          </cell>
          <cell r="C8045" t="str">
            <v>Hydroxymethylglutathione</v>
          </cell>
        </row>
        <row r="8046">
          <cell r="A8046" t="str">
            <v>hphhlipa_c</v>
          </cell>
          <cell r="B8046" t="str">
            <v>hphhlipa</v>
          </cell>
          <cell r="C8046" t="str">
            <v>Heptosyl-phospho-heptosyl-heptosyl-kdo2-lipidA</v>
          </cell>
        </row>
        <row r="8047">
          <cell r="A8047" t="str">
            <v>hqn_c</v>
          </cell>
          <cell r="B8047" t="str">
            <v>hqn</v>
          </cell>
          <cell r="C8047" t="str">
            <v>Hydroquinone</v>
          </cell>
        </row>
        <row r="8048">
          <cell r="A8048" t="str">
            <v>hxcoa_c</v>
          </cell>
          <cell r="B8048" t="str">
            <v>hxcoa</v>
          </cell>
          <cell r="C8048" t="str">
            <v>Hexanoyl-CoA (n-C6:0CoA)</v>
          </cell>
        </row>
        <row r="8049">
          <cell r="A8049" t="str">
            <v>ichor_c</v>
          </cell>
          <cell r="B8049" t="str">
            <v>ichor</v>
          </cell>
          <cell r="C8049" t="str">
            <v>Isochorismate</v>
          </cell>
        </row>
        <row r="8050">
          <cell r="A8050" t="str">
            <v>icit_c</v>
          </cell>
          <cell r="B8050" t="str">
            <v>icit</v>
          </cell>
          <cell r="C8050" t="str">
            <v>Isocitrate</v>
          </cell>
        </row>
        <row r="8051">
          <cell r="A8051" t="str">
            <v>idon__L_c</v>
          </cell>
          <cell r="B8051" t="str">
            <v>idon__L</v>
          </cell>
          <cell r="C8051" t="str">
            <v>L-Idonate</v>
          </cell>
        </row>
        <row r="8052">
          <cell r="A8052" t="str">
            <v>idp_c</v>
          </cell>
          <cell r="B8052" t="str">
            <v>idp</v>
          </cell>
          <cell r="C8052" t="str">
            <v>IDP C10H11N4O11P2</v>
          </cell>
        </row>
        <row r="8053">
          <cell r="A8053" t="str">
            <v>ile__L_c</v>
          </cell>
          <cell r="B8053" t="str">
            <v>ile__L</v>
          </cell>
          <cell r="C8053" t="str">
            <v>L-Isoleucine</v>
          </cell>
        </row>
        <row r="8054">
          <cell r="A8054" t="str">
            <v>imacp_c</v>
          </cell>
          <cell r="B8054" t="str">
            <v>imacp</v>
          </cell>
          <cell r="C8054" t="str">
            <v>3-(Imidazol-4-yl)-2-oxopropyl phosphate</v>
          </cell>
        </row>
        <row r="8055">
          <cell r="A8055" t="str">
            <v>iscu_c</v>
          </cell>
          <cell r="B8055" t="str">
            <v>iscu</v>
          </cell>
          <cell r="C8055" t="str">
            <v>IscU scaffold protein</v>
          </cell>
        </row>
        <row r="8056">
          <cell r="A8056" t="str">
            <v>iscu_2fe2s_c</v>
          </cell>
          <cell r="B8056" t="str">
            <v>iscu_2fe2s</v>
          </cell>
          <cell r="C8056" t="str">
            <v>IscU with bound [2Fe-2S] cluster</v>
          </cell>
        </row>
        <row r="8057">
          <cell r="A8057" t="str">
            <v>isetac_c</v>
          </cell>
          <cell r="B8057" t="str">
            <v>isetac</v>
          </cell>
          <cell r="C8057" t="str">
            <v>Isethionic acid</v>
          </cell>
        </row>
        <row r="8058">
          <cell r="A8058" t="str">
            <v>itp_c</v>
          </cell>
          <cell r="B8058" t="str">
            <v>itp</v>
          </cell>
          <cell r="C8058" t="str">
            <v>ITP C10H11N4O14P3</v>
          </cell>
        </row>
        <row r="8059">
          <cell r="A8059" t="str">
            <v>k_c</v>
          </cell>
          <cell r="B8059" t="str">
            <v>k</v>
          </cell>
          <cell r="C8059" t="str">
            <v>Potassium</v>
          </cell>
        </row>
        <row r="8060">
          <cell r="A8060" t="str">
            <v>kdolipid4_c</v>
          </cell>
          <cell r="B8060" t="str">
            <v>kdolipid4</v>
          </cell>
          <cell r="C8060" t="str">
            <v>KDO-lipid IV(A)</v>
          </cell>
        </row>
        <row r="8061">
          <cell r="A8061" t="str">
            <v>lald__D_c</v>
          </cell>
          <cell r="B8061" t="str">
            <v>lald__D</v>
          </cell>
          <cell r="C8061" t="str">
            <v>D-Lactaldehyde</v>
          </cell>
        </row>
        <row r="8062">
          <cell r="A8062" t="str">
            <v>lgt__S_c</v>
          </cell>
          <cell r="B8062" t="str">
            <v>lgt__S</v>
          </cell>
          <cell r="C8062" t="str">
            <v>(R)-S-Lactoylglutathione</v>
          </cell>
        </row>
        <row r="8063">
          <cell r="A8063" t="str">
            <v>lipopb_c</v>
          </cell>
          <cell r="B8063" t="str">
            <v>lipopb</v>
          </cell>
          <cell r="C8063" t="str">
            <v>Lipoate (protein bound)</v>
          </cell>
        </row>
        <row r="8064">
          <cell r="A8064" t="str">
            <v>lystrna_c</v>
          </cell>
          <cell r="B8064" t="str">
            <v>lystrna</v>
          </cell>
          <cell r="C8064" t="str">
            <v>L-Lysine-tRNA (Lys)</v>
          </cell>
        </row>
        <row r="8065">
          <cell r="A8065" t="str">
            <v>maltttr_c</v>
          </cell>
          <cell r="B8065" t="str">
            <v>maltttr</v>
          </cell>
          <cell r="C8065" t="str">
            <v>Maltotetraose</v>
          </cell>
        </row>
        <row r="8066">
          <cell r="A8066" t="str">
            <v>man1p_c</v>
          </cell>
          <cell r="B8066" t="str">
            <v>man1p</v>
          </cell>
          <cell r="C8066" t="str">
            <v>D-Mannose 1-phosphate</v>
          </cell>
        </row>
        <row r="8067">
          <cell r="A8067" t="str">
            <v>man6pglyc_c</v>
          </cell>
          <cell r="B8067" t="str">
            <v>man6pglyc</v>
          </cell>
          <cell r="C8067" t="str">
            <v>2(alpha-D-Mannosyl-6-phosphate)-D-glycerate</v>
          </cell>
        </row>
        <row r="8068">
          <cell r="A8068" t="str">
            <v>mana_c</v>
          </cell>
          <cell r="B8068" t="str">
            <v>mana</v>
          </cell>
          <cell r="C8068" t="str">
            <v>D-Mannonate</v>
          </cell>
        </row>
        <row r="8069">
          <cell r="A8069" t="str">
            <v>mdhdhf_c</v>
          </cell>
          <cell r="B8069" t="str">
            <v>mdhdhf</v>
          </cell>
          <cell r="C8069" t="str">
            <v>(2R,4S)-2-methyl-2,4-dihydroxydihydrofuran-3-one</v>
          </cell>
        </row>
        <row r="8070">
          <cell r="A8070" t="str">
            <v>met__D_c</v>
          </cell>
          <cell r="B8070" t="str">
            <v>met__D</v>
          </cell>
          <cell r="C8070" t="str">
            <v>D-Methionine</v>
          </cell>
        </row>
        <row r="8071">
          <cell r="A8071" t="str">
            <v>methf_c</v>
          </cell>
          <cell r="B8071" t="str">
            <v>methf</v>
          </cell>
          <cell r="C8071" t="str">
            <v>5,10-Methenyltetrahydrofolate</v>
          </cell>
        </row>
        <row r="8072">
          <cell r="A8072" t="str">
            <v>mg2_c</v>
          </cell>
          <cell r="B8072" t="str">
            <v>mg2</v>
          </cell>
          <cell r="C8072" t="str">
            <v>Magnesium</v>
          </cell>
        </row>
        <row r="8073">
          <cell r="A8073" t="str">
            <v>mi1p__D_c</v>
          </cell>
          <cell r="B8073" t="str">
            <v>mi1p__D</v>
          </cell>
          <cell r="C8073" t="str">
            <v>1D-myo-Inositol 1-phosphate</v>
          </cell>
        </row>
        <row r="8074">
          <cell r="A8074" t="str">
            <v>mnl1p_c</v>
          </cell>
          <cell r="B8074" t="str">
            <v>mnl1p</v>
          </cell>
          <cell r="C8074" t="str">
            <v>D-Mannitol 1-phosphate</v>
          </cell>
        </row>
        <row r="8075">
          <cell r="A8075" t="str">
            <v>mptamp_c</v>
          </cell>
          <cell r="B8075" t="str">
            <v>mptamp</v>
          </cell>
          <cell r="C8075" t="str">
            <v>Adenylated molybdopterin</v>
          </cell>
        </row>
        <row r="8076">
          <cell r="A8076" t="str">
            <v>mqn8_c</v>
          </cell>
          <cell r="B8076" t="str">
            <v>mqn8</v>
          </cell>
          <cell r="C8076" t="str">
            <v>Menaquinone 8</v>
          </cell>
        </row>
        <row r="8077">
          <cell r="A8077" t="str">
            <v>mso3_c</v>
          </cell>
          <cell r="B8077" t="str">
            <v>mso3</v>
          </cell>
          <cell r="C8077" t="str">
            <v>Methanesulfonate</v>
          </cell>
        </row>
        <row r="8078">
          <cell r="A8078" t="str">
            <v>n2o_c</v>
          </cell>
          <cell r="B8078" t="str">
            <v>n2o</v>
          </cell>
          <cell r="C8078" t="str">
            <v>Nitrous oxide</v>
          </cell>
        </row>
        <row r="8079">
          <cell r="A8079" t="str">
            <v>nadh_c</v>
          </cell>
          <cell r="B8079" t="str">
            <v>nadh</v>
          </cell>
          <cell r="C8079" t="str">
            <v>Nicotinamide adenine dinucleotide - reduced</v>
          </cell>
        </row>
        <row r="8080">
          <cell r="A8080" t="str">
            <v>no2_c</v>
          </cell>
          <cell r="B8080" t="str">
            <v>no2</v>
          </cell>
          <cell r="C8080" t="str">
            <v>Nitrite</v>
          </cell>
        </row>
        <row r="8081">
          <cell r="A8081" t="str">
            <v>o2s_c</v>
          </cell>
          <cell r="B8081" t="str">
            <v>o2s</v>
          </cell>
          <cell r="C8081" t="str">
            <v>Superoxide anion</v>
          </cell>
        </row>
        <row r="8082">
          <cell r="A8082" t="str">
            <v>oc2coa_c</v>
          </cell>
          <cell r="B8082" t="str">
            <v>oc2coa</v>
          </cell>
          <cell r="C8082" t="str">
            <v>Trans-Oct-2-enoyl-CoA</v>
          </cell>
        </row>
        <row r="8083">
          <cell r="A8083" t="str">
            <v>ocACP_c</v>
          </cell>
          <cell r="B8083" t="str">
            <v>ocACP</v>
          </cell>
          <cell r="C8083" t="str">
            <v>Octanoyl-ACP (n-C8:0ACP)</v>
          </cell>
        </row>
        <row r="8084">
          <cell r="A8084" t="str">
            <v>occoa_c</v>
          </cell>
          <cell r="B8084" t="str">
            <v>occoa</v>
          </cell>
          <cell r="C8084" t="str">
            <v>Octanoyl-CoA (n-C8:0CoA)</v>
          </cell>
        </row>
        <row r="8085">
          <cell r="A8085" t="str">
            <v>ocdceap_c</v>
          </cell>
          <cell r="B8085" t="str">
            <v>ocdceap</v>
          </cell>
          <cell r="C8085" t="str">
            <v>Octadecanoyl-phosphate (n-C18:1)</v>
          </cell>
        </row>
        <row r="8086">
          <cell r="A8086" t="str">
            <v>op4en_c</v>
          </cell>
          <cell r="B8086" t="str">
            <v>op4en</v>
          </cell>
          <cell r="C8086" t="str">
            <v>2-Oxopent-4-enoate</v>
          </cell>
        </row>
        <row r="8087">
          <cell r="A8087" t="str">
            <v>orot5p_c</v>
          </cell>
          <cell r="B8087" t="str">
            <v>orot5p</v>
          </cell>
          <cell r="C8087" t="str">
            <v>Orotidine 5'-phosphate</v>
          </cell>
        </row>
        <row r="8088">
          <cell r="A8088" t="str">
            <v>oxa_c</v>
          </cell>
          <cell r="B8088" t="str">
            <v>oxa</v>
          </cell>
          <cell r="C8088" t="str">
            <v>Oxalate</v>
          </cell>
        </row>
        <row r="8089">
          <cell r="A8089" t="str">
            <v>pa160_c</v>
          </cell>
          <cell r="B8089" t="str">
            <v>pa160</v>
          </cell>
          <cell r="C8089" t="str">
            <v>1,2-dihexadecanoyl-sn-glycerol 3-phosphate</v>
          </cell>
        </row>
        <row r="8090">
          <cell r="A8090" t="str">
            <v>pa161_c</v>
          </cell>
          <cell r="B8090" t="str">
            <v>pa161</v>
          </cell>
          <cell r="C8090" t="str">
            <v>1,2-dihexadec-9-enoyl-sn-glycerol 3-phosphate</v>
          </cell>
        </row>
        <row r="8091">
          <cell r="A8091" t="str">
            <v>palmACP_c</v>
          </cell>
          <cell r="B8091" t="str">
            <v>palmACP</v>
          </cell>
          <cell r="C8091" t="str">
            <v>Palmitoyl-ACP (n-C16:0ACP)</v>
          </cell>
        </row>
        <row r="8092">
          <cell r="A8092" t="str">
            <v>paps_c</v>
          </cell>
          <cell r="B8092" t="str">
            <v>paps</v>
          </cell>
          <cell r="C8092" t="str">
            <v>3'-Phosphoadenylyl sulfate</v>
          </cell>
        </row>
        <row r="8093">
          <cell r="A8093" t="str">
            <v>pdx5p_c</v>
          </cell>
          <cell r="B8093" t="str">
            <v>pdx5p</v>
          </cell>
          <cell r="C8093" t="str">
            <v>Pyridoxine 5'-phosphate</v>
          </cell>
        </row>
        <row r="8094">
          <cell r="A8094" t="str">
            <v>pe140_c</v>
          </cell>
          <cell r="B8094" t="str">
            <v>pe140</v>
          </cell>
          <cell r="C8094" t="str">
            <v>Phosphatidylethanolamine (ditetradecanoyl, n-C14:0)</v>
          </cell>
        </row>
        <row r="8095">
          <cell r="A8095" t="str">
            <v>pe141_c</v>
          </cell>
          <cell r="B8095" t="str">
            <v>pe141</v>
          </cell>
          <cell r="C8095" t="str">
            <v>Phosphatidylethanolamine (ditetradec-7-enoyl, n-C14:1)</v>
          </cell>
        </row>
        <row r="8096">
          <cell r="A8096" t="str">
            <v>pe180_c</v>
          </cell>
          <cell r="B8096" t="str">
            <v>pe180</v>
          </cell>
          <cell r="C8096" t="str">
            <v>Phosphatidylethanolamine (dioctadecanoyl, n-C18:0)</v>
          </cell>
        </row>
        <row r="8097">
          <cell r="A8097" t="str">
            <v>pep_c</v>
          </cell>
          <cell r="B8097" t="str">
            <v>pep</v>
          </cell>
          <cell r="C8097" t="str">
            <v>Phosphoenolpyruvate</v>
          </cell>
        </row>
        <row r="8098">
          <cell r="A8098" t="str">
            <v>pg181_c</v>
          </cell>
          <cell r="B8098" t="str">
            <v>pg181</v>
          </cell>
          <cell r="C8098" t="str">
            <v>Phosphatidylglycerol (dioctadec-11-enoyl, n-C18:1)</v>
          </cell>
        </row>
        <row r="8099">
          <cell r="A8099" t="str">
            <v>pgp120_c</v>
          </cell>
          <cell r="B8099" t="str">
            <v>pgp120</v>
          </cell>
          <cell r="C8099" t="str">
            <v>Phosphatidylglycerophosphate (didodecanoyl, n-C12:0)</v>
          </cell>
        </row>
        <row r="8100">
          <cell r="A8100" t="str">
            <v>pgp180_c</v>
          </cell>
          <cell r="B8100" t="str">
            <v>pgp180</v>
          </cell>
          <cell r="C8100" t="str">
            <v>Phosphatidylglycerophosphate (dioctadecanoyl, n-C18:0)</v>
          </cell>
        </row>
        <row r="8101">
          <cell r="A8101" t="str">
            <v>pgp181_c</v>
          </cell>
          <cell r="B8101" t="str">
            <v>pgp181</v>
          </cell>
          <cell r="C8101" t="str">
            <v>Phosphatidylglycerophosphate (dioctadec-11-enoyl, n-C18:1)</v>
          </cell>
        </row>
        <row r="8102">
          <cell r="A8102" t="str">
            <v>phom_c</v>
          </cell>
          <cell r="B8102" t="str">
            <v>phom</v>
          </cell>
          <cell r="C8102" t="str">
            <v>O-Phospho-L-homoserine</v>
          </cell>
        </row>
        <row r="8103">
          <cell r="A8103" t="str">
            <v>pmtcoa_c</v>
          </cell>
          <cell r="B8103" t="str">
            <v>pmtcoa</v>
          </cell>
          <cell r="C8103" t="str">
            <v>Palmitoyl-CoA (n-C16:0CoA)</v>
          </cell>
        </row>
        <row r="8104">
          <cell r="A8104" t="str">
            <v>ppgpp_c</v>
          </cell>
          <cell r="B8104" t="str">
            <v>ppgpp</v>
          </cell>
          <cell r="C8104" t="str">
            <v>Guanosine 3',5'-bis(diphosphate)</v>
          </cell>
        </row>
        <row r="8105">
          <cell r="A8105" t="str">
            <v>pphn_c</v>
          </cell>
          <cell r="B8105" t="str">
            <v>pphn</v>
          </cell>
          <cell r="C8105" t="str">
            <v>Prephenate</v>
          </cell>
        </row>
        <row r="8106">
          <cell r="A8106" t="str">
            <v>pppi_c</v>
          </cell>
          <cell r="B8106" t="str">
            <v>pppi</v>
          </cell>
          <cell r="C8106" t="str">
            <v>Inorganic triphosphate</v>
          </cell>
        </row>
        <row r="8107">
          <cell r="A8107" t="str">
            <v>pppn_c</v>
          </cell>
          <cell r="B8107" t="str">
            <v>pppn</v>
          </cell>
          <cell r="C8107" t="str">
            <v>Phenylpropanoate</v>
          </cell>
        </row>
        <row r="8108">
          <cell r="A8108" t="str">
            <v>prfp_c</v>
          </cell>
          <cell r="B8108" t="str">
            <v>prfp</v>
          </cell>
          <cell r="C8108" t="str">
            <v>1-(5-Phosphoribosyl)-5-[(5-phosphoribosylamino)methylideneamino]imidazole-4-carboxamide</v>
          </cell>
        </row>
        <row r="8109">
          <cell r="A8109" t="str">
            <v>pro__L_c</v>
          </cell>
          <cell r="B8109" t="str">
            <v>pro__L</v>
          </cell>
          <cell r="C8109" t="str">
            <v>L-Proline</v>
          </cell>
        </row>
        <row r="8110">
          <cell r="A8110" t="str">
            <v>protrna_c</v>
          </cell>
          <cell r="B8110" t="str">
            <v>protrna</v>
          </cell>
          <cell r="C8110" t="str">
            <v>L-Prolyl-tRNA(Pro)</v>
          </cell>
        </row>
        <row r="8111">
          <cell r="A8111" t="str">
            <v>ps141_c</v>
          </cell>
          <cell r="B8111" t="str">
            <v>ps141</v>
          </cell>
          <cell r="C8111" t="str">
            <v>Phosphatidylserine (ditetradec-7-enoyl, n-C14:1)</v>
          </cell>
        </row>
        <row r="8112">
          <cell r="A8112" t="str">
            <v>ptrc_c</v>
          </cell>
          <cell r="B8112" t="str">
            <v>ptrc</v>
          </cell>
          <cell r="C8112" t="str">
            <v>Putrescine</v>
          </cell>
        </row>
        <row r="8113">
          <cell r="A8113" t="str">
            <v>pyr_c</v>
          </cell>
          <cell r="B8113" t="str">
            <v>pyr</v>
          </cell>
          <cell r="C8113" t="str">
            <v>Pyruvate</v>
          </cell>
        </row>
        <row r="8114">
          <cell r="A8114" t="str">
            <v>quin_c</v>
          </cell>
          <cell r="B8114" t="str">
            <v>quin</v>
          </cell>
          <cell r="C8114" t="str">
            <v>Quinate</v>
          </cell>
        </row>
        <row r="8115">
          <cell r="A8115" t="str">
            <v>rbflvrd_c</v>
          </cell>
          <cell r="B8115" t="str">
            <v>rbflvrd</v>
          </cell>
          <cell r="C8115" t="str">
            <v>Reduced riboflavin</v>
          </cell>
        </row>
        <row r="8116">
          <cell r="A8116" t="str">
            <v>rbl__L_c</v>
          </cell>
          <cell r="B8116" t="str">
            <v>rbl__L</v>
          </cell>
          <cell r="C8116" t="str">
            <v>L-Ribulose</v>
          </cell>
        </row>
        <row r="8117">
          <cell r="A8117" t="str">
            <v>rephaccoa_c</v>
          </cell>
          <cell r="B8117" t="str">
            <v>rephaccoa</v>
          </cell>
          <cell r="C8117" t="str">
            <v>Ring 1,2-epoxyphenylacetyl-CoA</v>
          </cell>
        </row>
        <row r="8118">
          <cell r="A8118" t="str">
            <v>rmn_c</v>
          </cell>
          <cell r="B8118" t="str">
            <v>rmn</v>
          </cell>
          <cell r="C8118" t="str">
            <v>L-Rhamnose</v>
          </cell>
        </row>
        <row r="8119">
          <cell r="A8119" t="str">
            <v>sbzcoa_c</v>
          </cell>
          <cell r="B8119" t="str">
            <v>sbzcoa</v>
          </cell>
          <cell r="C8119" t="str">
            <v>O-Succinylbenzoyl-CoA</v>
          </cell>
        </row>
        <row r="8120">
          <cell r="A8120" t="str">
            <v>seln_c</v>
          </cell>
          <cell r="B8120" t="str">
            <v>seln</v>
          </cell>
          <cell r="C8120" t="str">
            <v>Selenide</v>
          </cell>
        </row>
        <row r="8121">
          <cell r="A8121" t="str">
            <v>ser__L_c</v>
          </cell>
          <cell r="B8121" t="str">
            <v>ser__L</v>
          </cell>
          <cell r="C8121" t="str">
            <v>L-Serine</v>
          </cell>
        </row>
        <row r="8122">
          <cell r="A8122" t="str">
            <v>seramp_c</v>
          </cell>
          <cell r="B8122" t="str">
            <v>seramp</v>
          </cell>
          <cell r="C8122" t="str">
            <v>L-seryl-AMP</v>
          </cell>
        </row>
        <row r="8123">
          <cell r="A8123" t="str">
            <v>sheme_c</v>
          </cell>
          <cell r="B8123" t="str">
            <v>sheme</v>
          </cell>
          <cell r="C8123" t="str">
            <v>Siroheme C42H36FeN4O16</v>
          </cell>
        </row>
        <row r="8124">
          <cell r="A8124" t="str">
            <v>sl2a6o_c</v>
          </cell>
          <cell r="B8124" t="str">
            <v>sl2a6o</v>
          </cell>
          <cell r="C8124" t="str">
            <v>N-Succinyl-2-L-amino-6-oxoheptanedioate</v>
          </cell>
        </row>
        <row r="8125">
          <cell r="A8125" t="str">
            <v>so4_c</v>
          </cell>
          <cell r="B8125" t="str">
            <v>so4</v>
          </cell>
          <cell r="C8125" t="str">
            <v>Sulfate</v>
          </cell>
        </row>
        <row r="8126">
          <cell r="A8126" t="str">
            <v>spmd_c</v>
          </cell>
          <cell r="B8126" t="str">
            <v>spmd</v>
          </cell>
          <cell r="C8126" t="str">
            <v>Spermidine</v>
          </cell>
        </row>
        <row r="8127">
          <cell r="A8127" t="str">
            <v>stcoa_c</v>
          </cell>
          <cell r="B8127" t="str">
            <v>stcoa</v>
          </cell>
          <cell r="C8127" t="str">
            <v>Stearoyl-CoA (n-C18:0CoA)</v>
          </cell>
        </row>
        <row r="8128">
          <cell r="A8128" t="str">
            <v>sucarg_c</v>
          </cell>
          <cell r="B8128" t="str">
            <v>sucarg</v>
          </cell>
          <cell r="C8128" t="str">
            <v>N2-Succinyl-L-arginine</v>
          </cell>
        </row>
        <row r="8129">
          <cell r="A8129" t="str">
            <v>succoa_c</v>
          </cell>
          <cell r="B8129" t="str">
            <v>succoa</v>
          </cell>
          <cell r="C8129" t="str">
            <v>Succinyl-CoA</v>
          </cell>
        </row>
        <row r="8130">
          <cell r="A8130" t="str">
            <v>suchms_c</v>
          </cell>
          <cell r="B8130" t="str">
            <v>suchms</v>
          </cell>
          <cell r="C8130" t="str">
            <v>O-Succinyl-L-homoserine</v>
          </cell>
        </row>
        <row r="8131">
          <cell r="A8131" t="str">
            <v>sufse_c</v>
          </cell>
          <cell r="B8131" t="str">
            <v>sufse</v>
          </cell>
          <cell r="C8131" t="str">
            <v>SufSE sulfur acceptor complex</v>
          </cell>
        </row>
        <row r="8132">
          <cell r="A8132" t="str">
            <v>t3c11vaceACP_c</v>
          </cell>
          <cell r="B8132" t="str">
            <v>t3c11vaceACP</v>
          </cell>
          <cell r="C8132" t="str">
            <v>Trans-3-cis-11-vacceoyl-[acyl-carrier protein]</v>
          </cell>
        </row>
        <row r="8133">
          <cell r="A8133" t="str">
            <v>t3c9palmeACP_c</v>
          </cell>
          <cell r="B8133" t="str">
            <v>t3c9palmeACP</v>
          </cell>
          <cell r="C8133" t="str">
            <v>Trans-3-cis-9-palmitoleoyl-[acyl-carrier protein]</v>
          </cell>
        </row>
        <row r="8134">
          <cell r="A8134" t="str">
            <v>tag6p__D_c</v>
          </cell>
          <cell r="B8134" t="str">
            <v>tag6p__D</v>
          </cell>
          <cell r="C8134" t="str">
            <v>D-Tagatose 6-phosphate</v>
          </cell>
        </row>
        <row r="8135">
          <cell r="A8135" t="str">
            <v>taur_c</v>
          </cell>
          <cell r="B8135" t="str">
            <v>taur</v>
          </cell>
          <cell r="C8135" t="str">
            <v>Taurine C2H7NO3S</v>
          </cell>
        </row>
        <row r="8136">
          <cell r="A8136" t="str">
            <v>td2coa_c</v>
          </cell>
          <cell r="B8136" t="str">
            <v>td2coa</v>
          </cell>
          <cell r="C8136" t="str">
            <v>Trans-Tetradec-2-enoyl-CoA</v>
          </cell>
        </row>
        <row r="8137">
          <cell r="A8137" t="str">
            <v>toctd2eACP_c</v>
          </cell>
          <cell r="B8137" t="str">
            <v>toctd2eACP</v>
          </cell>
          <cell r="C8137" t="str">
            <v>Trans-octadec-2-enoyl-[acyl-carrier protein]</v>
          </cell>
        </row>
        <row r="8138">
          <cell r="A8138" t="str">
            <v>trdox_c</v>
          </cell>
          <cell r="B8138" t="str">
            <v>trdox</v>
          </cell>
          <cell r="C8138" t="str">
            <v>Oxidized thioredoxin</v>
          </cell>
        </row>
        <row r="8139">
          <cell r="A8139" t="str">
            <v>trdrd_c</v>
          </cell>
          <cell r="B8139" t="str">
            <v>trdrd</v>
          </cell>
          <cell r="C8139" t="str">
            <v>Reduced thioredoxin</v>
          </cell>
        </row>
        <row r="8140">
          <cell r="A8140" t="str">
            <v>tre_c</v>
          </cell>
          <cell r="B8140" t="str">
            <v>tre</v>
          </cell>
          <cell r="C8140" t="str">
            <v>Trehalose</v>
          </cell>
        </row>
        <row r="8141">
          <cell r="A8141" t="str">
            <v>trnacys_c</v>
          </cell>
          <cell r="B8141" t="str">
            <v>trnacys</v>
          </cell>
          <cell r="C8141" t="str">
            <v>TRNA(Cys)</v>
          </cell>
        </row>
        <row r="8142">
          <cell r="A8142" t="str">
            <v>trnagly_c</v>
          </cell>
          <cell r="B8142" t="str">
            <v>trnagly</v>
          </cell>
          <cell r="C8142" t="str">
            <v>TRNA(Gly)</v>
          </cell>
        </row>
        <row r="8143">
          <cell r="A8143" t="str">
            <v>trnapro_c</v>
          </cell>
          <cell r="B8143" t="str">
            <v>trnapro</v>
          </cell>
          <cell r="C8143" t="str">
            <v>TRNA(Pro)</v>
          </cell>
        </row>
        <row r="8144">
          <cell r="A8144" t="str">
            <v>trnathr_c</v>
          </cell>
          <cell r="B8144" t="str">
            <v>trnathr</v>
          </cell>
          <cell r="C8144" t="str">
            <v>TRNA(Thr)</v>
          </cell>
        </row>
        <row r="8145">
          <cell r="A8145" t="str">
            <v>ttdceap_c</v>
          </cell>
          <cell r="B8145" t="str">
            <v>ttdceap</v>
          </cell>
          <cell r="C8145" t="str">
            <v>Tetradecanoyl-phosphate (n-C14:1)</v>
          </cell>
        </row>
        <row r="8146">
          <cell r="A8146" t="str">
            <v>uLa4n_c</v>
          </cell>
          <cell r="B8146" t="str">
            <v>uLa4n</v>
          </cell>
          <cell r="C8146" t="str">
            <v>Undecaprenyl phosphate-4-amino-4-deoxy-L-arabinose</v>
          </cell>
        </row>
        <row r="8147">
          <cell r="A8147" t="str">
            <v>uaccg_c</v>
          </cell>
          <cell r="B8147" t="str">
            <v>uaccg</v>
          </cell>
          <cell r="C8147" t="str">
            <v>UDP-N-acetyl-3-O-(1-carboxyvinyl)-D-glucosamine</v>
          </cell>
        </row>
        <row r="8148">
          <cell r="A8148" t="str">
            <v>uagmda_c</v>
          </cell>
          <cell r="B8148" t="str">
            <v>uagmda</v>
          </cell>
          <cell r="C8148" t="str">
            <v>Undecaprenyl-diphospho-N-acetylmuramoyl-L-alanyl-D-glutamyl-meso-2,6-diaminopimeloyl-D-alanyl-D-alanine</v>
          </cell>
        </row>
        <row r="8149">
          <cell r="A8149" t="str">
            <v>udp_c</v>
          </cell>
          <cell r="B8149" t="str">
            <v>udp</v>
          </cell>
          <cell r="C8149" t="str">
            <v>UDP C9H11N2O12P2</v>
          </cell>
        </row>
        <row r="8150">
          <cell r="A8150" t="str">
            <v>udpg_c</v>
          </cell>
          <cell r="B8150" t="str">
            <v>udpg</v>
          </cell>
          <cell r="C8150" t="str">
            <v>UDPglucose</v>
          </cell>
        </row>
        <row r="8151">
          <cell r="A8151" t="str">
            <v>um4p_c</v>
          </cell>
          <cell r="B8151" t="str">
            <v>um4p</v>
          </cell>
          <cell r="C8151" t="str">
            <v>UDP-N-acetylmuramoyl-L-alanyl-D-gamma-glutamyl-meso-2,6-diaminopimelate-D-alanine</v>
          </cell>
        </row>
        <row r="8152">
          <cell r="A8152" t="str">
            <v>unaga_c</v>
          </cell>
          <cell r="B8152" t="str">
            <v>unaga</v>
          </cell>
          <cell r="C8152" t="str">
            <v>Undecaprenyl diphospho N-acetyl-glucosamine</v>
          </cell>
        </row>
        <row r="8153">
          <cell r="A8153" t="str">
            <v>unagamuf_c</v>
          </cell>
          <cell r="B8153" t="str">
            <v>unagamuf</v>
          </cell>
          <cell r="C8153" t="str">
            <v>Undecaprenyl-diphospho N-acetylglucosamine-N-acetylmannosaminuronate-N-acetamido-4,6-dideoxy-D-galactose</v>
          </cell>
        </row>
        <row r="8154">
          <cell r="A8154" t="str">
            <v>uppg3_c</v>
          </cell>
          <cell r="B8154" t="str">
            <v>uppg3</v>
          </cell>
          <cell r="C8154" t="str">
            <v>Uroporphyrinogen III</v>
          </cell>
        </row>
        <row r="8155">
          <cell r="A8155" t="str">
            <v>uri_c</v>
          </cell>
          <cell r="B8155" t="str">
            <v>uri</v>
          </cell>
          <cell r="C8155" t="str">
            <v>Uridine</v>
          </cell>
        </row>
        <row r="8156">
          <cell r="A8156" t="str">
            <v>utp_c</v>
          </cell>
          <cell r="B8156" t="str">
            <v>utp</v>
          </cell>
          <cell r="C8156" t="str">
            <v>UTP C9H11N2O15P3</v>
          </cell>
        </row>
        <row r="8157">
          <cell r="A8157" t="str">
            <v>xmp_c</v>
          </cell>
          <cell r="B8157" t="str">
            <v>xmp</v>
          </cell>
          <cell r="C8157" t="str">
            <v>Xanthosine 5'-phosphate</v>
          </cell>
        </row>
        <row r="8158">
          <cell r="A8158" t="str">
            <v>xu5p__L_c</v>
          </cell>
          <cell r="B8158" t="str">
            <v>xu5p__L</v>
          </cell>
          <cell r="C8158" t="str">
            <v>L-Xylulose 5-phosphate</v>
          </cell>
        </row>
        <row r="8159">
          <cell r="A8159" t="str">
            <v>14glucan_e</v>
          </cell>
          <cell r="B8159" t="str">
            <v>14glucan</v>
          </cell>
          <cell r="C8159" t="str">
            <v>1,4-alpha-D-glucan</v>
          </cell>
        </row>
        <row r="8160">
          <cell r="A8160" t="str">
            <v>15dap_e</v>
          </cell>
          <cell r="B8160" t="str">
            <v>15dap</v>
          </cell>
          <cell r="C8160" t="str">
            <v>1,5-Diaminopentane</v>
          </cell>
        </row>
        <row r="8161">
          <cell r="A8161" t="str">
            <v>3amp_e</v>
          </cell>
          <cell r="B8161" t="str">
            <v>3amp</v>
          </cell>
          <cell r="C8161" t="str">
            <v>3  AMP C10H12N5O7P</v>
          </cell>
        </row>
        <row r="8162">
          <cell r="A8162" t="str">
            <v>3hpppn_e</v>
          </cell>
          <cell r="B8162" t="str">
            <v>3hpppn</v>
          </cell>
          <cell r="C8162" t="str">
            <v>3-(3-hydroxy-phenyl)propionate</v>
          </cell>
        </row>
        <row r="8163">
          <cell r="A8163" t="str">
            <v>4hoxpacd_e</v>
          </cell>
          <cell r="B8163" t="str">
            <v>4hoxpacd</v>
          </cell>
          <cell r="C8163" t="str">
            <v>4-Hydroxyphenylacetaldehyde</v>
          </cell>
        </row>
        <row r="8164">
          <cell r="A8164" t="str">
            <v>5mtr_e</v>
          </cell>
          <cell r="B8164" t="str">
            <v>5mtr</v>
          </cell>
          <cell r="C8164" t="str">
            <v>5-Methylthio-D-ribose</v>
          </cell>
        </row>
        <row r="8165">
          <cell r="A8165" t="str">
            <v>acald_e</v>
          </cell>
          <cell r="B8165" t="str">
            <v>acald</v>
          </cell>
          <cell r="C8165" t="str">
            <v>Acetaldehyde</v>
          </cell>
        </row>
        <row r="8166">
          <cell r="A8166" t="str">
            <v>acgal_e</v>
          </cell>
          <cell r="B8166" t="str">
            <v>acgal</v>
          </cell>
          <cell r="C8166" t="str">
            <v>N-Acetyl-D-galactosamine</v>
          </cell>
        </row>
        <row r="8167">
          <cell r="A8167" t="str">
            <v>acmum_e</v>
          </cell>
          <cell r="B8167" t="str">
            <v>acmum</v>
          </cell>
          <cell r="C8167" t="str">
            <v>N-Acetylmuramate</v>
          </cell>
        </row>
        <row r="8168">
          <cell r="A8168" t="str">
            <v>acser_e</v>
          </cell>
          <cell r="B8168" t="str">
            <v>acser</v>
          </cell>
          <cell r="C8168" t="str">
            <v>O-Acetyl-L-serine</v>
          </cell>
        </row>
        <row r="8169">
          <cell r="A8169" t="str">
            <v>ag_e</v>
          </cell>
          <cell r="B8169" t="str">
            <v>ag</v>
          </cell>
          <cell r="C8169" t="str">
            <v>Silver</v>
          </cell>
        </row>
        <row r="8170">
          <cell r="A8170" t="str">
            <v>akg_e</v>
          </cell>
          <cell r="B8170" t="str">
            <v>akg</v>
          </cell>
          <cell r="C8170" t="str">
            <v>2-Oxoglutarate</v>
          </cell>
        </row>
        <row r="8171">
          <cell r="A8171" t="str">
            <v>ala_B_e</v>
          </cell>
          <cell r="B8171" t="str">
            <v>ala_B</v>
          </cell>
          <cell r="C8171" t="str">
            <v>Beta-Alanine</v>
          </cell>
        </row>
        <row r="8172">
          <cell r="A8172" t="str">
            <v>ala__L_e</v>
          </cell>
          <cell r="B8172" t="str">
            <v>ala__L</v>
          </cell>
          <cell r="C8172" t="str">
            <v>L-Alanine</v>
          </cell>
        </row>
        <row r="8173">
          <cell r="A8173" t="str">
            <v>arab__L_e</v>
          </cell>
          <cell r="B8173" t="str">
            <v>arab__L</v>
          </cell>
          <cell r="C8173" t="str">
            <v>L-Arabinose</v>
          </cell>
        </row>
        <row r="8174">
          <cell r="A8174" t="str">
            <v>aso3_e</v>
          </cell>
          <cell r="B8174" t="str">
            <v>aso3</v>
          </cell>
          <cell r="C8174" t="str">
            <v>Arsenite</v>
          </cell>
        </row>
        <row r="8175">
          <cell r="A8175" t="str">
            <v>btn_e</v>
          </cell>
          <cell r="B8175" t="str">
            <v>btn</v>
          </cell>
          <cell r="C8175" t="str">
            <v>Biotin</v>
          </cell>
        </row>
        <row r="8176">
          <cell r="A8176" t="str">
            <v>butso3_e</v>
          </cell>
          <cell r="B8176" t="str">
            <v>butso3</v>
          </cell>
          <cell r="C8176" t="str">
            <v>Butanesulfonate</v>
          </cell>
        </row>
        <row r="8177">
          <cell r="A8177" t="str">
            <v>crn_e</v>
          </cell>
          <cell r="B8177" t="str">
            <v>crn</v>
          </cell>
          <cell r="C8177" t="str">
            <v>L-Carnitine</v>
          </cell>
        </row>
        <row r="8178">
          <cell r="A8178" t="str">
            <v>cys__L_e</v>
          </cell>
          <cell r="B8178" t="str">
            <v>cys__L</v>
          </cell>
          <cell r="C8178" t="str">
            <v>L-Cysteine</v>
          </cell>
        </row>
        <row r="8179">
          <cell r="A8179" t="str">
            <v>cytd_e</v>
          </cell>
          <cell r="B8179" t="str">
            <v>cytd</v>
          </cell>
          <cell r="C8179" t="str">
            <v>Cytidine</v>
          </cell>
        </row>
        <row r="8180">
          <cell r="A8180" t="str">
            <v>ddca_e</v>
          </cell>
          <cell r="B8180" t="str">
            <v>ddca</v>
          </cell>
          <cell r="C8180" t="str">
            <v>Dodecanoate (n-C12:0)</v>
          </cell>
        </row>
        <row r="8181">
          <cell r="A8181" t="str">
            <v>dha_e</v>
          </cell>
          <cell r="B8181" t="str">
            <v>dha</v>
          </cell>
          <cell r="C8181" t="str">
            <v>Dihydroxyacetone</v>
          </cell>
        </row>
        <row r="8182">
          <cell r="A8182" t="str">
            <v>dimp_e</v>
          </cell>
          <cell r="B8182" t="str">
            <v>dimp</v>
          </cell>
          <cell r="C8182" t="str">
            <v>DIMP C10H12N4O7P</v>
          </cell>
        </row>
        <row r="8183">
          <cell r="A8183" t="str">
            <v>din_e</v>
          </cell>
          <cell r="B8183" t="str">
            <v>din</v>
          </cell>
          <cell r="C8183" t="str">
            <v>Deoxyinosine</v>
          </cell>
        </row>
        <row r="8184">
          <cell r="A8184" t="str">
            <v>doxrbcn_e</v>
          </cell>
          <cell r="B8184" t="str">
            <v>doxrbcn</v>
          </cell>
          <cell r="C8184" t="str">
            <v>Doxorubicin</v>
          </cell>
        </row>
        <row r="8185">
          <cell r="A8185" t="str">
            <v>dump_e</v>
          </cell>
          <cell r="B8185" t="str">
            <v>dump</v>
          </cell>
          <cell r="C8185" t="str">
            <v>DUMP C9H11N2O8P</v>
          </cell>
        </row>
        <row r="8186">
          <cell r="A8186" t="str">
            <v>enlipa_e</v>
          </cell>
          <cell r="B8186" t="str">
            <v>enlipa</v>
          </cell>
          <cell r="C8186" t="str">
            <v>Phosphoethanolamine KDO(2)-lipid (A)</v>
          </cell>
        </row>
        <row r="8187">
          <cell r="A8187" t="str">
            <v>fe2_e</v>
          </cell>
          <cell r="B8187" t="str">
            <v>fe2</v>
          </cell>
          <cell r="C8187" t="str">
            <v>Fe2+ mitochondria</v>
          </cell>
        </row>
        <row r="8188">
          <cell r="A8188" t="str">
            <v>fe3dcit_e</v>
          </cell>
          <cell r="B8188" t="str">
            <v>fe3dcit</v>
          </cell>
          <cell r="C8188" t="str">
            <v>Fe(III)dicitrate</v>
          </cell>
        </row>
        <row r="8189">
          <cell r="A8189" t="str">
            <v>fecrm_e</v>
          </cell>
          <cell r="B8189" t="str">
            <v>fecrm</v>
          </cell>
          <cell r="C8189" t="str">
            <v>Ferrichrome</v>
          </cell>
        </row>
        <row r="8190">
          <cell r="A8190" t="str">
            <v>feoxam_e</v>
          </cell>
          <cell r="B8190" t="str">
            <v>feoxam</v>
          </cell>
          <cell r="C8190" t="str">
            <v>Generic ferrioxamine-Fe-III</v>
          </cell>
        </row>
        <row r="8191">
          <cell r="A8191" t="str">
            <v>feoxam_un_e</v>
          </cell>
          <cell r="B8191" t="str">
            <v>feoxam_un</v>
          </cell>
          <cell r="C8191" t="str">
            <v>Ferroxamine minus Fe(3)</v>
          </cell>
        </row>
        <row r="8192">
          <cell r="A8192" t="str">
            <v>fruur_e</v>
          </cell>
          <cell r="B8192" t="str">
            <v>fruur</v>
          </cell>
          <cell r="C8192" t="str">
            <v>D-Fructuronate</v>
          </cell>
        </row>
        <row r="8193">
          <cell r="A8193" t="str">
            <v>fuc__L_e</v>
          </cell>
          <cell r="B8193" t="str">
            <v>fuc__L</v>
          </cell>
          <cell r="C8193" t="str">
            <v>L-Fucose</v>
          </cell>
        </row>
        <row r="8194">
          <cell r="A8194" t="str">
            <v>g3pc_e</v>
          </cell>
          <cell r="B8194" t="str">
            <v>g3pc</v>
          </cell>
          <cell r="C8194" t="str">
            <v>Sn-Glycero-3-phosphocholine</v>
          </cell>
        </row>
        <row r="8195">
          <cell r="A8195" t="str">
            <v>g3pe_e</v>
          </cell>
          <cell r="B8195" t="str">
            <v>g3pe</v>
          </cell>
          <cell r="C8195" t="str">
            <v>Sn-Glycero-3-phosphoethanolamine</v>
          </cell>
        </row>
        <row r="8196">
          <cell r="A8196" t="str">
            <v>g3pi_e</v>
          </cell>
          <cell r="B8196" t="str">
            <v>g3pi</v>
          </cell>
          <cell r="C8196" t="str">
            <v>Sn-Glycero-3-phospho-1-inositol</v>
          </cell>
        </row>
        <row r="8197">
          <cell r="A8197" t="str">
            <v>glcn_e</v>
          </cell>
          <cell r="B8197" t="str">
            <v>glcn</v>
          </cell>
          <cell r="C8197" t="str">
            <v>D-Gluconate</v>
          </cell>
        </row>
        <row r="8198">
          <cell r="A8198" t="str">
            <v>glcur1p_e</v>
          </cell>
          <cell r="B8198" t="str">
            <v>glcur1p</v>
          </cell>
          <cell r="C8198" t="str">
            <v>D-Glucuronate 1-phosphate</v>
          </cell>
        </row>
        <row r="8199">
          <cell r="A8199" t="str">
            <v>glyc__R_e</v>
          </cell>
          <cell r="B8199" t="str">
            <v>glyc__R</v>
          </cell>
          <cell r="C8199" t="str">
            <v>(R)-Glycerate</v>
          </cell>
        </row>
        <row r="8200">
          <cell r="A8200" t="str">
            <v>glyc2p_e</v>
          </cell>
          <cell r="B8200" t="str">
            <v>glyc2p</v>
          </cell>
          <cell r="C8200" t="str">
            <v>Glycerol 2-phosphate</v>
          </cell>
        </row>
        <row r="8201">
          <cell r="A8201" t="str">
            <v>glyclt_e</v>
          </cell>
          <cell r="B8201" t="str">
            <v>glyclt</v>
          </cell>
          <cell r="C8201" t="str">
            <v>Glycolate C2H3O3</v>
          </cell>
        </row>
        <row r="8202">
          <cell r="A8202" t="str">
            <v>h_e</v>
          </cell>
          <cell r="B8202" t="str">
            <v>h</v>
          </cell>
          <cell r="C8202" t="str">
            <v>H+</v>
          </cell>
        </row>
        <row r="8203">
          <cell r="A8203" t="str">
            <v>h2_e</v>
          </cell>
          <cell r="B8203" t="str">
            <v>h2</v>
          </cell>
          <cell r="C8203" t="str">
            <v>Hydrogen</v>
          </cell>
        </row>
        <row r="8204">
          <cell r="A8204" t="str">
            <v>h2o_e</v>
          </cell>
          <cell r="B8204" t="str">
            <v>h2o</v>
          </cell>
          <cell r="C8204" t="str">
            <v>H2O H2O</v>
          </cell>
        </row>
        <row r="8205">
          <cell r="A8205" t="str">
            <v>hacolipa_e</v>
          </cell>
          <cell r="B8205" t="str">
            <v>hacolipa</v>
          </cell>
          <cell r="C8205" t="str">
            <v>Hepta-acylated core oligosaccharide lipid A (E. coli)</v>
          </cell>
        </row>
        <row r="8206">
          <cell r="A8206" t="str">
            <v>halipa_e</v>
          </cell>
          <cell r="B8206" t="str">
            <v>halipa</v>
          </cell>
          <cell r="C8206" t="str">
            <v>Hepta-acylated KDO(2)-lipid (A)</v>
          </cell>
        </row>
        <row r="8207">
          <cell r="A8207" t="str">
            <v>hdca_e</v>
          </cell>
          <cell r="B8207" t="str">
            <v>hdca</v>
          </cell>
          <cell r="C8207" t="str">
            <v>Hexadecanoate (n-C16:0)</v>
          </cell>
        </row>
        <row r="8208">
          <cell r="A8208" t="str">
            <v>hg2_e</v>
          </cell>
          <cell r="B8208" t="str">
            <v>hg2</v>
          </cell>
          <cell r="C8208" t="str">
            <v>Mercury  charged 2  Hg</v>
          </cell>
        </row>
        <row r="8209">
          <cell r="A8209" t="str">
            <v>his__L_e</v>
          </cell>
          <cell r="B8209" t="str">
            <v>his__L</v>
          </cell>
          <cell r="C8209" t="str">
            <v>L-Histidine</v>
          </cell>
        </row>
        <row r="8210">
          <cell r="A8210" t="str">
            <v>hom__L_e</v>
          </cell>
          <cell r="B8210" t="str">
            <v>hom__L</v>
          </cell>
          <cell r="C8210" t="str">
            <v>L-Homoserine</v>
          </cell>
        </row>
        <row r="8211">
          <cell r="A8211" t="str">
            <v>hxan_e</v>
          </cell>
          <cell r="B8211" t="str">
            <v>hxan</v>
          </cell>
          <cell r="C8211" t="str">
            <v>Hypoxanthine</v>
          </cell>
        </row>
        <row r="8212">
          <cell r="A8212" t="str">
            <v>imp_e</v>
          </cell>
          <cell r="B8212" t="str">
            <v>imp</v>
          </cell>
          <cell r="C8212" t="str">
            <v>IMP C10H11N4O8P</v>
          </cell>
        </row>
        <row r="8213">
          <cell r="A8213" t="str">
            <v>indole_e</v>
          </cell>
          <cell r="B8213" t="str">
            <v>indole</v>
          </cell>
          <cell r="C8213" t="str">
            <v>Indole</v>
          </cell>
        </row>
        <row r="8214">
          <cell r="A8214" t="str">
            <v>lcts_e</v>
          </cell>
          <cell r="B8214" t="str">
            <v>lcts</v>
          </cell>
          <cell r="C8214" t="str">
            <v>Lactose C12H22O11</v>
          </cell>
        </row>
        <row r="8215">
          <cell r="A8215" t="str">
            <v>lipa_e</v>
          </cell>
          <cell r="B8215" t="str">
            <v>lipa</v>
          </cell>
          <cell r="C8215" t="str">
            <v>KDO(2)-lipid (A)</v>
          </cell>
        </row>
        <row r="8216">
          <cell r="A8216" t="str">
            <v>lipa_cold_e</v>
          </cell>
          <cell r="B8216" t="str">
            <v>lipa_cold</v>
          </cell>
          <cell r="C8216" t="str">
            <v>Cold adapted KDO(2)-lipid (A)</v>
          </cell>
        </row>
        <row r="8217">
          <cell r="A8217" t="str">
            <v>malt_e</v>
          </cell>
          <cell r="B8217" t="str">
            <v>malt</v>
          </cell>
          <cell r="C8217" t="str">
            <v>Maltose C12H22O11</v>
          </cell>
        </row>
        <row r="8218">
          <cell r="A8218" t="str">
            <v>malthx_e</v>
          </cell>
          <cell r="B8218" t="str">
            <v>malthx</v>
          </cell>
          <cell r="C8218" t="str">
            <v>Maltohexaose</v>
          </cell>
        </row>
        <row r="8219">
          <cell r="A8219" t="str">
            <v>maltpt_e</v>
          </cell>
          <cell r="B8219" t="str">
            <v>maltpt</v>
          </cell>
          <cell r="C8219" t="str">
            <v>Maltopentaose</v>
          </cell>
        </row>
        <row r="8220">
          <cell r="A8220" t="str">
            <v>met__L_e</v>
          </cell>
          <cell r="B8220" t="str">
            <v>met__L</v>
          </cell>
          <cell r="C8220" t="str">
            <v>L-Methionine</v>
          </cell>
        </row>
        <row r="8221">
          <cell r="A8221" t="str">
            <v>metsox_S__L_e</v>
          </cell>
          <cell r="B8221" t="str">
            <v>metsox_S__L</v>
          </cell>
          <cell r="C8221" t="str">
            <v>L-Methionine Sulfoxide</v>
          </cell>
        </row>
        <row r="8222">
          <cell r="A8222" t="str">
            <v>ni2_e</v>
          </cell>
          <cell r="B8222" t="str">
            <v>ni2</v>
          </cell>
          <cell r="C8222" t="str">
            <v>Nickel</v>
          </cell>
        </row>
        <row r="8223">
          <cell r="A8223" t="str">
            <v>ocdcea_e</v>
          </cell>
          <cell r="B8223" t="str">
            <v>ocdcea</v>
          </cell>
          <cell r="C8223" t="str">
            <v>Octadecenoate (n-C18:1)</v>
          </cell>
        </row>
        <row r="8224">
          <cell r="A8224" t="str">
            <v>peamn_e</v>
          </cell>
          <cell r="B8224" t="str">
            <v>peamn</v>
          </cell>
          <cell r="C8224" t="str">
            <v>Phenethylamine</v>
          </cell>
        </row>
        <row r="8225">
          <cell r="A8225" t="str">
            <v>phe__L_e</v>
          </cell>
          <cell r="B8225" t="str">
            <v>phe__L</v>
          </cell>
          <cell r="C8225" t="str">
            <v>L-Phenylalanine</v>
          </cell>
        </row>
        <row r="8226">
          <cell r="A8226" t="str">
            <v>progly_e</v>
          </cell>
          <cell r="B8226" t="str">
            <v>progly</v>
          </cell>
          <cell r="C8226" t="str">
            <v>L-Prolinylglycine</v>
          </cell>
        </row>
        <row r="8227">
          <cell r="A8227" t="str">
            <v>psclys_e</v>
          </cell>
          <cell r="B8227" t="str">
            <v>psclys</v>
          </cell>
          <cell r="C8227" t="str">
            <v>Psicoselysine</v>
          </cell>
        </row>
        <row r="8228">
          <cell r="A8228" t="str">
            <v>pser__L_e</v>
          </cell>
          <cell r="B8228" t="str">
            <v>pser__L</v>
          </cell>
          <cell r="C8228" t="str">
            <v>O-Phospho-L-serine</v>
          </cell>
        </row>
        <row r="8229">
          <cell r="A8229" t="str">
            <v>pydx_e</v>
          </cell>
          <cell r="B8229" t="str">
            <v>pydx</v>
          </cell>
          <cell r="C8229" t="str">
            <v>Pyridoxal</v>
          </cell>
        </row>
        <row r="8230">
          <cell r="A8230" t="str">
            <v>r5p_e</v>
          </cell>
          <cell r="B8230" t="str">
            <v>r5p</v>
          </cell>
          <cell r="C8230" t="str">
            <v>Alpha-D-Ribose 5-phosphate</v>
          </cell>
        </row>
        <row r="8231">
          <cell r="A8231" t="str">
            <v>rib__D_e</v>
          </cell>
          <cell r="B8231" t="str">
            <v>rib__D</v>
          </cell>
          <cell r="C8231" t="str">
            <v>D-Ribose</v>
          </cell>
        </row>
        <row r="8232">
          <cell r="A8232" t="str">
            <v>sel_e</v>
          </cell>
          <cell r="B8232" t="str">
            <v>sel</v>
          </cell>
          <cell r="C8232" t="str">
            <v>Selenate</v>
          </cell>
        </row>
        <row r="8233">
          <cell r="A8233" t="str">
            <v>ser__D_e</v>
          </cell>
          <cell r="B8233" t="str">
            <v>ser__D</v>
          </cell>
          <cell r="C8233" t="str">
            <v>D-Serine</v>
          </cell>
        </row>
        <row r="8234">
          <cell r="A8234" t="str">
            <v>succ_e</v>
          </cell>
          <cell r="B8234" t="str">
            <v>succ</v>
          </cell>
          <cell r="C8234" t="str">
            <v>Succinate</v>
          </cell>
        </row>
        <row r="8235">
          <cell r="A8235" t="str">
            <v>sucr_e</v>
          </cell>
          <cell r="B8235" t="str">
            <v>sucr</v>
          </cell>
          <cell r="C8235" t="str">
            <v>Sucrose C12H22O11</v>
          </cell>
        </row>
        <row r="8236">
          <cell r="A8236" t="str">
            <v>tartr__D_e</v>
          </cell>
          <cell r="B8236" t="str">
            <v>tartr__D</v>
          </cell>
          <cell r="C8236" t="str">
            <v>D-tartrate</v>
          </cell>
        </row>
        <row r="8237">
          <cell r="A8237" t="str">
            <v>thr__L_e</v>
          </cell>
          <cell r="B8237" t="str">
            <v>thr__L</v>
          </cell>
          <cell r="C8237" t="str">
            <v>L-Threonine</v>
          </cell>
        </row>
        <row r="8238">
          <cell r="A8238" t="str">
            <v>thymd_e</v>
          </cell>
          <cell r="B8238" t="str">
            <v>thymd</v>
          </cell>
          <cell r="C8238" t="str">
            <v>Thymidine C10H14N2O5</v>
          </cell>
        </row>
        <row r="8239">
          <cell r="A8239" t="str">
            <v>tma_e</v>
          </cell>
          <cell r="B8239" t="str">
            <v>tma</v>
          </cell>
          <cell r="C8239" t="str">
            <v>Trimethylamine</v>
          </cell>
        </row>
        <row r="8240">
          <cell r="A8240" t="str">
            <v>tmao_e</v>
          </cell>
          <cell r="B8240" t="str">
            <v>tmao</v>
          </cell>
          <cell r="C8240" t="str">
            <v>Trimethylamine N-oxide</v>
          </cell>
        </row>
        <row r="8241">
          <cell r="A8241" t="str">
            <v>ttdcea_e</v>
          </cell>
          <cell r="B8241" t="str">
            <v>ttdcea</v>
          </cell>
          <cell r="C8241" t="str">
            <v>Tetradecenoate (n-C14:1)</v>
          </cell>
        </row>
        <row r="8242">
          <cell r="A8242" t="str">
            <v>ump_e</v>
          </cell>
          <cell r="B8242" t="str">
            <v>ump</v>
          </cell>
          <cell r="C8242" t="str">
            <v>UMP C9H11N2O9P</v>
          </cell>
        </row>
        <row r="8243">
          <cell r="A8243" t="str">
            <v>ura_e</v>
          </cell>
          <cell r="B8243" t="str">
            <v>ura</v>
          </cell>
          <cell r="C8243" t="str">
            <v>Uracil</v>
          </cell>
        </row>
        <row r="8244">
          <cell r="A8244" t="str">
            <v>urea_e</v>
          </cell>
          <cell r="B8244" t="str">
            <v>urea</v>
          </cell>
          <cell r="C8244" t="str">
            <v>Urea CH4N2O</v>
          </cell>
        </row>
        <row r="8245">
          <cell r="A8245" t="str">
            <v>xan_e</v>
          </cell>
          <cell r="B8245" t="str">
            <v>xan</v>
          </cell>
          <cell r="C8245" t="str">
            <v>Xanthine</v>
          </cell>
        </row>
        <row r="8246">
          <cell r="A8246" t="str">
            <v>xylu__L_e</v>
          </cell>
          <cell r="B8246" t="str">
            <v>xylu__L</v>
          </cell>
          <cell r="C8246" t="str">
            <v>L-Xylulose</v>
          </cell>
        </row>
        <row r="8247">
          <cell r="A8247" t="str">
            <v>zn2_e</v>
          </cell>
          <cell r="B8247" t="str">
            <v>zn2</v>
          </cell>
          <cell r="C8247" t="str">
            <v>Zinc</v>
          </cell>
        </row>
        <row r="8248">
          <cell r="A8248" t="str">
            <v>12dgr161_p</v>
          </cell>
          <cell r="B8248" t="str">
            <v>12dgr161</v>
          </cell>
          <cell r="C8248" t="str">
            <v>1,2-Diacyl-sn-glycerol (dihexadec-9-enoyl, n-C16:1)</v>
          </cell>
        </row>
        <row r="8249">
          <cell r="A8249" t="str">
            <v>12ppd__S_p</v>
          </cell>
          <cell r="B8249" t="str">
            <v>12ppd__S</v>
          </cell>
          <cell r="C8249" t="str">
            <v>(S)-Propane-1,2-diol</v>
          </cell>
        </row>
        <row r="8250">
          <cell r="A8250" t="str">
            <v>1agpe141_p</v>
          </cell>
          <cell r="B8250" t="str">
            <v>1agpe141</v>
          </cell>
          <cell r="C8250" t="str">
            <v>1-Acyl-sn-glycero-3-phosphoethanolamine (n-C14:1)</v>
          </cell>
        </row>
        <row r="8251">
          <cell r="A8251" t="str">
            <v>1agpg120_p</v>
          </cell>
          <cell r="B8251" t="str">
            <v>1agpg120</v>
          </cell>
          <cell r="C8251" t="str">
            <v>1-Acyl-sn-glycero-3-phosphoglycerol (n-C12:0)</v>
          </cell>
        </row>
        <row r="8252">
          <cell r="A8252" t="str">
            <v>1agpg160_p</v>
          </cell>
          <cell r="B8252" t="str">
            <v>1agpg160</v>
          </cell>
          <cell r="C8252" t="str">
            <v>1-Acyl-sn-glycero-3-phosphoglycerol (n-C16:0)</v>
          </cell>
        </row>
        <row r="8253">
          <cell r="A8253" t="str">
            <v>1ddecg3p_p</v>
          </cell>
          <cell r="B8253" t="str">
            <v>1ddecg3p</v>
          </cell>
          <cell r="C8253" t="str">
            <v>1-dodecanoyl-sn-glycerol 3-phosphate</v>
          </cell>
        </row>
        <row r="8254">
          <cell r="A8254" t="str">
            <v>1hdec9eg3p_p</v>
          </cell>
          <cell r="B8254" t="str">
            <v>1hdec9eg3p</v>
          </cell>
          <cell r="C8254" t="str">
            <v>1-hexadec-9-enoyl-sn-glycerol 3-phosphate</v>
          </cell>
        </row>
        <row r="8255">
          <cell r="A8255" t="str">
            <v>1hdecg3p_p</v>
          </cell>
          <cell r="B8255" t="str">
            <v>1hdecg3p</v>
          </cell>
          <cell r="C8255" t="str">
            <v>1-hexadecanoyl-sn-glycerol 3-phosphate</v>
          </cell>
        </row>
        <row r="8256">
          <cell r="A8256" t="str">
            <v>1odec11eg3p_p</v>
          </cell>
          <cell r="B8256" t="str">
            <v>1odec11eg3p</v>
          </cell>
          <cell r="C8256" t="str">
            <v>1-octadec-11-enoyl-sn-glycerol 3-phosphate</v>
          </cell>
        </row>
        <row r="8257">
          <cell r="A8257" t="str">
            <v>26dap__M_p</v>
          </cell>
          <cell r="B8257" t="str">
            <v>26dap__M</v>
          </cell>
          <cell r="C8257" t="str">
            <v>Meso-2,6-Diaminoheptanedioate</v>
          </cell>
        </row>
        <row r="8258">
          <cell r="A8258" t="str">
            <v>2agpe181_p</v>
          </cell>
          <cell r="B8258" t="str">
            <v>2agpe181</v>
          </cell>
          <cell r="C8258" t="str">
            <v>2-Acyl-sn-glycero-3-phosphoethanolamine (n-C18:1)</v>
          </cell>
        </row>
        <row r="8259">
          <cell r="A8259" t="str">
            <v>2agpg160_p</v>
          </cell>
          <cell r="B8259" t="str">
            <v>2agpg160</v>
          </cell>
          <cell r="C8259" t="str">
            <v>2-Acyl-sn-glycero-3-phosphoglycerol (n-C16:0)</v>
          </cell>
        </row>
        <row r="8260">
          <cell r="A8260" t="str">
            <v>2agpg161_p</v>
          </cell>
          <cell r="B8260" t="str">
            <v>2agpg161</v>
          </cell>
          <cell r="C8260" t="str">
            <v>2-Acyl-sn-glycero-3-phosphoglycerol (n-C16:1)</v>
          </cell>
        </row>
        <row r="8261">
          <cell r="A8261" t="str">
            <v>2agpg180_p</v>
          </cell>
          <cell r="B8261" t="str">
            <v>2agpg180</v>
          </cell>
          <cell r="C8261" t="str">
            <v>2-Acyl-sn-glycero-3-phosphoglycerol (n-C18:0)</v>
          </cell>
        </row>
        <row r="8262">
          <cell r="A8262" t="str">
            <v>2agpg181_p</v>
          </cell>
          <cell r="B8262" t="str">
            <v>2agpg181</v>
          </cell>
          <cell r="C8262" t="str">
            <v>2-Acyl-sn-glycero-3-phosphoglycerol (n-C18:1)</v>
          </cell>
        </row>
        <row r="8263">
          <cell r="A8263" t="str">
            <v>2tdecg3p_p</v>
          </cell>
          <cell r="B8263" t="str">
            <v>2tdecg3p</v>
          </cell>
          <cell r="C8263" t="str">
            <v>2-tetradecanoyl-sn-glycerol 3-phosphate</v>
          </cell>
        </row>
        <row r="8264">
          <cell r="A8264" t="str">
            <v>3hpp_p</v>
          </cell>
          <cell r="B8264" t="str">
            <v>3hpp</v>
          </cell>
          <cell r="C8264" t="str">
            <v>3-Hydroxypropanoate</v>
          </cell>
        </row>
        <row r="8265">
          <cell r="A8265" t="str">
            <v>LalaDglu_p</v>
          </cell>
          <cell r="B8265" t="str">
            <v>LalaDglu</v>
          </cell>
          <cell r="C8265" t="str">
            <v>L-alanine-D-glutamate</v>
          </cell>
        </row>
        <row r="8266">
          <cell r="A8266" t="str">
            <v>LalaDgluMdapDala_p</v>
          </cell>
          <cell r="B8266" t="str">
            <v>LalaDgluMdapDala</v>
          </cell>
          <cell r="C8266" t="str">
            <v>L-alanine-D-glutamate-meso-2,6-diaminoheptanedioate-D-alanine</v>
          </cell>
        </row>
        <row r="8267">
          <cell r="A8267" t="str">
            <v>acgam_p</v>
          </cell>
          <cell r="B8267" t="str">
            <v>acgam</v>
          </cell>
          <cell r="C8267" t="str">
            <v>N-Acetyl-D-glucosamine</v>
          </cell>
        </row>
        <row r="8268">
          <cell r="A8268" t="str">
            <v>acgam1p_p</v>
          </cell>
          <cell r="B8268" t="str">
            <v>acgam1p</v>
          </cell>
          <cell r="C8268" t="str">
            <v>N-Acetyl-D-glucosamine 1-phosphate</v>
          </cell>
        </row>
        <row r="8269">
          <cell r="A8269" t="str">
            <v>acnam_p</v>
          </cell>
          <cell r="B8269" t="str">
            <v>acnam</v>
          </cell>
          <cell r="C8269" t="str">
            <v>N-Acetylneuraminate</v>
          </cell>
        </row>
        <row r="8270">
          <cell r="A8270" t="str">
            <v>acolipa_p</v>
          </cell>
          <cell r="B8270" t="str">
            <v>acolipa</v>
          </cell>
          <cell r="C8270" t="str">
            <v>4-Amino-4-deoxy-L-arabinose modified core oligosaccharide lipid A</v>
          </cell>
        </row>
        <row r="8271">
          <cell r="A8271" t="str">
            <v>agm_p</v>
          </cell>
          <cell r="B8271" t="str">
            <v>agm</v>
          </cell>
          <cell r="C8271" t="str">
            <v>Agmatine</v>
          </cell>
        </row>
        <row r="8272">
          <cell r="A8272" t="str">
            <v>all__D_p</v>
          </cell>
          <cell r="B8272" t="str">
            <v>all__D</v>
          </cell>
          <cell r="C8272" t="str">
            <v>D-Allose</v>
          </cell>
        </row>
        <row r="8273">
          <cell r="A8273" t="str">
            <v>amp_p</v>
          </cell>
          <cell r="B8273" t="str">
            <v>amp</v>
          </cell>
          <cell r="C8273" t="str">
            <v>AMP C10H12N5O7P</v>
          </cell>
        </row>
        <row r="8274">
          <cell r="A8274" t="str">
            <v>anhgm4p_p</v>
          </cell>
          <cell r="B8274" t="str">
            <v>anhgm4p</v>
          </cell>
          <cell r="C8274" t="str">
            <v>N-Acetyl-D-glucosamine(anhydrous)N-Acetylmuramyl-tetrapeptide</v>
          </cell>
        </row>
        <row r="8275">
          <cell r="A8275" t="str">
            <v>arbtn_p</v>
          </cell>
          <cell r="B8275" t="str">
            <v>arbtn</v>
          </cell>
          <cell r="C8275" t="str">
            <v>Aerobactin minus Fe3</v>
          </cell>
        </row>
        <row r="8276">
          <cell r="A8276" t="str">
            <v>asp__L_p</v>
          </cell>
          <cell r="B8276" t="str">
            <v>asp__L</v>
          </cell>
          <cell r="C8276" t="str">
            <v>L-Aspartate</v>
          </cell>
        </row>
        <row r="8277">
          <cell r="A8277" t="str">
            <v>but_p</v>
          </cell>
          <cell r="B8277" t="str">
            <v>but</v>
          </cell>
          <cell r="C8277" t="str">
            <v>Butyrate (n-C4:0)</v>
          </cell>
        </row>
        <row r="8278">
          <cell r="A8278" t="str">
            <v>cbi_p</v>
          </cell>
          <cell r="B8278" t="str">
            <v>cbi</v>
          </cell>
          <cell r="C8278" t="str">
            <v>Cobinamide</v>
          </cell>
        </row>
        <row r="8279">
          <cell r="A8279" t="str">
            <v>cd2_p</v>
          </cell>
          <cell r="B8279" t="str">
            <v>cd2</v>
          </cell>
          <cell r="C8279" t="str">
            <v>Cadmium</v>
          </cell>
        </row>
        <row r="8280">
          <cell r="A8280" t="str">
            <v>cl_p</v>
          </cell>
          <cell r="B8280" t="str">
            <v>cl</v>
          </cell>
          <cell r="C8280" t="str">
            <v>Chloride</v>
          </cell>
        </row>
        <row r="8281">
          <cell r="A8281" t="str">
            <v>clpn141_p</v>
          </cell>
          <cell r="B8281" t="str">
            <v>clpn141</v>
          </cell>
          <cell r="C8281" t="str">
            <v>Cardiolipin (tetratetradec-7-enoyl, n-C14:1)</v>
          </cell>
        </row>
        <row r="8282">
          <cell r="A8282" t="str">
            <v>clpn181_p</v>
          </cell>
          <cell r="B8282" t="str">
            <v>clpn181</v>
          </cell>
          <cell r="C8282" t="str">
            <v>Cardiolipin (tetraoctadec-11-enoyl, n-C18:1)</v>
          </cell>
        </row>
        <row r="8283">
          <cell r="A8283" t="str">
            <v>cm_p</v>
          </cell>
          <cell r="B8283" t="str">
            <v>cm</v>
          </cell>
          <cell r="C8283" t="str">
            <v>Chloramphenicol</v>
          </cell>
        </row>
        <row r="8284">
          <cell r="A8284" t="str">
            <v>cmp_p</v>
          </cell>
          <cell r="B8284" t="str">
            <v>cmp</v>
          </cell>
          <cell r="C8284" t="str">
            <v>CMP C9H12N3O8P</v>
          </cell>
        </row>
        <row r="8285">
          <cell r="A8285" t="str">
            <v>crn__D_p</v>
          </cell>
          <cell r="B8285" t="str">
            <v>crn__D</v>
          </cell>
          <cell r="C8285" t="str">
            <v>D-Carnitine</v>
          </cell>
        </row>
        <row r="8286">
          <cell r="A8286" t="str">
            <v>csn_p</v>
          </cell>
          <cell r="B8286" t="str">
            <v>csn</v>
          </cell>
          <cell r="C8286" t="str">
            <v>Cytosine</v>
          </cell>
        </row>
        <row r="8287">
          <cell r="A8287" t="str">
            <v>ctbt_p</v>
          </cell>
          <cell r="B8287" t="str">
            <v>ctbt</v>
          </cell>
          <cell r="C8287" t="str">
            <v>Crotonobetaine</v>
          </cell>
        </row>
        <row r="8288">
          <cell r="A8288" t="str">
            <v>cu2_p</v>
          </cell>
          <cell r="B8288" t="str">
            <v>cu2</v>
          </cell>
          <cell r="C8288" t="str">
            <v>Copper</v>
          </cell>
        </row>
        <row r="8289">
          <cell r="A8289" t="str">
            <v>cys__D_p</v>
          </cell>
          <cell r="B8289" t="str">
            <v>cys__D</v>
          </cell>
          <cell r="C8289" t="str">
            <v>D-Cysteine</v>
          </cell>
        </row>
        <row r="8290">
          <cell r="A8290" t="str">
            <v>dcyt_p</v>
          </cell>
          <cell r="B8290" t="str">
            <v>dcyt</v>
          </cell>
          <cell r="C8290" t="str">
            <v>Deoxycytidine</v>
          </cell>
        </row>
        <row r="8291">
          <cell r="A8291" t="str">
            <v>dgmp_p</v>
          </cell>
          <cell r="B8291" t="str">
            <v>dgmp</v>
          </cell>
          <cell r="C8291" t="str">
            <v>DGMP C10H12N5O7P</v>
          </cell>
        </row>
        <row r="8292">
          <cell r="A8292" t="str">
            <v>dsbaox_p</v>
          </cell>
          <cell r="B8292" t="str">
            <v>dsbaox</v>
          </cell>
          <cell r="C8292" t="str">
            <v>Periplasmic protein disulfide isomerase I (oxidized)</v>
          </cell>
        </row>
        <row r="8293">
          <cell r="A8293" t="str">
            <v>dsbcox_p</v>
          </cell>
          <cell r="B8293" t="str">
            <v>dsbcox</v>
          </cell>
          <cell r="C8293" t="str">
            <v>Protein disulfide isomerase II (oxidized)</v>
          </cell>
        </row>
        <row r="8294">
          <cell r="A8294" t="str">
            <v>dtmp_p</v>
          </cell>
          <cell r="B8294" t="str">
            <v>dtmp</v>
          </cell>
          <cell r="C8294" t="str">
            <v>DTMP C10H13N2O8P</v>
          </cell>
        </row>
        <row r="8295">
          <cell r="A8295" t="str">
            <v>duri_p</v>
          </cell>
          <cell r="B8295" t="str">
            <v>duri</v>
          </cell>
          <cell r="C8295" t="str">
            <v>Deoxyuridine</v>
          </cell>
        </row>
        <row r="8296">
          <cell r="A8296" t="str">
            <v>eca4colipa_p</v>
          </cell>
          <cell r="B8296" t="str">
            <v>eca4colipa</v>
          </cell>
          <cell r="C8296" t="str">
            <v>(enterobacterial common antigen)x4 core oligosaccharide lipid A</v>
          </cell>
        </row>
        <row r="8297">
          <cell r="A8297" t="str">
            <v>enter_p</v>
          </cell>
          <cell r="B8297" t="str">
            <v>enter</v>
          </cell>
          <cell r="C8297" t="str">
            <v>Enterochelin</v>
          </cell>
        </row>
        <row r="8298">
          <cell r="A8298" t="str">
            <v>etoh_p</v>
          </cell>
          <cell r="B8298" t="str">
            <v>etoh</v>
          </cell>
          <cell r="C8298" t="str">
            <v>Ethanol</v>
          </cell>
        </row>
        <row r="8299">
          <cell r="A8299" t="str">
            <v>fald_p</v>
          </cell>
          <cell r="B8299" t="str">
            <v>fald</v>
          </cell>
          <cell r="C8299" t="str">
            <v>Formaldehyde</v>
          </cell>
        </row>
        <row r="8300">
          <cell r="A8300" t="str">
            <v>fe3_p</v>
          </cell>
          <cell r="B8300" t="str">
            <v>fe3</v>
          </cell>
          <cell r="C8300" t="str">
            <v>Iron (Fe3+)</v>
          </cell>
        </row>
        <row r="8301">
          <cell r="A8301" t="str">
            <v>fe3hox_p</v>
          </cell>
          <cell r="B8301" t="str">
            <v>fe3hox</v>
          </cell>
          <cell r="C8301" t="str">
            <v>Fe(III)hydroxamate</v>
          </cell>
        </row>
        <row r="8302">
          <cell r="A8302" t="str">
            <v>fru_p</v>
          </cell>
          <cell r="B8302" t="str">
            <v>fru</v>
          </cell>
          <cell r="C8302" t="str">
            <v>D-Fructose</v>
          </cell>
        </row>
        <row r="8303">
          <cell r="A8303" t="str">
            <v>frulys_p</v>
          </cell>
          <cell r="B8303" t="str">
            <v>frulys</v>
          </cell>
          <cell r="C8303" t="str">
            <v>Fructoselysine</v>
          </cell>
        </row>
        <row r="8304">
          <cell r="A8304" t="str">
            <v>g1p_p</v>
          </cell>
          <cell r="B8304" t="str">
            <v>g1p</v>
          </cell>
          <cell r="C8304" t="str">
            <v>D-Glucose 1-phosphate</v>
          </cell>
        </row>
        <row r="8305">
          <cell r="A8305" t="str">
            <v>g3ps_p</v>
          </cell>
          <cell r="B8305" t="str">
            <v>g3ps</v>
          </cell>
          <cell r="C8305" t="str">
            <v>Glycerophosphoserine</v>
          </cell>
        </row>
        <row r="8306">
          <cell r="A8306" t="str">
            <v>galt_p</v>
          </cell>
          <cell r="B8306" t="str">
            <v>galt</v>
          </cell>
          <cell r="C8306" t="str">
            <v>Galactitol</v>
          </cell>
        </row>
        <row r="8307">
          <cell r="A8307" t="str">
            <v>galur_p</v>
          </cell>
          <cell r="B8307" t="str">
            <v>galur</v>
          </cell>
          <cell r="C8307" t="str">
            <v>D-Galacturonate</v>
          </cell>
        </row>
        <row r="8308">
          <cell r="A8308" t="str">
            <v>gam_p</v>
          </cell>
          <cell r="B8308" t="str">
            <v>gam</v>
          </cell>
          <cell r="C8308" t="str">
            <v>D-Glucosamine</v>
          </cell>
        </row>
        <row r="8309">
          <cell r="A8309" t="str">
            <v>gbbtn_p</v>
          </cell>
          <cell r="B8309" t="str">
            <v>gbbtn</v>
          </cell>
          <cell r="C8309" t="str">
            <v>Gamma-butyrobetaine</v>
          </cell>
        </row>
        <row r="8310">
          <cell r="A8310" t="str">
            <v>gdp_p</v>
          </cell>
          <cell r="B8310" t="str">
            <v>gdp</v>
          </cell>
          <cell r="C8310" t="str">
            <v>GDP C10H12N5O11P2</v>
          </cell>
        </row>
        <row r="8311">
          <cell r="A8311" t="str">
            <v>glc__D_p</v>
          </cell>
          <cell r="B8311" t="str">
            <v>glc__D</v>
          </cell>
          <cell r="C8311" t="str">
            <v>D-Glucose</v>
          </cell>
        </row>
        <row r="8312">
          <cell r="A8312" t="str">
            <v>glcr_p</v>
          </cell>
          <cell r="B8312" t="str">
            <v>glcr</v>
          </cell>
          <cell r="C8312" t="str">
            <v>D-Glucarate</v>
          </cell>
        </row>
        <row r="8313">
          <cell r="A8313" t="str">
            <v>glcur_p</v>
          </cell>
          <cell r="B8313" t="str">
            <v>glcur</v>
          </cell>
          <cell r="C8313" t="str">
            <v>D-Glucuronate</v>
          </cell>
        </row>
        <row r="8314">
          <cell r="A8314" t="str">
            <v>gln__L_p</v>
          </cell>
          <cell r="B8314" t="str">
            <v>gln__L</v>
          </cell>
          <cell r="C8314" t="str">
            <v>L-Glutamine</v>
          </cell>
        </row>
        <row r="8315">
          <cell r="A8315" t="str">
            <v>glu__L_p</v>
          </cell>
          <cell r="B8315" t="str">
            <v>glu__L</v>
          </cell>
          <cell r="C8315" t="str">
            <v>L-Glutamate</v>
          </cell>
        </row>
        <row r="8316">
          <cell r="A8316" t="str">
            <v>glyald_p</v>
          </cell>
          <cell r="B8316" t="str">
            <v>glyald</v>
          </cell>
          <cell r="C8316" t="str">
            <v>D-Glyceraldehyde</v>
          </cell>
        </row>
        <row r="8317">
          <cell r="A8317" t="str">
            <v>glyc_p</v>
          </cell>
          <cell r="B8317" t="str">
            <v>glyc</v>
          </cell>
          <cell r="C8317" t="str">
            <v>Glycerol</v>
          </cell>
        </row>
        <row r="8318">
          <cell r="A8318" t="str">
            <v>gsn_p</v>
          </cell>
          <cell r="B8318" t="str">
            <v>gsn</v>
          </cell>
          <cell r="C8318" t="str">
            <v>Guanosine</v>
          </cell>
        </row>
        <row r="8319">
          <cell r="A8319" t="str">
            <v>gthox_p</v>
          </cell>
          <cell r="B8319" t="str">
            <v>gthox</v>
          </cell>
          <cell r="C8319" t="str">
            <v>Oxidized glutathione</v>
          </cell>
        </row>
        <row r="8320">
          <cell r="A8320" t="str">
            <v>gua_p</v>
          </cell>
          <cell r="B8320" t="str">
            <v>gua</v>
          </cell>
          <cell r="C8320" t="str">
            <v>Guanine</v>
          </cell>
        </row>
        <row r="8321">
          <cell r="A8321" t="str">
            <v>hdcea_p</v>
          </cell>
          <cell r="B8321" t="str">
            <v>hdcea</v>
          </cell>
          <cell r="C8321" t="str">
            <v>Hexadecenoate (n-C16:1)</v>
          </cell>
        </row>
        <row r="8322">
          <cell r="A8322" t="str">
            <v>idon__L_p</v>
          </cell>
          <cell r="B8322" t="str">
            <v>idon__L</v>
          </cell>
          <cell r="C8322" t="str">
            <v>L-Idonate</v>
          </cell>
        </row>
        <row r="8323">
          <cell r="A8323" t="str">
            <v>ile__L_p</v>
          </cell>
          <cell r="B8323" t="str">
            <v>ile__L</v>
          </cell>
          <cell r="C8323" t="str">
            <v>L-Isoleucine</v>
          </cell>
        </row>
        <row r="8324">
          <cell r="A8324" t="str">
            <v>isetac_p</v>
          </cell>
          <cell r="B8324" t="str">
            <v>isetac</v>
          </cell>
          <cell r="C8324" t="str">
            <v>Isethionic acid</v>
          </cell>
        </row>
        <row r="8325">
          <cell r="A8325" t="str">
            <v>k_p</v>
          </cell>
          <cell r="B8325" t="str">
            <v>k</v>
          </cell>
          <cell r="C8325" t="str">
            <v>Potassium</v>
          </cell>
        </row>
        <row r="8326">
          <cell r="A8326" t="str">
            <v>maltttr_p</v>
          </cell>
          <cell r="B8326" t="str">
            <v>maltttr</v>
          </cell>
          <cell r="C8326" t="str">
            <v>Maltotetraose</v>
          </cell>
        </row>
        <row r="8327">
          <cell r="A8327" t="str">
            <v>met__D_p</v>
          </cell>
          <cell r="B8327" t="str">
            <v>met__D</v>
          </cell>
          <cell r="C8327" t="str">
            <v>D-Methionine</v>
          </cell>
        </row>
        <row r="8328">
          <cell r="A8328" t="str">
            <v>mg2_p</v>
          </cell>
          <cell r="B8328" t="str">
            <v>mg2</v>
          </cell>
          <cell r="C8328" t="str">
            <v>Magnesium</v>
          </cell>
        </row>
        <row r="8329">
          <cell r="A8329" t="str">
            <v>mincyc_p</v>
          </cell>
          <cell r="B8329" t="str">
            <v>mincyc</v>
          </cell>
          <cell r="C8329" t="str">
            <v>Minocycline</v>
          </cell>
        </row>
        <row r="8330">
          <cell r="A8330" t="str">
            <v>minohp_p</v>
          </cell>
          <cell r="B8330" t="str">
            <v>minohp</v>
          </cell>
          <cell r="C8330" t="str">
            <v>Myo-Inositol hexakisphosphate</v>
          </cell>
        </row>
        <row r="8331">
          <cell r="A8331" t="str">
            <v>mnl_p</v>
          </cell>
          <cell r="B8331" t="str">
            <v>mnl</v>
          </cell>
          <cell r="C8331" t="str">
            <v>D-Mannitol</v>
          </cell>
        </row>
        <row r="8332">
          <cell r="A8332" t="str">
            <v>mso3_p</v>
          </cell>
          <cell r="B8332" t="str">
            <v>mso3</v>
          </cell>
          <cell r="C8332" t="str">
            <v>Methanesulfonate</v>
          </cell>
        </row>
        <row r="8333">
          <cell r="A8333" t="str">
            <v>murein4px4p_p</v>
          </cell>
          <cell r="B8333" t="str">
            <v>murein4px4p</v>
          </cell>
          <cell r="C8333" t="str">
            <v>Two disacharide linked murein units, tetrapeptide corsslinked tetrapeptide (A2pm-&gt;D-ala) (middle of chain)</v>
          </cell>
        </row>
        <row r="8334">
          <cell r="A8334" t="str">
            <v>murein5p3p_p</v>
          </cell>
          <cell r="B8334" t="str">
            <v>murein5p3p</v>
          </cell>
          <cell r="C8334" t="str">
            <v>Two linked disacharide pentapeptide and tripeptide murein units (uncrosslinked, middle of chain)</v>
          </cell>
        </row>
        <row r="8335">
          <cell r="A8335" t="str">
            <v>n2o_p</v>
          </cell>
          <cell r="B8335" t="str">
            <v>n2o</v>
          </cell>
          <cell r="C8335" t="str">
            <v>Nitrous oxide</v>
          </cell>
        </row>
        <row r="8336">
          <cell r="A8336" t="str">
            <v>no2_p</v>
          </cell>
          <cell r="B8336" t="str">
            <v>no2</v>
          </cell>
          <cell r="C8336" t="str">
            <v>Nitrite</v>
          </cell>
        </row>
        <row r="8337">
          <cell r="A8337" t="str">
            <v>novbcn_p</v>
          </cell>
          <cell r="B8337" t="str">
            <v>novbcn</v>
          </cell>
          <cell r="C8337" t="str">
            <v>Novobiocin</v>
          </cell>
        </row>
        <row r="8338">
          <cell r="A8338" t="str">
            <v>o16a4colipa_p</v>
          </cell>
          <cell r="B8338" t="str">
            <v>o16a4colipa</v>
          </cell>
          <cell r="C8338" t="str">
            <v>(O16 antigen)x4 core oligosaccharide lipid A</v>
          </cell>
        </row>
        <row r="8339">
          <cell r="A8339" t="str">
            <v>o2s_p</v>
          </cell>
          <cell r="B8339" t="str">
            <v>o2s</v>
          </cell>
          <cell r="C8339" t="str">
            <v>Superoxide anion</v>
          </cell>
        </row>
        <row r="8340">
          <cell r="A8340" t="str">
            <v>pa160_p</v>
          </cell>
          <cell r="B8340" t="str">
            <v>pa160</v>
          </cell>
          <cell r="C8340" t="str">
            <v>1,2-dihexadecanoyl-sn-glycerol 3-phosphate</v>
          </cell>
        </row>
        <row r="8341">
          <cell r="A8341" t="str">
            <v>pa161_p</v>
          </cell>
          <cell r="B8341" t="str">
            <v>pa161</v>
          </cell>
          <cell r="C8341" t="str">
            <v>1,2-dihexadec-9-enoyl-sn-glycerol 3-phosphate</v>
          </cell>
        </row>
        <row r="8342">
          <cell r="A8342" t="str">
            <v>pe140_p</v>
          </cell>
          <cell r="B8342" t="str">
            <v>pe140</v>
          </cell>
          <cell r="C8342" t="str">
            <v>Phosphatidylethanolamine (ditetradecanoyl, n-C14:0)</v>
          </cell>
        </row>
        <row r="8343">
          <cell r="A8343" t="str">
            <v>pe141_p</v>
          </cell>
          <cell r="B8343" t="str">
            <v>pe141</v>
          </cell>
          <cell r="C8343" t="str">
            <v>Phosphatidylethanolamine (ditetradec-7-enoyl, n-C14:1)</v>
          </cell>
        </row>
        <row r="8344">
          <cell r="A8344" t="str">
            <v>pe180_p</v>
          </cell>
          <cell r="B8344" t="str">
            <v>pe180</v>
          </cell>
          <cell r="C8344" t="str">
            <v>Phosphatidylethanolamine (dioctadecanoyl, n-C18:0)</v>
          </cell>
        </row>
        <row r="8345">
          <cell r="A8345" t="str">
            <v>pg181_p</v>
          </cell>
          <cell r="B8345" t="str">
            <v>pg181</v>
          </cell>
          <cell r="C8345" t="str">
            <v>Phosphatidylglycerol (dioctadec-11-enoyl, n-C18:1)</v>
          </cell>
        </row>
        <row r="8346">
          <cell r="A8346" t="str">
            <v>pgp120_p</v>
          </cell>
          <cell r="B8346" t="str">
            <v>pgp120</v>
          </cell>
          <cell r="C8346" t="str">
            <v>Phosphatidylglycerophosphate (didodecanoyl, n-C12:0)</v>
          </cell>
        </row>
        <row r="8347">
          <cell r="A8347" t="str">
            <v>pgp180_p</v>
          </cell>
          <cell r="B8347" t="str">
            <v>pgp180</v>
          </cell>
          <cell r="C8347" t="str">
            <v>Phosphatidylglycerophosphate (dioctadecanoyl, n-C18:0)</v>
          </cell>
        </row>
        <row r="8348">
          <cell r="A8348" t="str">
            <v>pgp181_p</v>
          </cell>
          <cell r="B8348" t="str">
            <v>pgp181</v>
          </cell>
          <cell r="C8348" t="str">
            <v>Phosphatidylglycerophosphate (dioctadec-11-enoyl, n-C18:1)</v>
          </cell>
        </row>
        <row r="8349">
          <cell r="A8349" t="str">
            <v>pppn_p</v>
          </cell>
          <cell r="B8349" t="str">
            <v>pppn</v>
          </cell>
          <cell r="C8349" t="str">
            <v>Phenylpropanoate</v>
          </cell>
        </row>
        <row r="8350">
          <cell r="A8350" t="str">
            <v>pro__L_p</v>
          </cell>
          <cell r="B8350" t="str">
            <v>pro__L</v>
          </cell>
          <cell r="C8350" t="str">
            <v>L-Proline</v>
          </cell>
        </row>
        <row r="8351">
          <cell r="A8351" t="str">
            <v>ptrc_p</v>
          </cell>
          <cell r="B8351" t="str">
            <v>ptrc</v>
          </cell>
          <cell r="C8351" t="str">
            <v>Putrescine</v>
          </cell>
        </row>
        <row r="8352">
          <cell r="A8352" t="str">
            <v>pyr_p</v>
          </cell>
          <cell r="B8352" t="str">
            <v>pyr</v>
          </cell>
          <cell r="C8352" t="str">
            <v>Pyruvate</v>
          </cell>
        </row>
        <row r="8353">
          <cell r="A8353" t="str">
            <v>quin_p</v>
          </cell>
          <cell r="B8353" t="str">
            <v>quin</v>
          </cell>
          <cell r="C8353" t="str">
            <v>Quinate</v>
          </cell>
        </row>
        <row r="8354">
          <cell r="A8354" t="str">
            <v>rfamp_p</v>
          </cell>
          <cell r="B8354" t="str">
            <v>rfamp</v>
          </cell>
          <cell r="C8354" t="str">
            <v>Rifampin</v>
          </cell>
        </row>
        <row r="8355">
          <cell r="A8355" t="str">
            <v>rmn_p</v>
          </cell>
          <cell r="B8355" t="str">
            <v>rmn</v>
          </cell>
          <cell r="C8355" t="str">
            <v>L-Rhamnose</v>
          </cell>
        </row>
        <row r="8356">
          <cell r="A8356" t="str">
            <v>sbt__D_p</v>
          </cell>
          <cell r="B8356" t="str">
            <v>sbt__D</v>
          </cell>
          <cell r="C8356" t="str">
            <v>D-Sorbitol</v>
          </cell>
        </row>
        <row r="8357">
          <cell r="A8357" t="str">
            <v>ser__L_p</v>
          </cell>
          <cell r="B8357" t="str">
            <v>ser__L</v>
          </cell>
          <cell r="C8357" t="str">
            <v>L-Serine</v>
          </cell>
        </row>
        <row r="8358">
          <cell r="A8358" t="str">
            <v>so4_p</v>
          </cell>
          <cell r="B8358" t="str">
            <v>so4</v>
          </cell>
          <cell r="C8358" t="str">
            <v>Sulfate</v>
          </cell>
        </row>
        <row r="8359">
          <cell r="A8359" t="str">
            <v>spmd_p</v>
          </cell>
          <cell r="B8359" t="str">
            <v>spmd</v>
          </cell>
          <cell r="C8359" t="str">
            <v>Spermidine</v>
          </cell>
        </row>
        <row r="8360">
          <cell r="A8360" t="str">
            <v>taur_p</v>
          </cell>
          <cell r="B8360" t="str">
            <v>taur</v>
          </cell>
          <cell r="C8360" t="str">
            <v>Taurine C2H7NO3S</v>
          </cell>
        </row>
        <row r="8361">
          <cell r="A8361" t="str">
            <v>thrp_p</v>
          </cell>
          <cell r="B8361" t="str">
            <v>thrp</v>
          </cell>
          <cell r="C8361" t="str">
            <v>L-Threonine O-3-phosphate</v>
          </cell>
        </row>
        <row r="8362">
          <cell r="A8362" t="str">
            <v>tre_p</v>
          </cell>
          <cell r="B8362" t="str">
            <v>tre</v>
          </cell>
          <cell r="C8362" t="str">
            <v>Trehalose</v>
          </cell>
        </row>
        <row r="8363">
          <cell r="A8363" t="str">
            <v>tyrp_p</v>
          </cell>
          <cell r="B8363" t="str">
            <v>tyrp</v>
          </cell>
          <cell r="C8363" t="str">
            <v>Phosphotyrosine</v>
          </cell>
        </row>
        <row r="8364">
          <cell r="A8364" t="str">
            <v>uLa4n_p</v>
          </cell>
          <cell r="B8364" t="str">
            <v>uLa4n</v>
          </cell>
          <cell r="C8364" t="str">
            <v>Undecaprenyl phosphate-4-amino-4-deoxy-L-arabinose</v>
          </cell>
        </row>
        <row r="8365">
          <cell r="A8365" t="str">
            <v>udpacgal_p</v>
          </cell>
          <cell r="B8365" t="str">
            <v>udpacgal</v>
          </cell>
          <cell r="C8365" t="str">
            <v>UDP-N-acetyl-D-galactosamine</v>
          </cell>
        </row>
        <row r="8366">
          <cell r="A8366" t="str">
            <v>udpg_p</v>
          </cell>
          <cell r="B8366" t="str">
            <v>udpg</v>
          </cell>
          <cell r="C8366" t="str">
            <v>UDPglucose</v>
          </cell>
        </row>
        <row r="8367">
          <cell r="A8367" t="str">
            <v>unagamuf_p</v>
          </cell>
          <cell r="B8367" t="str">
            <v>unagamuf</v>
          </cell>
          <cell r="C8367" t="str">
            <v>Undecaprenyl-diphospho N-acetylglucosamine-N-acetylmannosaminuronate-N-acetamido-4,6-dideoxy-D-galactose</v>
          </cell>
        </row>
        <row r="8368">
          <cell r="A8368" t="str">
            <v>uri_p</v>
          </cell>
          <cell r="B8368" t="str">
            <v>uri</v>
          </cell>
          <cell r="C8368" t="str">
            <v>Uridine</v>
          </cell>
        </row>
        <row r="8369">
          <cell r="A8369" t="str">
            <v>xmp_p</v>
          </cell>
          <cell r="B8369" t="str">
            <v>xmp</v>
          </cell>
          <cell r="C8369" t="str">
            <v>Xanthosine 5'-phosphate</v>
          </cell>
        </row>
        <row r="8370">
          <cell r="A8370" t="str">
            <v>2dhglcn_c</v>
          </cell>
          <cell r="B8370" t="str">
            <v>2dhglcn</v>
          </cell>
          <cell r="C8370" t="str">
            <v>2-Dehydro-D-gluconate</v>
          </cell>
        </row>
        <row r="8371">
          <cell r="A8371" t="str">
            <v>dkmpp_c</v>
          </cell>
          <cell r="B8371" t="str">
            <v>dkmpp</v>
          </cell>
          <cell r="C8371" t="str">
            <v>2,3-diketo-5-methylthio-1-phosphopentane</v>
          </cell>
        </row>
        <row r="8372">
          <cell r="A8372" t="str">
            <v>fldox_c</v>
          </cell>
          <cell r="B8372" t="str">
            <v>fldox</v>
          </cell>
          <cell r="C8372" t="str">
            <v>Flavodoxin (oxidized) - obsolete</v>
          </cell>
        </row>
        <row r="8373">
          <cell r="A8373" t="str">
            <v>s_c</v>
          </cell>
          <cell r="B8373" t="str">
            <v>s</v>
          </cell>
          <cell r="C8373" t="str">
            <v>Sulfur</v>
          </cell>
        </row>
        <row r="8374">
          <cell r="A8374" t="str">
            <v>13BDglcn_e</v>
          </cell>
          <cell r="B8374" t="str">
            <v>13BDglcn</v>
          </cell>
          <cell r="C8374" t="str">
            <v>1 3 beta D Glucan C6H10O5</v>
          </cell>
        </row>
        <row r="8375">
          <cell r="A8375" t="str">
            <v>16BDglcn_c</v>
          </cell>
          <cell r="B8375" t="str">
            <v>16BDglcn</v>
          </cell>
          <cell r="C8375" t="str">
            <v>1 6 beta D Glucan C6H10O5</v>
          </cell>
        </row>
        <row r="8376">
          <cell r="A8376" t="str">
            <v>1agpc_SC_c</v>
          </cell>
          <cell r="B8376" t="str">
            <v>1agpc_SC</v>
          </cell>
          <cell r="C8376" t="str">
            <v>1 Acyl sn glycerol 3 phosphocholine  yeast specific C2420H4922N100O700P100</v>
          </cell>
        </row>
        <row r="8377">
          <cell r="A8377" t="str">
            <v>1pyr5c_m</v>
          </cell>
          <cell r="B8377" t="str">
            <v>1pyr5c</v>
          </cell>
          <cell r="C8377" t="str">
            <v>1-Pyrroline-5-carboxylate</v>
          </cell>
        </row>
        <row r="8378">
          <cell r="A8378" t="str">
            <v>23dhmp_m</v>
          </cell>
          <cell r="B8378" t="str">
            <v>23dhmp</v>
          </cell>
          <cell r="C8378" t="str">
            <v>(R)-2,3-Dihydroxy-3-methylpentanoate</v>
          </cell>
        </row>
        <row r="8379">
          <cell r="A8379" t="str">
            <v>2ahbut_m</v>
          </cell>
          <cell r="B8379" t="str">
            <v>2ahbut</v>
          </cell>
          <cell r="C8379" t="str">
            <v>(S)-2-Aceto-2-hydroxybutanoate</v>
          </cell>
        </row>
        <row r="8380">
          <cell r="A8380" t="str">
            <v>2ahhmd_m</v>
          </cell>
          <cell r="B8380" t="str">
            <v>2ahhmd</v>
          </cell>
          <cell r="C8380" t="str">
            <v>2 Amino 4 hydroxy 6 hydroxymethyl 7 8 dihydropteridine diphosphate C7H8N5O8P2</v>
          </cell>
        </row>
        <row r="8381">
          <cell r="A8381" t="str">
            <v>2dda7p_m</v>
          </cell>
          <cell r="B8381" t="str">
            <v>2dda7p</v>
          </cell>
          <cell r="C8381" t="str">
            <v>2-Dehydro-3-deoxy-D-arabino-heptonate 7-phosphate</v>
          </cell>
        </row>
        <row r="8382">
          <cell r="A8382" t="str">
            <v>2mbac_c</v>
          </cell>
          <cell r="B8382" t="str">
            <v>2mbac</v>
          </cell>
          <cell r="C8382" t="str">
            <v>2 methylbutyl acetate C7H14O2</v>
          </cell>
        </row>
        <row r="8383">
          <cell r="A8383" t="str">
            <v>2mbald_e</v>
          </cell>
          <cell r="B8383" t="str">
            <v>2mbald</v>
          </cell>
          <cell r="C8383" t="str">
            <v>2 methylbutyraldehyde C5H10O</v>
          </cell>
        </row>
        <row r="8384">
          <cell r="A8384" t="str">
            <v>2mbtoh_c</v>
          </cell>
          <cell r="B8384" t="str">
            <v>2mbtoh</v>
          </cell>
          <cell r="C8384" t="str">
            <v>2 methyl 1 butanol C5H12O</v>
          </cell>
        </row>
        <row r="8385">
          <cell r="A8385" t="str">
            <v>2mppal_c</v>
          </cell>
          <cell r="B8385" t="str">
            <v>2mppal</v>
          </cell>
          <cell r="C8385" t="str">
            <v>2 methylpropanal C4H8O</v>
          </cell>
        </row>
        <row r="8386">
          <cell r="A8386" t="str">
            <v>2phetoh_c</v>
          </cell>
          <cell r="B8386" t="str">
            <v>2phetoh</v>
          </cell>
          <cell r="C8386" t="str">
            <v>2 phenylethanol C8H10O</v>
          </cell>
        </row>
        <row r="8387">
          <cell r="A8387" t="str">
            <v>35cimp_c</v>
          </cell>
          <cell r="B8387" t="str">
            <v>35cimp</v>
          </cell>
          <cell r="C8387" t="str">
            <v>3  5  Cyclic IMP C10H10N4O7P</v>
          </cell>
        </row>
        <row r="8388">
          <cell r="A8388" t="str">
            <v>3c3hmp_e</v>
          </cell>
          <cell r="B8388" t="str">
            <v>3c3hmp</v>
          </cell>
          <cell r="C8388" t="str">
            <v>3-Carboxy-3-hydroxy-4-methylpentanoate</v>
          </cell>
        </row>
        <row r="8389">
          <cell r="A8389" t="str">
            <v>3hanthrn_c</v>
          </cell>
          <cell r="B8389" t="str">
            <v>3hanthrn</v>
          </cell>
          <cell r="C8389" t="str">
            <v>3 Hydroxyanthranilate C7H7NO3</v>
          </cell>
        </row>
        <row r="8390">
          <cell r="A8390" t="str">
            <v>3hddcoa_x</v>
          </cell>
          <cell r="B8390" t="str">
            <v>3hddcoa</v>
          </cell>
          <cell r="C8390" t="str">
            <v>(S)-3-Hydroxydodecanoyl-CoA</v>
          </cell>
        </row>
        <row r="8391">
          <cell r="A8391" t="str">
            <v>3mob_m</v>
          </cell>
          <cell r="B8391" t="str">
            <v>3mob</v>
          </cell>
          <cell r="C8391" t="str">
            <v>3-Methyl-2-oxobutanoate</v>
          </cell>
        </row>
        <row r="8392">
          <cell r="A8392" t="str">
            <v>3mop_e</v>
          </cell>
          <cell r="B8392" t="str">
            <v>3mop</v>
          </cell>
          <cell r="C8392" t="str">
            <v>(S)-3-Methyl-2-oxopentanoate</v>
          </cell>
        </row>
        <row r="8393">
          <cell r="A8393" t="str">
            <v>3ohdcoa_x</v>
          </cell>
          <cell r="B8393" t="str">
            <v>3ohdcoa</v>
          </cell>
          <cell r="C8393" t="str">
            <v>3-Oxohexadecanoyl-CoA</v>
          </cell>
        </row>
        <row r="8394">
          <cell r="A8394" t="str">
            <v>3ohodcoa_x</v>
          </cell>
          <cell r="B8394" t="str">
            <v>3ohodcoa</v>
          </cell>
          <cell r="C8394" t="str">
            <v>3-Oxooctadecanoyl-CoA</v>
          </cell>
        </row>
        <row r="8395">
          <cell r="A8395" t="str">
            <v>3ophb_5_m</v>
          </cell>
          <cell r="B8395" t="str">
            <v>3ophb_5</v>
          </cell>
          <cell r="C8395" t="str">
            <v>3 Hexaprenyl 4 hydroxybenzoate C37H53O3</v>
          </cell>
        </row>
        <row r="8396">
          <cell r="A8396" t="str">
            <v>3otdcoa_x</v>
          </cell>
          <cell r="B8396" t="str">
            <v>3otdcoa</v>
          </cell>
          <cell r="C8396" t="str">
            <v>3-Oxotetradecanoyl-CoA</v>
          </cell>
        </row>
        <row r="8397">
          <cell r="A8397" t="str">
            <v>4abutn_m</v>
          </cell>
          <cell r="B8397" t="str">
            <v>4abutn</v>
          </cell>
          <cell r="C8397" t="str">
            <v>4-Aminobutanal</v>
          </cell>
        </row>
        <row r="8398">
          <cell r="A8398" t="str">
            <v>4hbz_m</v>
          </cell>
          <cell r="B8398" t="str">
            <v>4hbz</v>
          </cell>
          <cell r="C8398" t="str">
            <v>4-Hydroxybenzoate</v>
          </cell>
        </row>
        <row r="8399">
          <cell r="A8399" t="str">
            <v>4mzym_c</v>
          </cell>
          <cell r="B8399" t="str">
            <v>4mzym</v>
          </cell>
          <cell r="C8399" t="str">
            <v>4 methylzymosterol C28H46O</v>
          </cell>
        </row>
        <row r="8400">
          <cell r="A8400" t="str">
            <v>5aop_e</v>
          </cell>
          <cell r="B8400" t="str">
            <v>5aop</v>
          </cell>
          <cell r="C8400" t="str">
            <v>5-Amino-4-oxopentanoate</v>
          </cell>
        </row>
        <row r="8401">
          <cell r="A8401" t="str">
            <v>6pgl_r</v>
          </cell>
          <cell r="B8401" t="str">
            <v>6pgl</v>
          </cell>
          <cell r="C8401" t="str">
            <v>6-phospho-D-glucono-1,5-lactone</v>
          </cell>
        </row>
        <row r="8402">
          <cell r="A8402" t="str">
            <v>cysi__L_v</v>
          </cell>
          <cell r="B8402" t="str">
            <v>cysi__L</v>
          </cell>
          <cell r="C8402" t="str">
            <v>L Cystine C6H12N2O4S2</v>
          </cell>
        </row>
        <row r="8403">
          <cell r="A8403" t="str">
            <v>Nbfortyr_e</v>
          </cell>
          <cell r="B8403" t="str">
            <v>Nbfortyr</v>
          </cell>
          <cell r="C8403" t="str">
            <v>N N bisformyl dityrosine C20H22N2O8</v>
          </cell>
        </row>
        <row r="8404">
          <cell r="A8404" t="str">
            <v>ac_m</v>
          </cell>
          <cell r="B8404" t="str">
            <v>ac</v>
          </cell>
          <cell r="C8404" t="str">
            <v>Acetate</v>
          </cell>
        </row>
        <row r="8405">
          <cell r="A8405" t="str">
            <v>accoa_x</v>
          </cell>
          <cell r="B8405" t="str">
            <v>accoa</v>
          </cell>
          <cell r="C8405" t="str">
            <v>Acetyl-CoA</v>
          </cell>
        </row>
        <row r="8406">
          <cell r="A8406" t="str">
            <v>aces_c</v>
          </cell>
          <cell r="B8406" t="str">
            <v>aces</v>
          </cell>
          <cell r="C8406" t="str">
            <v>Acetic ester C4H8O2</v>
          </cell>
        </row>
        <row r="8407">
          <cell r="A8407" t="str">
            <v>adn_m</v>
          </cell>
          <cell r="B8407" t="str">
            <v>adn</v>
          </cell>
          <cell r="C8407" t="str">
            <v>Adenosine</v>
          </cell>
        </row>
        <row r="8408">
          <cell r="A8408" t="str">
            <v>ahcys_m</v>
          </cell>
          <cell r="B8408" t="str">
            <v>ahcys</v>
          </cell>
          <cell r="C8408" t="str">
            <v>S-Adenosyl-L-homocysteine</v>
          </cell>
        </row>
        <row r="8409">
          <cell r="A8409" t="str">
            <v>alpam_m</v>
          </cell>
          <cell r="B8409" t="str">
            <v>alpam</v>
          </cell>
          <cell r="C8409" t="str">
            <v>S aminomethyldihydrolipoamide C9H21N2OS2</v>
          </cell>
        </row>
        <row r="8410">
          <cell r="A8410" t="str">
            <v>amet_e</v>
          </cell>
          <cell r="B8410" t="str">
            <v>amet</v>
          </cell>
          <cell r="C8410" t="str">
            <v>S-Adenosyl-L-methionine</v>
          </cell>
        </row>
        <row r="8411">
          <cell r="A8411" t="str">
            <v>amp_x</v>
          </cell>
          <cell r="B8411" t="str">
            <v>amp</v>
          </cell>
          <cell r="C8411" t="str">
            <v>AMP C10H12N5O7P</v>
          </cell>
        </row>
        <row r="8412">
          <cell r="A8412" t="str">
            <v>aproa_c</v>
          </cell>
          <cell r="B8412" t="str">
            <v>aproa</v>
          </cell>
          <cell r="C8412" t="str">
            <v>3 Aminopropanal C3H8NO</v>
          </cell>
        </row>
        <row r="8413">
          <cell r="A8413" t="str">
            <v>arab__D_e</v>
          </cell>
          <cell r="B8413" t="str">
            <v>arab__D</v>
          </cell>
          <cell r="C8413" t="str">
            <v>D Arabinose C5H10O5</v>
          </cell>
        </row>
        <row r="8414">
          <cell r="A8414" t="str">
            <v>asn__L_m</v>
          </cell>
          <cell r="B8414" t="str">
            <v>asn__L</v>
          </cell>
          <cell r="C8414" t="str">
            <v>L-Asparagine</v>
          </cell>
        </row>
        <row r="8415">
          <cell r="A8415" t="str">
            <v>asn__L_v</v>
          </cell>
          <cell r="B8415" t="str">
            <v>asn__L</v>
          </cell>
          <cell r="C8415" t="str">
            <v>L-Asparagine</v>
          </cell>
        </row>
        <row r="8416">
          <cell r="A8416" t="str">
            <v>asp__L_x</v>
          </cell>
          <cell r="B8416" t="str">
            <v>asp__L</v>
          </cell>
          <cell r="C8416" t="str">
            <v>L-Aspartate</v>
          </cell>
        </row>
        <row r="8417">
          <cell r="A8417" t="str">
            <v>asptrna_m</v>
          </cell>
          <cell r="B8417" t="str">
            <v>asptrna</v>
          </cell>
          <cell r="C8417" t="str">
            <v>L-Aspartyl-tRNA(Asp)</v>
          </cell>
        </row>
        <row r="8418">
          <cell r="A8418" t="str">
            <v>atp_m</v>
          </cell>
          <cell r="B8418" t="str">
            <v>atp</v>
          </cell>
          <cell r="C8418" t="str">
            <v>ATP C10H12N5O13P3</v>
          </cell>
        </row>
        <row r="8419">
          <cell r="A8419" t="str">
            <v>atp_v</v>
          </cell>
          <cell r="B8419" t="str">
            <v>atp</v>
          </cell>
          <cell r="C8419" t="str">
            <v>ATP C10H12N5O13P3</v>
          </cell>
        </row>
        <row r="8420">
          <cell r="A8420" t="str">
            <v>btd_RR_c</v>
          </cell>
          <cell r="B8420" t="str">
            <v>btd_RR</v>
          </cell>
          <cell r="C8420" t="str">
            <v xml:space="preserve"> R R  2 3 Butanediol C4H10O2</v>
          </cell>
        </row>
        <row r="8421">
          <cell r="A8421" t="str">
            <v>caphis_c</v>
          </cell>
          <cell r="B8421" t="str">
            <v>caphis</v>
          </cell>
          <cell r="C8421" t="str">
            <v>2  3 Carboxy 3 aminopropyl  L histidine C10H16N4O4</v>
          </cell>
        </row>
        <row r="8422">
          <cell r="A8422" t="str">
            <v>cdpchol_c</v>
          </cell>
          <cell r="B8422" t="str">
            <v>cdpchol</v>
          </cell>
          <cell r="C8422" t="str">
            <v>CDPcholine C14H25N4O11P2</v>
          </cell>
        </row>
        <row r="8423">
          <cell r="A8423" t="str">
            <v>cdpdag_SC_c</v>
          </cell>
          <cell r="B8423" t="str">
            <v>cdpdag_SC</v>
          </cell>
          <cell r="C8423" t="str">
            <v>CDPdiacylglycerol  yeast specific C4440H7744N300O1500P200</v>
          </cell>
        </row>
        <row r="8424">
          <cell r="A8424" t="str">
            <v>cer1_26_c</v>
          </cell>
          <cell r="B8424" t="str">
            <v>cer1_26</v>
          </cell>
          <cell r="C8424" t="str">
            <v>Ceramide 1  Sphinganinen C260  C44H89NO3</v>
          </cell>
        </row>
        <row r="8425">
          <cell r="A8425" t="str">
            <v>cer1_26_r</v>
          </cell>
          <cell r="B8425" t="str">
            <v>cer1_26</v>
          </cell>
          <cell r="C8425" t="str">
            <v>Ceramide 1  Sphinganinen C260  C44H89NO3</v>
          </cell>
        </row>
        <row r="8426">
          <cell r="A8426" t="str">
            <v>cer3_24_c</v>
          </cell>
          <cell r="B8426" t="str">
            <v>cer3_24</v>
          </cell>
          <cell r="C8426" t="str">
            <v>Ceramide 3  Phytosphingosinen C240OH  C42H85NO5</v>
          </cell>
        </row>
        <row r="8427">
          <cell r="A8427" t="str">
            <v>chitin_c</v>
          </cell>
          <cell r="B8427" t="str">
            <v>chitin</v>
          </cell>
          <cell r="C8427" t="str">
            <v>Chitin  monomer  C8H13NO5</v>
          </cell>
        </row>
        <row r="8428">
          <cell r="A8428" t="str">
            <v>cmusa_c</v>
          </cell>
          <cell r="B8428" t="str">
            <v>cmusa</v>
          </cell>
          <cell r="C8428" t="str">
            <v>2 Amino 3 carboxymuconate semialdehyde C7H6NO5</v>
          </cell>
        </row>
        <row r="8429">
          <cell r="A8429" t="str">
            <v>co2_g</v>
          </cell>
          <cell r="B8429" t="str">
            <v>co2</v>
          </cell>
          <cell r="C8429" t="str">
            <v>CO2 CO2</v>
          </cell>
        </row>
        <row r="8430">
          <cell r="A8430" t="str">
            <v>co2_n</v>
          </cell>
          <cell r="B8430" t="str">
            <v>co2</v>
          </cell>
          <cell r="C8430" t="str">
            <v>CO2 CO2</v>
          </cell>
        </row>
        <row r="8431">
          <cell r="A8431" t="str">
            <v>coa_r</v>
          </cell>
          <cell r="B8431" t="str">
            <v>coa</v>
          </cell>
          <cell r="C8431" t="str">
            <v>Coenzyme A</v>
          </cell>
        </row>
        <row r="8432">
          <cell r="A8432" t="str">
            <v>coa_x</v>
          </cell>
          <cell r="B8432" t="str">
            <v>coa</v>
          </cell>
          <cell r="C8432" t="str">
            <v>Coenzyme A</v>
          </cell>
        </row>
        <row r="8433">
          <cell r="A8433" t="str">
            <v>ddcacoa_x</v>
          </cell>
          <cell r="B8433" t="str">
            <v>ddcacoa</v>
          </cell>
          <cell r="C8433" t="str">
            <v>Dodecanoyl-CoA (n-C12:0CoA)</v>
          </cell>
        </row>
        <row r="8434">
          <cell r="A8434" t="str">
            <v>dhap_m</v>
          </cell>
          <cell r="B8434" t="str">
            <v>dhap</v>
          </cell>
          <cell r="C8434" t="str">
            <v>Dihydroxyacetone phosphate</v>
          </cell>
        </row>
        <row r="8435">
          <cell r="A8435" t="str">
            <v>dhf_m</v>
          </cell>
          <cell r="B8435" t="str">
            <v>dhf</v>
          </cell>
          <cell r="C8435" t="str">
            <v>7,8-Dihydrofolate</v>
          </cell>
        </row>
        <row r="8436">
          <cell r="A8436" t="str">
            <v>dnad_n</v>
          </cell>
          <cell r="B8436" t="str">
            <v>dnad</v>
          </cell>
          <cell r="C8436" t="str">
            <v>Deamino-NAD+</v>
          </cell>
        </row>
        <row r="8437">
          <cell r="A8437" t="str">
            <v>dolichol_c</v>
          </cell>
          <cell r="B8437" t="str">
            <v>dolichol</v>
          </cell>
          <cell r="C8437" t="str">
            <v>Dolichol C15H28O</v>
          </cell>
        </row>
        <row r="8438">
          <cell r="A8438" t="str">
            <v>dolmanp_r</v>
          </cell>
          <cell r="B8438" t="str">
            <v>dolmanp</v>
          </cell>
          <cell r="C8438" t="str">
            <v>Dolichyl phosphate D mannose C21H38O9P</v>
          </cell>
        </row>
        <row r="8439">
          <cell r="A8439" t="str">
            <v>dttp_e</v>
          </cell>
          <cell r="B8439" t="str">
            <v>dttp</v>
          </cell>
          <cell r="C8439" t="str">
            <v>DTTP C10H13N2O14P3</v>
          </cell>
        </row>
        <row r="8440">
          <cell r="A8440" t="str">
            <v>e4hglu_c</v>
          </cell>
          <cell r="B8440" t="str">
            <v>e4hglu</v>
          </cell>
          <cell r="C8440" t="str">
            <v>L erythro 4 Hydroxyglutamate C5H8NO5</v>
          </cell>
        </row>
        <row r="8441">
          <cell r="A8441" t="str">
            <v>e4hglu_x</v>
          </cell>
          <cell r="B8441" t="str">
            <v>e4hglu</v>
          </cell>
          <cell r="C8441" t="str">
            <v>L erythro 4 Hydroxyglutamate C5H8NO5</v>
          </cell>
        </row>
        <row r="8442">
          <cell r="A8442" t="str">
            <v>e4p_m</v>
          </cell>
          <cell r="B8442" t="str">
            <v>e4p</v>
          </cell>
          <cell r="C8442" t="str">
            <v>D-Erythrose 4-phosphate</v>
          </cell>
        </row>
        <row r="8443">
          <cell r="A8443" t="str">
            <v>epistest_SC_c</v>
          </cell>
          <cell r="B8443" t="str">
            <v>epistest_SC</v>
          </cell>
          <cell r="C8443" t="str">
            <v>Episterol ester  yeast specific C1695H2995O101</v>
          </cell>
        </row>
        <row r="8444">
          <cell r="A8444" t="str">
            <v>epm_c</v>
          </cell>
          <cell r="B8444" t="str">
            <v>epm</v>
          </cell>
          <cell r="C8444" t="str">
            <v>Epimelibiose C12H22O11</v>
          </cell>
        </row>
        <row r="8445">
          <cell r="A8445" t="str">
            <v>ergstest_SC_c</v>
          </cell>
          <cell r="B8445" t="str">
            <v>ergstest_SC</v>
          </cell>
          <cell r="C8445" t="str">
            <v>Ergosterol ester  yeast specific C1695H2993O101</v>
          </cell>
        </row>
        <row r="8446">
          <cell r="A8446" t="str">
            <v>ergtetrol_c</v>
          </cell>
          <cell r="B8446" t="str">
            <v>ergtetrol</v>
          </cell>
          <cell r="C8446" t="str">
            <v>Ergosta 5 7 22 24  28  tetraen 3beta ol C28H42O</v>
          </cell>
        </row>
        <row r="8447">
          <cell r="A8447" t="str">
            <v>ergtetrol_r</v>
          </cell>
          <cell r="B8447" t="str">
            <v>ergtetrol</v>
          </cell>
          <cell r="C8447" t="str">
            <v>Ergosta 5 7 22 24  28  tetraen 3beta ol C28H42O</v>
          </cell>
        </row>
        <row r="8448">
          <cell r="A8448" t="str">
            <v>f26bp_c</v>
          </cell>
          <cell r="B8448" t="str">
            <v>f26bp</v>
          </cell>
          <cell r="C8448" t="str">
            <v>D Fructose 2 6 bisphosphate C6H10O12P2</v>
          </cell>
        </row>
        <row r="8449">
          <cell r="A8449" t="str">
            <v>fecost_c</v>
          </cell>
          <cell r="B8449" t="str">
            <v>fecost</v>
          </cell>
          <cell r="C8449" t="str">
            <v>Fecosterol C28H46O</v>
          </cell>
        </row>
        <row r="8450">
          <cell r="A8450" t="str">
            <v>fmettrna_m</v>
          </cell>
          <cell r="B8450" t="str">
            <v>fmettrna</v>
          </cell>
          <cell r="C8450" t="str">
            <v>N-Formylmethionyl-tRNA</v>
          </cell>
        </row>
        <row r="8451">
          <cell r="A8451" t="str">
            <v>for_m</v>
          </cell>
          <cell r="B8451" t="str">
            <v>for</v>
          </cell>
          <cell r="C8451" t="str">
            <v>Formate</v>
          </cell>
        </row>
        <row r="8452">
          <cell r="A8452" t="str">
            <v>fum_m</v>
          </cell>
          <cell r="B8452" t="str">
            <v>fum</v>
          </cell>
          <cell r="C8452" t="str">
            <v>Fumarate</v>
          </cell>
        </row>
        <row r="8453">
          <cell r="A8453" t="str">
            <v>gcald_m</v>
          </cell>
          <cell r="B8453" t="str">
            <v>gcald</v>
          </cell>
          <cell r="C8453" t="str">
            <v>Glycolaldehyde</v>
          </cell>
        </row>
        <row r="8454">
          <cell r="A8454" t="str">
            <v>ggdp_c</v>
          </cell>
          <cell r="B8454" t="str">
            <v>ggdp</v>
          </cell>
          <cell r="C8454" t="str">
            <v>Geranylgeranyl diphosphate C20H33O7P2</v>
          </cell>
        </row>
        <row r="8455">
          <cell r="A8455" t="str">
            <v>glp_c</v>
          </cell>
          <cell r="B8455" t="str">
            <v>glp</v>
          </cell>
          <cell r="C8455" t="str">
            <v>Glycylpeptide C4H7N2O3R</v>
          </cell>
        </row>
        <row r="8456">
          <cell r="A8456" t="str">
            <v>glu__L_x</v>
          </cell>
          <cell r="B8456" t="str">
            <v>glu__L</v>
          </cell>
          <cell r="C8456" t="str">
            <v>L-Glutamate</v>
          </cell>
        </row>
        <row r="8457">
          <cell r="A8457" t="str">
            <v>glutrna_m</v>
          </cell>
          <cell r="B8457" t="str">
            <v>glutrna</v>
          </cell>
          <cell r="C8457" t="str">
            <v>L-Glutamyl-tRNA(Glu)</v>
          </cell>
        </row>
        <row r="8458">
          <cell r="A8458" t="str">
            <v>gmp_g</v>
          </cell>
          <cell r="B8458" t="str">
            <v>gmp</v>
          </cell>
          <cell r="C8458" t="str">
            <v>GMP C10H12N5O8P</v>
          </cell>
        </row>
        <row r="8459">
          <cell r="A8459" t="str">
            <v>gtp_m</v>
          </cell>
          <cell r="B8459" t="str">
            <v>gtp</v>
          </cell>
          <cell r="C8459" t="str">
            <v>GTP C10H12N5O14P3</v>
          </cell>
        </row>
        <row r="8460">
          <cell r="A8460" t="str">
            <v>h2o2_m</v>
          </cell>
          <cell r="B8460" t="str">
            <v>h2o2</v>
          </cell>
          <cell r="C8460" t="str">
            <v>Hydrogen peroxide</v>
          </cell>
        </row>
        <row r="8461">
          <cell r="A8461" t="str">
            <v>hLkynr_c</v>
          </cell>
          <cell r="B8461" t="str">
            <v>hLkynr</v>
          </cell>
          <cell r="C8461" t="str">
            <v>3 Hydroxy L kynurenine C10H12N2O4</v>
          </cell>
        </row>
        <row r="8462">
          <cell r="A8462" t="str">
            <v>hcit_m</v>
          </cell>
          <cell r="B8462" t="str">
            <v>hcit</v>
          </cell>
          <cell r="C8462" t="str">
            <v>2 Hydroxybutane 1 2 4 tricarboxylate C7H7O7</v>
          </cell>
        </row>
        <row r="8463">
          <cell r="A8463" t="str">
            <v>hco3_m</v>
          </cell>
          <cell r="B8463" t="str">
            <v>hco3</v>
          </cell>
          <cell r="C8463" t="str">
            <v>Bicarbonate</v>
          </cell>
        </row>
        <row r="8464">
          <cell r="A8464" t="str">
            <v>hdcea_x</v>
          </cell>
          <cell r="B8464" t="str">
            <v>hdcea</v>
          </cell>
          <cell r="C8464" t="str">
            <v>Hexadecenoate (n-C16:1)</v>
          </cell>
        </row>
        <row r="8465">
          <cell r="A8465" t="str">
            <v>hdeACP_m</v>
          </cell>
          <cell r="B8465" t="str">
            <v>hdeACP</v>
          </cell>
          <cell r="C8465" t="str">
            <v>Cis-hexadec-9-enoyl-[acyl-carrier protein] (n-C16:1)</v>
          </cell>
        </row>
        <row r="8466">
          <cell r="A8466" t="str">
            <v>hexc_e</v>
          </cell>
          <cell r="B8466" t="str">
            <v>hexc</v>
          </cell>
          <cell r="C8466" t="str">
            <v>Hexacosanoate  n C260  C26H51O2</v>
          </cell>
        </row>
        <row r="8467">
          <cell r="A8467" t="str">
            <v>histrna_m</v>
          </cell>
          <cell r="B8467" t="str">
            <v>histrna</v>
          </cell>
          <cell r="C8467" t="str">
            <v>L-Histidyl-tRNA(His)</v>
          </cell>
        </row>
        <row r="8468">
          <cell r="A8468" t="str">
            <v>hpglu_c</v>
          </cell>
          <cell r="B8468" t="str">
            <v>hpglu</v>
          </cell>
          <cell r="C8468" t="str">
            <v>Tetrahydropteroyltri L glutamate C24H34N8O12</v>
          </cell>
        </row>
        <row r="8469">
          <cell r="A8469" t="str">
            <v>iamoh_e</v>
          </cell>
          <cell r="B8469" t="str">
            <v>iamoh</v>
          </cell>
          <cell r="C8469" t="str">
            <v>Isoamyl alcohol C5H12O</v>
          </cell>
        </row>
        <row r="8470">
          <cell r="A8470" t="str">
            <v>ibutac_e</v>
          </cell>
          <cell r="B8470" t="str">
            <v>ibutac</v>
          </cell>
          <cell r="C8470" t="str">
            <v>Isobutyl acetate C6H12O2</v>
          </cell>
        </row>
        <row r="8471">
          <cell r="A8471" t="str">
            <v>ibutoh_c</v>
          </cell>
          <cell r="B8471" t="str">
            <v>ibutoh</v>
          </cell>
          <cell r="C8471" t="str">
            <v>Isobutyl alcohol C4H10O</v>
          </cell>
        </row>
        <row r="8472">
          <cell r="A8472" t="str">
            <v>icit_x</v>
          </cell>
          <cell r="B8472" t="str">
            <v>icit</v>
          </cell>
          <cell r="C8472" t="str">
            <v>Isocitrate</v>
          </cell>
        </row>
        <row r="8473">
          <cell r="A8473" t="str">
            <v>id3acald_e</v>
          </cell>
          <cell r="B8473" t="str">
            <v>id3acald</v>
          </cell>
          <cell r="C8473" t="str">
            <v>Indole 3 acetaldehyde C10H9NO</v>
          </cell>
        </row>
        <row r="8474">
          <cell r="A8474" t="str">
            <v>iletrna_m</v>
          </cell>
          <cell r="B8474" t="str">
            <v>iletrna</v>
          </cell>
          <cell r="C8474" t="str">
            <v>L-Isoleucyl-tRNA(Ile)</v>
          </cell>
        </row>
        <row r="8475">
          <cell r="A8475" t="str">
            <v>ind3acnl_c</v>
          </cell>
          <cell r="B8475" t="str">
            <v>ind3acnl</v>
          </cell>
          <cell r="C8475" t="str">
            <v>Indole 3 acetonitrile C10H8N2</v>
          </cell>
        </row>
        <row r="8476">
          <cell r="A8476" t="str">
            <v>ind3eth_c</v>
          </cell>
          <cell r="B8476" t="str">
            <v>ind3eth</v>
          </cell>
          <cell r="C8476" t="str">
            <v>Indole 3 ethanol C10H11NO</v>
          </cell>
        </row>
        <row r="8477">
          <cell r="A8477" t="str">
            <v>ipc126_SC_c</v>
          </cell>
          <cell r="B8477" t="str">
            <v>ipc126_SC</v>
          </cell>
          <cell r="C8477" t="str">
            <v>Inositol phosphorylceramide  ceramide 1  26C   yeast specific C5000H9900N100O1100P100</v>
          </cell>
        </row>
        <row r="8478">
          <cell r="A8478" t="str">
            <v>ipc226_SC_c</v>
          </cell>
          <cell r="B8478" t="str">
            <v>ipc226_SC</v>
          </cell>
          <cell r="C8478" t="str">
            <v>Inositol phosphorylceramide  ceramide 2  26C   yeast specific C5000H9900N100O1200P100</v>
          </cell>
        </row>
        <row r="8479">
          <cell r="A8479" t="str">
            <v>ipc326_SC_c</v>
          </cell>
          <cell r="B8479" t="str">
            <v>ipc326_SC</v>
          </cell>
          <cell r="C8479" t="str">
            <v>Inositol phosphorylceramide  ceramide 3  26C   yeast specific C5000H9900N100O1300P100</v>
          </cell>
        </row>
        <row r="8480">
          <cell r="A8480" t="str">
            <v>itacon_m</v>
          </cell>
          <cell r="B8480" t="str">
            <v>itacon</v>
          </cell>
          <cell r="C8480" t="str">
            <v>Itaconate C5H4O4</v>
          </cell>
        </row>
        <row r="8481">
          <cell r="A8481" t="str">
            <v>lac__D_m</v>
          </cell>
          <cell r="B8481" t="str">
            <v>lac__D</v>
          </cell>
          <cell r="C8481" t="str">
            <v>D-Lactate</v>
          </cell>
        </row>
        <row r="8482">
          <cell r="A8482" t="str">
            <v>lac__L_m</v>
          </cell>
          <cell r="B8482" t="str">
            <v>lac__L</v>
          </cell>
          <cell r="C8482" t="str">
            <v>L-Lactate</v>
          </cell>
        </row>
        <row r="8483">
          <cell r="A8483" t="str">
            <v>lanostest_SC_e</v>
          </cell>
          <cell r="B8483" t="str">
            <v>lanostest_SC</v>
          </cell>
          <cell r="C8483" t="str">
            <v>Lanosterol ester  yeast specific C1697H2999O101</v>
          </cell>
        </row>
        <row r="8484">
          <cell r="A8484" t="str">
            <v>leutrna_m</v>
          </cell>
          <cell r="B8484" t="str">
            <v>leutrna</v>
          </cell>
          <cell r="C8484" t="str">
            <v>L-Leucyl-tRNA(Leu)</v>
          </cell>
        </row>
        <row r="8485">
          <cell r="A8485" t="str">
            <v>lpam_m</v>
          </cell>
          <cell r="B8485" t="str">
            <v>lpam</v>
          </cell>
          <cell r="C8485" t="str">
            <v>Lipoamide C8H15NOS2</v>
          </cell>
        </row>
        <row r="8486">
          <cell r="A8486" t="str">
            <v>m1macchitppdol_g</v>
          </cell>
          <cell r="B8486" t="str">
            <v>m1macchitppdol</v>
          </cell>
          <cell r="C8486" t="str">
            <v>Alpha D mannosyl beta D mannosyl diacylchitobiosyldiphosphodolichol C43H74N2O27P2</v>
          </cell>
        </row>
        <row r="8487">
          <cell r="A8487" t="str">
            <v>m4macchitppdol_g</v>
          </cell>
          <cell r="B8487" t="str">
            <v>m4macchitppdol</v>
          </cell>
          <cell r="C8487" t="str">
            <v xml:space="preserve"> alpha D Mannosyl 4 beta D mannosyl diacetylchitobiosyldiphosphodolichol C61H104N2O42P2</v>
          </cell>
        </row>
        <row r="8488">
          <cell r="A8488" t="str">
            <v>macchitppdol_g</v>
          </cell>
          <cell r="B8488" t="str">
            <v>macchitppdol</v>
          </cell>
          <cell r="C8488" t="str">
            <v>Beta D Mannosyldiacetylchitobiosyldiphosphodolichol C37H64N2O22P2</v>
          </cell>
        </row>
        <row r="8489">
          <cell r="A8489" t="str">
            <v>mal__L_m</v>
          </cell>
          <cell r="B8489" t="str">
            <v>mal__L</v>
          </cell>
          <cell r="C8489" t="str">
            <v>L-Malate</v>
          </cell>
        </row>
        <row r="8490">
          <cell r="A8490" t="str">
            <v>mev__R_c</v>
          </cell>
          <cell r="B8490" t="str">
            <v>mev__R</v>
          </cell>
          <cell r="C8490" t="str">
            <v xml:space="preserve"> R  Mevalonate C6H11O4</v>
          </cell>
        </row>
        <row r="8491">
          <cell r="A8491" t="str">
            <v>mi13456p_n</v>
          </cell>
          <cell r="B8491" t="str">
            <v>mi13456p</v>
          </cell>
          <cell r="C8491" t="str">
            <v>1D myo Inositol 1 3 4 5 6 pentakisphosphate C6H7O21P5</v>
          </cell>
        </row>
        <row r="8492">
          <cell r="A8492" t="str">
            <v>mi1345p_n</v>
          </cell>
          <cell r="B8492" t="str">
            <v>mi1345p</v>
          </cell>
          <cell r="C8492" t="str">
            <v>1D myo Inositol 1 3 4 5 tetrakisphosphate C6H8O18P4</v>
          </cell>
        </row>
        <row r="8493">
          <cell r="A8493" t="str">
            <v>mi145p_c</v>
          </cell>
          <cell r="B8493" t="str">
            <v>mi145p</v>
          </cell>
          <cell r="C8493" t="str">
            <v>1D myo Inositol 1 4 5 trisphosphate C6H9O15P3</v>
          </cell>
        </row>
        <row r="8494">
          <cell r="A8494" t="str">
            <v>minohp_c</v>
          </cell>
          <cell r="B8494" t="str">
            <v>minohp</v>
          </cell>
          <cell r="C8494" t="str">
            <v>Myo-Inositol hexakisphosphate</v>
          </cell>
        </row>
        <row r="8495">
          <cell r="A8495" t="str">
            <v>mip2c224_SC_c</v>
          </cell>
          <cell r="B8495" t="str">
            <v>mip2c224_SC</v>
          </cell>
          <cell r="C8495" t="str">
            <v>Mannose  inositol P 2 ceramide  ceramide 2  24C   yeast specific C6000H11500N100O2500P200</v>
          </cell>
        </row>
        <row r="8496">
          <cell r="A8496" t="str">
            <v>mip2c324_SC_c</v>
          </cell>
          <cell r="B8496" t="str">
            <v>mip2c324_SC</v>
          </cell>
          <cell r="C8496" t="str">
            <v>Mannose  inositol P 2 ceramide  ceramide 3  24C   yeast specific C6000H11500N100O2600P200</v>
          </cell>
        </row>
        <row r="8497">
          <cell r="A8497" t="str">
            <v>mipc226_SC_c</v>
          </cell>
          <cell r="B8497" t="str">
            <v>mipc226_SC</v>
          </cell>
          <cell r="C8497" t="str">
            <v>Mannose inositol phosphorylceramide  ceramide 2  26C   yeast specific C5600H10900N100O1700P100</v>
          </cell>
        </row>
        <row r="8498">
          <cell r="A8498" t="str">
            <v>mlthf_m</v>
          </cell>
          <cell r="B8498" t="str">
            <v>mlthf</v>
          </cell>
          <cell r="C8498" t="str">
            <v>5,10-Methylenetetrahydrofolate</v>
          </cell>
        </row>
        <row r="8499">
          <cell r="A8499" t="str">
            <v>nadh_r</v>
          </cell>
          <cell r="B8499" t="str">
            <v>nadh</v>
          </cell>
          <cell r="C8499" t="str">
            <v>Nicotinamide adenine dinucleotide - reduced</v>
          </cell>
        </row>
        <row r="8500">
          <cell r="A8500" t="str">
            <v>nadh_x</v>
          </cell>
          <cell r="B8500" t="str">
            <v>nadh</v>
          </cell>
          <cell r="C8500" t="str">
            <v>Nicotinamide adenine dinucleotide - reduced</v>
          </cell>
        </row>
        <row r="8501">
          <cell r="A8501" t="str">
            <v>nadph_m</v>
          </cell>
          <cell r="B8501" t="str">
            <v>nadph</v>
          </cell>
          <cell r="C8501" t="str">
            <v>Nicotinamide adenine dinucleotide phosphate - reduced</v>
          </cell>
        </row>
        <row r="8502">
          <cell r="A8502" t="str">
            <v>nh4_n</v>
          </cell>
          <cell r="B8502" t="str">
            <v>nh4</v>
          </cell>
          <cell r="C8502" t="str">
            <v>Ammonium</v>
          </cell>
        </row>
        <row r="8503">
          <cell r="A8503" t="str">
            <v>nmn_m</v>
          </cell>
          <cell r="B8503" t="str">
            <v>nmn</v>
          </cell>
          <cell r="C8503" t="str">
            <v>NMN C11H14N2O8P</v>
          </cell>
        </row>
        <row r="8504">
          <cell r="A8504" t="str">
            <v>oaa_e</v>
          </cell>
          <cell r="B8504" t="str">
            <v>oaa</v>
          </cell>
          <cell r="C8504" t="str">
            <v>Oxaloacetate</v>
          </cell>
        </row>
        <row r="8505">
          <cell r="A8505" t="str">
            <v>occoa_x</v>
          </cell>
          <cell r="B8505" t="str">
            <v>occoa</v>
          </cell>
          <cell r="C8505" t="str">
            <v>Octanoyl-CoA (n-C8:0CoA)</v>
          </cell>
        </row>
        <row r="8506">
          <cell r="A8506" t="str">
            <v>ocdcya_e</v>
          </cell>
          <cell r="B8506" t="str">
            <v>ocdcya</v>
          </cell>
          <cell r="C8506" t="str">
            <v>Octadecadienoate  n C182  C18H31O2</v>
          </cell>
        </row>
        <row r="8507">
          <cell r="A8507" t="str">
            <v>ocdycacoa_c</v>
          </cell>
          <cell r="B8507" t="str">
            <v>ocdycacoa</v>
          </cell>
          <cell r="C8507" t="str">
            <v>Octadecynoyl CoA  n C182CoA  C39H62N7O17P3S</v>
          </cell>
        </row>
        <row r="8508">
          <cell r="A8508" t="str">
            <v>ocdycacoa_x</v>
          </cell>
          <cell r="B8508" t="str">
            <v>ocdycacoa</v>
          </cell>
          <cell r="C8508" t="str">
            <v>Octadecynoyl CoA  n C182CoA  C39H62N7O17P3S</v>
          </cell>
        </row>
        <row r="8509">
          <cell r="A8509" t="str">
            <v>octeACP_m</v>
          </cell>
          <cell r="B8509" t="str">
            <v>octeACP</v>
          </cell>
          <cell r="C8509" t="str">
            <v>Cis-octadec-11-enoyl-[acyl-carrier protein] (n-C18:1)</v>
          </cell>
        </row>
        <row r="8510">
          <cell r="A8510" t="str">
            <v>oh1_c</v>
          </cell>
          <cell r="B8510" t="str">
            <v>oh1</v>
          </cell>
          <cell r="C8510" t="str">
            <v>Hydroxide ion HO</v>
          </cell>
        </row>
        <row r="8511">
          <cell r="A8511" t="str">
            <v>pan4p_m</v>
          </cell>
          <cell r="B8511" t="str">
            <v>pan4p</v>
          </cell>
          <cell r="C8511" t="str">
            <v>Pantetheine 4'-phosphate</v>
          </cell>
        </row>
        <row r="8512">
          <cell r="A8512" t="str">
            <v>pe_SC_m</v>
          </cell>
          <cell r="B8512" t="str">
            <v>pe_SC</v>
          </cell>
          <cell r="C8512" t="str">
            <v>Phosphatidylethanolamine  yeast specific C3740H7244N100O800P100</v>
          </cell>
        </row>
        <row r="8513">
          <cell r="A8513" t="str">
            <v>pe_SC_v</v>
          </cell>
          <cell r="B8513" t="str">
            <v>pe_SC</v>
          </cell>
          <cell r="C8513" t="str">
            <v>Phosphatidylethanolamine  yeast specific C3740H7244N100O800P100</v>
          </cell>
        </row>
        <row r="8514">
          <cell r="A8514" t="str">
            <v>pendp_m</v>
          </cell>
          <cell r="B8514" t="str">
            <v>pendp</v>
          </cell>
          <cell r="C8514" t="str">
            <v>All trans Pentaprenyl diphosphate C25H41O7P2</v>
          </cell>
        </row>
        <row r="8515">
          <cell r="A8515" t="str">
            <v>pg_SC_m</v>
          </cell>
          <cell r="B8515" t="str">
            <v>pg_SC</v>
          </cell>
          <cell r="C8515" t="str">
            <v>Phosphatidylglycerol  yeast specific C3840H7244O1000P100</v>
          </cell>
        </row>
        <row r="8516">
          <cell r="A8516" t="str">
            <v>phetrna_m</v>
          </cell>
          <cell r="B8516" t="str">
            <v>phetrna</v>
          </cell>
          <cell r="C8516" t="str">
            <v>L-Phenylalanyl-tRNA(Phe)</v>
          </cell>
        </row>
        <row r="8517">
          <cell r="A8517" t="str">
            <v>pi_m</v>
          </cell>
          <cell r="B8517" t="str">
            <v>pi</v>
          </cell>
          <cell r="C8517" t="str">
            <v>Phosphate</v>
          </cell>
        </row>
        <row r="8518">
          <cell r="A8518" t="str">
            <v>pi_v</v>
          </cell>
          <cell r="B8518" t="str">
            <v>pi</v>
          </cell>
          <cell r="C8518" t="str">
            <v>Phosphate</v>
          </cell>
        </row>
        <row r="8519">
          <cell r="A8519" t="str">
            <v>pmtcoa_x</v>
          </cell>
          <cell r="B8519" t="str">
            <v>pmtcoa</v>
          </cell>
          <cell r="C8519" t="str">
            <v>Palmitoyl-CoA (n-C16:0CoA)</v>
          </cell>
        </row>
        <row r="8520">
          <cell r="A8520" t="str">
            <v>ppi_m</v>
          </cell>
          <cell r="B8520" t="str">
            <v>ppi</v>
          </cell>
          <cell r="C8520" t="str">
            <v>Diphosphate</v>
          </cell>
        </row>
        <row r="8521">
          <cell r="A8521" t="str">
            <v>ps_SC_c</v>
          </cell>
          <cell r="B8521" t="str">
            <v>ps_SC</v>
          </cell>
          <cell r="C8521" t="str">
            <v>Phosphatidylserine  yeast specific C3840H7144N100O1000P100</v>
          </cell>
        </row>
        <row r="8522">
          <cell r="A8522" t="str">
            <v>psph1p_c</v>
          </cell>
          <cell r="B8522" t="str">
            <v>psph1p</v>
          </cell>
          <cell r="C8522" t="str">
            <v>Phytosphingosine 1 phosphate C18H39NO6P</v>
          </cell>
        </row>
        <row r="8523">
          <cell r="A8523" t="str">
            <v>psph1p_r</v>
          </cell>
          <cell r="B8523" t="str">
            <v>psph1p</v>
          </cell>
          <cell r="C8523" t="str">
            <v>Phytosphingosine 1 phosphate C18H39NO6P</v>
          </cell>
        </row>
        <row r="8524">
          <cell r="A8524" t="str">
            <v>ptd1ino_SC_n</v>
          </cell>
          <cell r="B8524" t="str">
            <v>ptd1ino_SC</v>
          </cell>
          <cell r="C8524" t="str">
            <v>Phosphatidyl 1D myo inositol  yeast specific C4140H7644O1300P100</v>
          </cell>
        </row>
        <row r="8525">
          <cell r="A8525" t="str">
            <v>ptd3ino_SC_c</v>
          </cell>
          <cell r="B8525" t="str">
            <v>ptd3ino_SC</v>
          </cell>
          <cell r="C8525" t="str">
            <v>Phosphatidyl 1D myo 3 inositol  yeast specific C4140H7544O1600P200</v>
          </cell>
        </row>
        <row r="8526">
          <cell r="A8526" t="str">
            <v>pyr_x</v>
          </cell>
          <cell r="B8526" t="str">
            <v>pyr</v>
          </cell>
          <cell r="C8526" t="str">
            <v>Pyruvate</v>
          </cell>
        </row>
        <row r="8527">
          <cell r="A8527" t="str">
            <v>q6h2_m</v>
          </cell>
          <cell r="B8527" t="str">
            <v>q6h2</v>
          </cell>
          <cell r="C8527" t="str">
            <v>Ubiquinol 6 C39H60O4</v>
          </cell>
        </row>
        <row r="8528">
          <cell r="A8528" t="str">
            <v>ribflv_e</v>
          </cell>
          <cell r="B8528" t="str">
            <v>ribflv</v>
          </cell>
          <cell r="C8528" t="str">
            <v>Riboflavin C17H20N4O6</v>
          </cell>
        </row>
        <row r="8529">
          <cell r="A8529" t="str">
            <v>rnam_c</v>
          </cell>
          <cell r="B8529" t="str">
            <v>rnam</v>
          </cell>
          <cell r="C8529" t="str">
            <v>N Ribosylnicotinamide C11H15N2O5</v>
          </cell>
        </row>
        <row r="8530">
          <cell r="A8530" t="str">
            <v>sbt__D_c</v>
          </cell>
          <cell r="B8530" t="str">
            <v>sbt__D</v>
          </cell>
          <cell r="C8530" t="str">
            <v>D-Sorbitol</v>
          </cell>
        </row>
        <row r="8531">
          <cell r="A8531" t="str">
            <v>sbt__L_e</v>
          </cell>
          <cell r="B8531" t="str">
            <v>sbt__L</v>
          </cell>
          <cell r="C8531" t="str">
            <v>L Sorbitol C6H14O6</v>
          </cell>
        </row>
        <row r="8532">
          <cell r="A8532" t="str">
            <v>sdhlam_m</v>
          </cell>
          <cell r="B8532" t="str">
            <v>sdhlam</v>
          </cell>
          <cell r="C8532" t="str">
            <v>S Succinyldihydrolipoamide C12H20NO4S2</v>
          </cell>
        </row>
        <row r="8533">
          <cell r="A8533" t="str">
            <v>sph1p_c</v>
          </cell>
          <cell r="B8533" t="str">
            <v>sph1p</v>
          </cell>
          <cell r="C8533" t="str">
            <v>Sphinganine 1 phosphate C18H39NO5P</v>
          </cell>
        </row>
        <row r="8534">
          <cell r="A8534" t="str">
            <v>sph1p_r</v>
          </cell>
          <cell r="B8534" t="str">
            <v>sph1p</v>
          </cell>
          <cell r="C8534" t="str">
            <v>Sphinganine 1 phosphate C18H39NO5P</v>
          </cell>
        </row>
        <row r="8535">
          <cell r="A8535" t="str">
            <v>sql_c</v>
          </cell>
          <cell r="B8535" t="str">
            <v>sql</v>
          </cell>
          <cell r="C8535" t="str">
            <v>Squalene C30H50</v>
          </cell>
        </row>
        <row r="8536">
          <cell r="A8536" t="str">
            <v>sql_r</v>
          </cell>
          <cell r="B8536" t="str">
            <v>sql</v>
          </cell>
          <cell r="C8536" t="str">
            <v>Squalene C30H50</v>
          </cell>
        </row>
        <row r="8537">
          <cell r="A8537" t="str">
            <v>stcoa_x</v>
          </cell>
          <cell r="B8537" t="str">
            <v>stcoa</v>
          </cell>
          <cell r="C8537" t="str">
            <v>Stearoyl-CoA (n-C18:0CoA)</v>
          </cell>
        </row>
        <row r="8538">
          <cell r="A8538" t="str">
            <v>tchola_v</v>
          </cell>
          <cell r="B8538" t="str">
            <v>tchola</v>
          </cell>
          <cell r="C8538" t="str">
            <v>Taurocholic acid C26H45NO7S</v>
          </cell>
        </row>
        <row r="8539">
          <cell r="A8539" t="str">
            <v>td2coa_x</v>
          </cell>
          <cell r="B8539" t="str">
            <v>td2coa</v>
          </cell>
          <cell r="C8539" t="str">
            <v>Trans-Tetradec-2-enoyl-CoA</v>
          </cell>
        </row>
        <row r="8540">
          <cell r="A8540" t="str">
            <v>trdox_x</v>
          </cell>
          <cell r="B8540" t="str">
            <v>trdox</v>
          </cell>
          <cell r="C8540" t="str">
            <v>Oxidized thioredoxin</v>
          </cell>
        </row>
        <row r="8541">
          <cell r="A8541" t="str">
            <v>trdrd_x</v>
          </cell>
          <cell r="B8541" t="str">
            <v>trdrd</v>
          </cell>
          <cell r="C8541" t="str">
            <v>Reduced thioredoxin</v>
          </cell>
        </row>
        <row r="8542">
          <cell r="A8542" t="str">
            <v>triglyc_SC_c</v>
          </cell>
          <cell r="B8542" t="str">
            <v>triglyc_SC</v>
          </cell>
          <cell r="C8542" t="str">
            <v>Triglyceride  yeast specific C5160H9566O600</v>
          </cell>
        </row>
        <row r="8543">
          <cell r="A8543" t="str">
            <v>trnaleu_m</v>
          </cell>
          <cell r="B8543" t="str">
            <v>trnaleu</v>
          </cell>
          <cell r="C8543" t="str">
            <v>TRNA(Leu)</v>
          </cell>
        </row>
        <row r="8544">
          <cell r="A8544" t="str">
            <v>trnalys_m</v>
          </cell>
          <cell r="B8544" t="str">
            <v>trnalys</v>
          </cell>
          <cell r="C8544" t="str">
            <v>TRNA(Lys)</v>
          </cell>
        </row>
        <row r="8545">
          <cell r="A8545" t="str">
            <v>trnatyr_m</v>
          </cell>
          <cell r="B8545" t="str">
            <v>trnatyr</v>
          </cell>
          <cell r="C8545" t="str">
            <v>TRNA(Tyr)</v>
          </cell>
        </row>
        <row r="8546">
          <cell r="A8546" t="str">
            <v>trnaval_m</v>
          </cell>
          <cell r="B8546" t="str">
            <v>trnaval</v>
          </cell>
          <cell r="C8546" t="str">
            <v>TRNA(Val)</v>
          </cell>
        </row>
        <row r="8547">
          <cell r="A8547" t="str">
            <v>trp__L_m</v>
          </cell>
          <cell r="B8547" t="str">
            <v>trp__L</v>
          </cell>
          <cell r="C8547" t="str">
            <v>L-Tryptophan</v>
          </cell>
        </row>
        <row r="8548">
          <cell r="A8548" t="str">
            <v>ttc_c</v>
          </cell>
          <cell r="B8548" t="str">
            <v>ttc</v>
          </cell>
          <cell r="C8548" t="str">
            <v>Tetracosanoate  n C240  C24H47O2</v>
          </cell>
        </row>
        <row r="8549">
          <cell r="A8549" t="str">
            <v>ttc_x</v>
          </cell>
          <cell r="B8549" t="str">
            <v>ttc</v>
          </cell>
          <cell r="C8549" t="str">
            <v>Tetracosanoate  n C240  C24H47O2</v>
          </cell>
        </row>
        <row r="8550">
          <cell r="A8550" t="str">
            <v>tyr__L_m</v>
          </cell>
          <cell r="B8550" t="str">
            <v>tyr__L</v>
          </cell>
          <cell r="C8550" t="str">
            <v>L-Tyrosine</v>
          </cell>
        </row>
        <row r="8551">
          <cell r="A8551" t="str">
            <v>tyr__L_v</v>
          </cell>
          <cell r="B8551" t="str">
            <v>tyr__L</v>
          </cell>
          <cell r="C8551" t="str">
            <v>L-Tyrosine</v>
          </cell>
        </row>
        <row r="8552">
          <cell r="A8552" t="str">
            <v>tyrtrna_m</v>
          </cell>
          <cell r="B8552" t="str">
            <v>tyrtrna</v>
          </cell>
          <cell r="C8552" t="str">
            <v>L-Tyrosyl-tRNA(Tyr)</v>
          </cell>
        </row>
        <row r="8553">
          <cell r="A8553" t="str">
            <v>udpacgal_c</v>
          </cell>
          <cell r="B8553" t="str">
            <v>udpacgal</v>
          </cell>
          <cell r="C8553" t="str">
            <v>UDP-N-acetyl-D-galactosamine</v>
          </cell>
        </row>
        <row r="8554">
          <cell r="A8554" t="str">
            <v>val__L_m</v>
          </cell>
          <cell r="B8554" t="str">
            <v>val__L</v>
          </cell>
          <cell r="C8554" t="str">
            <v>L-Valine</v>
          </cell>
        </row>
        <row r="8555">
          <cell r="A8555" t="str">
            <v>valtrna_m</v>
          </cell>
          <cell r="B8555" t="str">
            <v>valtrna</v>
          </cell>
          <cell r="C8555" t="str">
            <v>L-Valyl-tRNA(Val)</v>
          </cell>
        </row>
        <row r="8556">
          <cell r="A8556" t="str">
            <v>xylt_c</v>
          </cell>
          <cell r="B8556" t="str">
            <v>xylt</v>
          </cell>
          <cell r="C8556" t="str">
            <v>Xylitol C5H12O5</v>
          </cell>
        </row>
        <row r="8557">
          <cell r="A8557" t="str">
            <v>zym_int2_c</v>
          </cell>
          <cell r="B8557" t="str">
            <v>zym_int2</v>
          </cell>
          <cell r="C8557" t="str">
            <v>Zymosterol intermediate 2 C27H42O</v>
          </cell>
        </row>
        <row r="8558">
          <cell r="A8558" t="str">
            <v>zymstest_SC_e</v>
          </cell>
          <cell r="B8558" t="str">
            <v>zymstest_SC</v>
          </cell>
          <cell r="C8558" t="str">
            <v>Zymosterol ester  yeast specific C1694H2993O101</v>
          </cell>
        </row>
        <row r="8559">
          <cell r="A8559" t="str">
            <v>3AStmyn_c</v>
          </cell>
          <cell r="B8559" t="str">
            <v>3AStmyn</v>
          </cell>
          <cell r="C8559" t="str">
            <v>3"-Adenylylstreptomycin</v>
          </cell>
        </row>
        <row r="8560">
          <cell r="A8560" t="str">
            <v>3AStrmyn_c</v>
          </cell>
          <cell r="B8560" t="str">
            <v>3AStrmyn</v>
          </cell>
          <cell r="C8560" t="str">
            <v>3''-Adenylylspectinomycin</v>
          </cell>
        </row>
        <row r="8561">
          <cell r="A8561" t="str">
            <v>4izp_c</v>
          </cell>
          <cell r="B8561" t="str">
            <v>4izp</v>
          </cell>
          <cell r="C8561" t="str">
            <v>4-Imidazolone-5-propanoate</v>
          </cell>
        </row>
        <row r="8562">
          <cell r="A8562" t="str">
            <v>acmama_c</v>
          </cell>
          <cell r="B8562" t="str">
            <v>acmama</v>
          </cell>
          <cell r="C8562" t="str">
            <v>N-Acetyl-D-muramoyl-L-alanine</v>
          </cell>
        </row>
        <row r="8563">
          <cell r="A8563" t="str">
            <v>alpro_c</v>
          </cell>
          <cell r="B8563" t="str">
            <v>alpro</v>
          </cell>
          <cell r="C8563" t="str">
            <v>S Aminomethyldihydrolipoylprotein CH6NS2X</v>
          </cell>
        </row>
        <row r="8564">
          <cell r="A8564" t="str">
            <v>cpppg1_c</v>
          </cell>
          <cell r="B8564" t="str">
            <v>cpppg1</v>
          </cell>
          <cell r="C8564" t="str">
            <v>Coproporphyrinogen I</v>
          </cell>
        </row>
        <row r="8565">
          <cell r="A8565" t="str">
            <v>dgdcg_SA_c</v>
          </cell>
          <cell r="B8565" t="str">
            <v>dgdcg_SA</v>
          </cell>
          <cell r="C8565" t="str">
            <v>Diglucosyl-diacylglycerol (SA)</v>
          </cell>
        </row>
        <row r="8566">
          <cell r="A8566" t="str">
            <v>fa5_c</v>
          </cell>
          <cell r="B8566" t="str">
            <v>fa5</v>
          </cell>
          <cell r="C8566" t="str">
            <v>Fatty acid (Iso-C16:1)</v>
          </cell>
        </row>
        <row r="8567">
          <cell r="A8567" t="str">
            <v>fdxrd_c</v>
          </cell>
          <cell r="B8567" t="str">
            <v>fdxrd</v>
          </cell>
          <cell r="C8567" t="str">
            <v>Reduced ferredoxin</v>
          </cell>
        </row>
        <row r="8568">
          <cell r="A8568" t="str">
            <v>glcp_SA_c</v>
          </cell>
          <cell r="B8568" t="str">
            <v>glcp_SA</v>
          </cell>
          <cell r="C8568" t="str">
            <v>Glucosyl Phosphoglycerol (SA)</v>
          </cell>
        </row>
        <row r="8569">
          <cell r="A8569" t="str">
            <v>hepdp_c</v>
          </cell>
          <cell r="B8569" t="str">
            <v>hepdp</v>
          </cell>
          <cell r="C8569" t="str">
            <v>All-trans-Heptaprenyl diphosphate</v>
          </cell>
        </row>
        <row r="8570">
          <cell r="A8570" t="str">
            <v>lac6p_c</v>
          </cell>
          <cell r="B8570" t="str">
            <v>lac6p</v>
          </cell>
          <cell r="C8570" t="str">
            <v>Lactose-6-phosphate</v>
          </cell>
        </row>
        <row r="8571">
          <cell r="A8571" t="str">
            <v>lpro_c</v>
          </cell>
          <cell r="B8571" t="str">
            <v>lpro</v>
          </cell>
          <cell r="C8571" t="str">
            <v>Lipoylprotein S2X</v>
          </cell>
        </row>
        <row r="8572">
          <cell r="A8572" t="str">
            <v>nop_c</v>
          </cell>
          <cell r="B8572" t="str">
            <v>nop</v>
          </cell>
          <cell r="C8572" t="str">
            <v>D-Nopaline</v>
          </cell>
        </row>
        <row r="8573">
          <cell r="A8573" t="str">
            <v>octp_c</v>
          </cell>
          <cell r="B8573" t="str">
            <v>octp</v>
          </cell>
          <cell r="C8573" t="str">
            <v>Octopine</v>
          </cell>
        </row>
        <row r="8574">
          <cell r="A8574" t="str">
            <v>pg_SA_c</v>
          </cell>
          <cell r="B8574" t="str">
            <v>pg_SA</v>
          </cell>
          <cell r="C8574" t="str">
            <v>Phosphatidylglycerol (Saureus)</v>
          </cell>
        </row>
        <row r="8575">
          <cell r="A8575" t="str">
            <v>pime_c</v>
          </cell>
          <cell r="B8575" t="str">
            <v>pime</v>
          </cell>
          <cell r="C8575" t="str">
            <v>Pimelate</v>
          </cell>
        </row>
        <row r="8576">
          <cell r="A8576" t="str">
            <v>pleu_SA2_c</v>
          </cell>
          <cell r="B8576" t="str">
            <v>pleu_SA2</v>
          </cell>
          <cell r="C8576" t="str">
            <v>Phosphatidylleucine SA2</v>
          </cell>
        </row>
        <row r="8577">
          <cell r="A8577" t="str">
            <v>plys_SA_c</v>
          </cell>
          <cell r="B8577" t="str">
            <v>plys_SA</v>
          </cell>
          <cell r="C8577" t="str">
            <v>Phosphatidyllysine SA</v>
          </cell>
        </row>
        <row r="8578">
          <cell r="A8578" t="str">
            <v>ps_SA_c</v>
          </cell>
          <cell r="B8578" t="str">
            <v>ps_SA</v>
          </cell>
          <cell r="C8578" t="str">
            <v>Phosphatidylserine (Saureus)</v>
          </cell>
        </row>
        <row r="8579">
          <cell r="A8579" t="str">
            <v>salcn6p_c</v>
          </cell>
          <cell r="B8579" t="str">
            <v>salcn6p</v>
          </cell>
          <cell r="C8579" t="str">
            <v>Salicin 6-phosphate</v>
          </cell>
        </row>
        <row r="8580">
          <cell r="A8580" t="str">
            <v>salcn_e</v>
          </cell>
          <cell r="B8580" t="str">
            <v>salcn</v>
          </cell>
          <cell r="C8580" t="str">
            <v>Salicin C13H18O7</v>
          </cell>
        </row>
        <row r="8581">
          <cell r="A8581" t="str">
            <v>tcam_c</v>
          </cell>
          <cell r="B8581" t="str">
            <v>tcam</v>
          </cell>
          <cell r="C8581" t="str">
            <v>Minor teichoic acid (acetylgalactosamine glucose phosphate, n=30)</v>
          </cell>
        </row>
        <row r="8582">
          <cell r="A8582" t="str">
            <v>udcp_c</v>
          </cell>
          <cell r="B8582" t="str">
            <v>udcp</v>
          </cell>
          <cell r="C8582" t="str">
            <v>Undecaprenol</v>
          </cell>
        </row>
        <row r="8583">
          <cell r="A8583" t="str">
            <v>uppg1_c</v>
          </cell>
          <cell r="B8583" t="str">
            <v>uppg1</v>
          </cell>
          <cell r="C8583" t="str">
            <v>Uroporphyrinogen I</v>
          </cell>
        </row>
        <row r="8584">
          <cell r="A8584" t="str">
            <v>urcan_c</v>
          </cell>
          <cell r="B8584" t="str">
            <v>urcan</v>
          </cell>
          <cell r="C8584" t="str">
            <v>Urocanate C6H5N2O2</v>
          </cell>
        </row>
        <row r="8585">
          <cell r="A8585" t="str">
            <v>pep_p</v>
          </cell>
          <cell r="B8585" t="str">
            <v>pep</v>
          </cell>
          <cell r="C8585" t="str">
            <v>Phosphoenolpyruvate</v>
          </cell>
        </row>
        <row r="8586">
          <cell r="A8586" t="str">
            <v>3pg_e</v>
          </cell>
          <cell r="B8586" t="str">
            <v>3pg</v>
          </cell>
          <cell r="C8586" t="str">
            <v>3-Phospho-D-glycerate</v>
          </cell>
        </row>
        <row r="8587">
          <cell r="A8587" t="str">
            <v>chitob_e</v>
          </cell>
          <cell r="B8587" t="str">
            <v>chitob</v>
          </cell>
          <cell r="C8587" t="str">
            <v>Chitobiose C16H28N2O11</v>
          </cell>
        </row>
        <row r="8588">
          <cell r="A8588" t="str">
            <v>feroxEfe_e</v>
          </cell>
          <cell r="B8588" t="str">
            <v>feroxEfe</v>
          </cell>
          <cell r="C8588" t="str">
            <v>Ferrioxamine-E-fe</v>
          </cell>
        </row>
        <row r="8589">
          <cell r="A8589" t="str">
            <v>feroxE_e</v>
          </cell>
          <cell r="B8589" t="str">
            <v>feroxE</v>
          </cell>
          <cell r="C8589" t="str">
            <v>Ferrioxamine-E</v>
          </cell>
        </row>
        <row r="8590">
          <cell r="A8590" t="str">
            <v>23dhbzs3_e</v>
          </cell>
          <cell r="B8590" t="str">
            <v>23dhbzs3</v>
          </cell>
          <cell r="C8590" t="str">
            <v>2-3-dihydroxybenzoylserine trimer</v>
          </cell>
        </row>
        <row r="8591">
          <cell r="A8591" t="str">
            <v>tag__D_e</v>
          </cell>
          <cell r="B8591" t="str">
            <v>tag__D</v>
          </cell>
          <cell r="C8591" t="str">
            <v>D-Tagatose</v>
          </cell>
        </row>
        <row r="8592">
          <cell r="A8592" t="str">
            <v>rnam_p</v>
          </cell>
          <cell r="B8592" t="str">
            <v>rnam</v>
          </cell>
          <cell r="C8592" t="str">
            <v>N Ribosylnicotinamide C11H15N2O5</v>
          </cell>
        </row>
        <row r="8593">
          <cell r="A8593" t="str">
            <v>2pg_p</v>
          </cell>
          <cell r="B8593" t="str">
            <v>2pg</v>
          </cell>
          <cell r="C8593" t="str">
            <v>D-Glycerate 2-phosphate</v>
          </cell>
        </row>
        <row r="8594">
          <cell r="A8594" t="str">
            <v>guln__L_p</v>
          </cell>
          <cell r="B8594" t="str">
            <v>guln__L</v>
          </cell>
          <cell r="C8594" t="str">
            <v>L-gulonate</v>
          </cell>
        </row>
        <row r="8595">
          <cell r="A8595" t="str">
            <v>icit_p</v>
          </cell>
          <cell r="B8595" t="str">
            <v>icit</v>
          </cell>
          <cell r="C8595" t="str">
            <v>Isocitrate</v>
          </cell>
        </row>
        <row r="8596">
          <cell r="A8596" t="str">
            <v>airs_e</v>
          </cell>
          <cell r="B8596" t="str">
            <v>airs</v>
          </cell>
          <cell r="C8596" t="str">
            <v>Aminoimidazole-riboside</v>
          </cell>
        </row>
        <row r="8597">
          <cell r="A8597" t="str">
            <v>diact_e</v>
          </cell>
          <cell r="B8597" t="str">
            <v>diact</v>
          </cell>
          <cell r="C8597" t="str">
            <v>Diacetyl C4H6O2</v>
          </cell>
        </row>
        <row r="8598">
          <cell r="A8598" t="str">
            <v>oxptn_c</v>
          </cell>
          <cell r="B8598" t="str">
            <v>oxptn</v>
          </cell>
          <cell r="C8598" t="str">
            <v>5-Oxopentanoate</v>
          </cell>
        </row>
        <row r="8599">
          <cell r="A8599" t="str">
            <v>rbt_e</v>
          </cell>
          <cell r="B8599" t="str">
            <v>rbt</v>
          </cell>
          <cell r="C8599" t="str">
            <v>Ribitol</v>
          </cell>
        </row>
        <row r="8600">
          <cell r="A8600" t="str">
            <v>cellb_p</v>
          </cell>
          <cell r="B8600" t="str">
            <v>cellb</v>
          </cell>
          <cell r="C8600" t="str">
            <v>Cellobiose</v>
          </cell>
        </row>
        <row r="8601">
          <cell r="A8601" t="str">
            <v>peng_p</v>
          </cell>
          <cell r="B8601" t="str">
            <v>peng</v>
          </cell>
          <cell r="C8601" t="str">
            <v>Penicillin G C16H18N2O4S</v>
          </cell>
        </row>
        <row r="8602">
          <cell r="A8602" t="str">
            <v>gicolipaBR1_c</v>
          </cell>
          <cell r="B8602" t="str">
            <v>gicolipaBR1</v>
          </cell>
          <cell r="C8602" t="str">
            <v>R1 glucosyl inner core oligosaccharide lipid A with laurate C135H216N2O68P4</v>
          </cell>
        </row>
        <row r="8603">
          <cell r="A8603" t="str">
            <v>3hoxpac_p</v>
          </cell>
          <cell r="B8603" t="str">
            <v>3hoxpac</v>
          </cell>
          <cell r="C8603" t="str">
            <v>3 Hydroxyphenylacetic acid C8H8O3</v>
          </cell>
        </row>
        <row r="8604">
          <cell r="A8604" t="str">
            <v>6apa_e</v>
          </cell>
          <cell r="B8604" t="str">
            <v>6apa</v>
          </cell>
          <cell r="C8604" t="str">
            <v>6 Aminopenicillanic acid C8H12N2O3S</v>
          </cell>
        </row>
        <row r="8605">
          <cell r="A8605" t="str">
            <v>colipaB_c</v>
          </cell>
          <cell r="B8605" t="str">
            <v>colipaB</v>
          </cell>
          <cell r="C8605" t="str">
            <v>Core oligosaccharide lipid A with laurate C159H256N2O88P4</v>
          </cell>
        </row>
        <row r="8606">
          <cell r="A8606" t="str">
            <v>gggicolipaBR1_c</v>
          </cell>
          <cell r="B8606" t="str">
            <v>gggicolipaBR1</v>
          </cell>
          <cell r="C8606" t="str">
            <v>R1 glucosyl glucosyl glucosyl inner core oligosaccharide lipid A with laurate C147H236N2O78P4</v>
          </cell>
        </row>
        <row r="8607">
          <cell r="A8607" t="str">
            <v>enlipidA_e</v>
          </cell>
          <cell r="B8607" t="str">
            <v>enlipidA</v>
          </cell>
          <cell r="C8607" t="str">
            <v>1' Phosphoethanolamin lipidIVa C70H132N3O26P3</v>
          </cell>
        </row>
        <row r="8608">
          <cell r="A8608" t="str">
            <v>cellb_c</v>
          </cell>
          <cell r="B8608" t="str">
            <v>cellb</v>
          </cell>
          <cell r="C8608" t="str">
            <v>Cellobiose</v>
          </cell>
        </row>
        <row r="8609">
          <cell r="A8609" t="str">
            <v>3hmp_c</v>
          </cell>
          <cell r="B8609" t="str">
            <v>3hmp</v>
          </cell>
          <cell r="C8609" t="str">
            <v>3-Hydroxy-2-methylpropanoate</v>
          </cell>
        </row>
        <row r="8610">
          <cell r="A8610" t="str">
            <v>6pgg_c</v>
          </cell>
          <cell r="B8610" t="str">
            <v>6pgg</v>
          </cell>
          <cell r="C8610" t="str">
            <v>6-Phospho-beta-D-glucosyl-(1,4)-D-glucose</v>
          </cell>
        </row>
        <row r="8611">
          <cell r="A8611" t="str">
            <v>2omph_5_m</v>
          </cell>
          <cell r="B8611" t="str">
            <v>2omph_5</v>
          </cell>
          <cell r="C8611" t="str">
            <v>2-Octaprenyl-6-methoxyphenol (5 repeating units)</v>
          </cell>
        </row>
        <row r="8612">
          <cell r="A8612" t="str">
            <v>2omhmbl_5_m</v>
          </cell>
          <cell r="B8612" t="str">
            <v>2omhmbl_5</v>
          </cell>
          <cell r="C8612" t="str">
            <v>2-Octaprenyl-3-methyl-5-hydroxy-6-methoxy-1,4-benzoquinol (5 repeating units)</v>
          </cell>
        </row>
        <row r="8613">
          <cell r="A8613" t="str">
            <v>3hacoa_x</v>
          </cell>
          <cell r="B8613" t="str">
            <v>3hacoa</v>
          </cell>
          <cell r="C8613" t="str">
            <v>(S)-3-Hydroxyacyl-CoA</v>
          </cell>
        </row>
        <row r="8614">
          <cell r="A8614" t="str">
            <v>octdp_5_c</v>
          </cell>
          <cell r="B8614" t="str">
            <v>octdp_5</v>
          </cell>
          <cell r="C8614" t="str">
            <v>All-trans-Octaprenyl diphosphate (5 repeating units)</v>
          </cell>
        </row>
        <row r="8615">
          <cell r="A8615" t="str">
            <v>lald__L_m</v>
          </cell>
          <cell r="B8615" t="str">
            <v>lald__L</v>
          </cell>
          <cell r="C8615" t="str">
            <v>L-Lactaldehyde</v>
          </cell>
        </row>
        <row r="8616">
          <cell r="A8616" t="str">
            <v>stys_c</v>
          </cell>
          <cell r="B8616" t="str">
            <v>stys</v>
          </cell>
          <cell r="C8616" t="str">
            <v>Stachyose</v>
          </cell>
        </row>
        <row r="8617">
          <cell r="A8617" t="str">
            <v>tdp_c</v>
          </cell>
          <cell r="B8617" t="str">
            <v>tdp</v>
          </cell>
          <cell r="C8617" t="str">
            <v>Tdp</v>
          </cell>
        </row>
        <row r="8618">
          <cell r="A8618" t="str">
            <v>ttp_c</v>
          </cell>
          <cell r="B8618" t="str">
            <v>ttp</v>
          </cell>
          <cell r="C8618" t="str">
            <v>Ttp</v>
          </cell>
        </row>
        <row r="8619">
          <cell r="A8619" t="str">
            <v>kokdo_laur_hde_lipid4_c</v>
          </cell>
          <cell r="B8619" t="str">
            <v>kokdo_laur_hde_lipid4</v>
          </cell>
          <cell r="C8619" t="str">
            <v>KO-KDO-laur-hde-lipid4[c]</v>
          </cell>
        </row>
        <row r="8620">
          <cell r="A8620" t="str">
            <v>hkmpp_c</v>
          </cell>
          <cell r="B8620" t="str">
            <v>hkmpp</v>
          </cell>
          <cell r="C8620" t="str">
            <v>2-Hydroxy-3-keto-5-methylthiopentenyl-1-phosphate</v>
          </cell>
        </row>
        <row r="8621">
          <cell r="A8621" t="str">
            <v>5cohe_c</v>
          </cell>
          <cell r="B8621" t="str">
            <v>5cohe</v>
          </cell>
          <cell r="C8621" t="str">
            <v>5-Carboxy-2-oxohept-3-enedioate</v>
          </cell>
        </row>
        <row r="8622">
          <cell r="A8622" t="str">
            <v>3hoxpac_c</v>
          </cell>
          <cell r="B8622" t="str">
            <v>3hoxpac</v>
          </cell>
          <cell r="C8622" t="str">
            <v>3 Hydroxyphenylacetic acid C8H8O3</v>
          </cell>
        </row>
        <row r="8623">
          <cell r="A8623" t="str">
            <v>1pipdn2c_c</v>
          </cell>
          <cell r="B8623" t="str">
            <v>1pipdn2c</v>
          </cell>
          <cell r="C8623" t="str">
            <v>Delta1-Piperideine-2-carboxylate</v>
          </cell>
        </row>
        <row r="8624">
          <cell r="A8624" t="str">
            <v>2dhglcn_p</v>
          </cell>
          <cell r="B8624" t="str">
            <v>2dhglcn</v>
          </cell>
          <cell r="C8624" t="str">
            <v>2-Dehydro-D-gluconate</v>
          </cell>
        </row>
        <row r="8625">
          <cell r="A8625" t="str">
            <v>R_3hhcoa_c</v>
          </cell>
          <cell r="B8625" t="str">
            <v>R_3hhcoa</v>
          </cell>
          <cell r="C8625" t="str">
            <v>(R)-Hydroxyhexanoyl-CoA</v>
          </cell>
        </row>
        <row r="8626">
          <cell r="A8626" t="str">
            <v>3mbzalc_c</v>
          </cell>
          <cell r="B8626" t="str">
            <v>3mbzalc</v>
          </cell>
          <cell r="C8626" t="str">
            <v>3-methylbenzyl alcohol</v>
          </cell>
        </row>
        <row r="8627">
          <cell r="A8627" t="str">
            <v>3oxoadp_e</v>
          </cell>
          <cell r="B8627" t="str">
            <v>3oxoadp</v>
          </cell>
          <cell r="C8627" t="str">
            <v>3-Oxoadipate</v>
          </cell>
        </row>
        <row r="8628">
          <cell r="A8628" t="str">
            <v>coucoa_c</v>
          </cell>
          <cell r="B8628" t="str">
            <v>coucoa</v>
          </cell>
          <cell r="C8628" t="str">
            <v>P coumaroyl CoA C30H38N7O18P3S1</v>
          </cell>
        </row>
        <row r="8629">
          <cell r="A8629" t="str">
            <v>4mbzald_c</v>
          </cell>
          <cell r="B8629" t="str">
            <v>4mbzald</v>
          </cell>
          <cell r="C8629" t="str">
            <v>P-methylbenzaldehyde</v>
          </cell>
        </row>
        <row r="8630">
          <cell r="A8630" t="str">
            <v>4mbzalc_c</v>
          </cell>
          <cell r="B8630" t="str">
            <v>4mbzalc</v>
          </cell>
          <cell r="C8630" t="str">
            <v>4-methylbenzyl alcohol</v>
          </cell>
        </row>
        <row r="8631">
          <cell r="A8631" t="str">
            <v>2omcm_c</v>
          </cell>
          <cell r="B8631" t="str">
            <v>2omcm</v>
          </cell>
          <cell r="C8631" t="str">
            <v>2-oxo-5-methyl-cis-muconate</v>
          </cell>
        </row>
        <row r="8632">
          <cell r="A8632" t="str">
            <v>2hmc_c</v>
          </cell>
          <cell r="B8632" t="str">
            <v>2hmc</v>
          </cell>
          <cell r="C8632" t="str">
            <v>2-Hydroxymuconate</v>
          </cell>
        </row>
        <row r="8633">
          <cell r="A8633" t="str">
            <v>C04051_c</v>
          </cell>
          <cell r="B8633" t="str">
            <v>C04051</v>
          </cell>
          <cell r="C8633" t="str">
            <v>C04051</v>
          </cell>
        </row>
        <row r="8634">
          <cell r="A8634" t="str">
            <v>5apentam_c</v>
          </cell>
          <cell r="B8634" t="str">
            <v>5apentam</v>
          </cell>
          <cell r="C8634" t="str">
            <v>5-Aminopentanamide</v>
          </cell>
        </row>
        <row r="8635">
          <cell r="A8635" t="str">
            <v>dmgly_c</v>
          </cell>
          <cell r="B8635" t="str">
            <v>dmgly</v>
          </cell>
          <cell r="C8635" t="str">
            <v>N,N-Dimethylglycine</v>
          </cell>
        </row>
        <row r="8636">
          <cell r="A8636" t="str">
            <v>bz12diol_c</v>
          </cell>
          <cell r="B8636" t="str">
            <v>bz12diol</v>
          </cell>
          <cell r="C8636" t="str">
            <v>Cis-1,2-Dihydroxycyclohexa-3,5-diene-1-carboxylate</v>
          </cell>
        </row>
        <row r="8637">
          <cell r="A8637" t="str">
            <v>34dhbald_c</v>
          </cell>
          <cell r="B8637" t="str">
            <v>34dhbald</v>
          </cell>
          <cell r="C8637" t="str">
            <v>3,4-dihydroxybenzaldehyde</v>
          </cell>
        </row>
        <row r="8638">
          <cell r="A8638" t="str">
            <v>conialdh_c</v>
          </cell>
          <cell r="B8638" t="str">
            <v>conialdh</v>
          </cell>
          <cell r="C8638" t="str">
            <v>Coniferyl aldehyde</v>
          </cell>
        </row>
        <row r="8639">
          <cell r="A8639" t="str">
            <v>fer_c</v>
          </cell>
          <cell r="B8639" t="str">
            <v>fer</v>
          </cell>
          <cell r="C8639" t="str">
            <v>Ferulate</v>
          </cell>
        </row>
        <row r="8640">
          <cell r="A8640" t="str">
            <v>co2dam_c</v>
          </cell>
          <cell r="B8640" t="str">
            <v>co2dam</v>
          </cell>
          <cell r="C8640" t="str">
            <v>Cob(II)yrinate a,c diamide</v>
          </cell>
        </row>
        <row r="8641">
          <cell r="A8641" t="str">
            <v>4hbald_c</v>
          </cell>
          <cell r="B8641" t="str">
            <v>4hbald</v>
          </cell>
          <cell r="C8641" t="str">
            <v>4-Hydroxybenzaldehyde</v>
          </cell>
        </row>
        <row r="8642">
          <cell r="A8642" t="str">
            <v>ficytc_c</v>
          </cell>
          <cell r="B8642" t="str">
            <v>ficytc</v>
          </cell>
          <cell r="C8642" t="str">
            <v>Ferricytochrome c C42H52FeN8O6S2</v>
          </cell>
        </row>
        <row r="8643">
          <cell r="A8643" t="str">
            <v>co1dam_c</v>
          </cell>
          <cell r="B8643" t="str">
            <v>co1dam</v>
          </cell>
          <cell r="C8643" t="str">
            <v>Cob(I)yrinate a,c diamide</v>
          </cell>
        </row>
        <row r="8644">
          <cell r="A8644" t="str">
            <v>2dhphaccoa_c</v>
          </cell>
          <cell r="B8644" t="str">
            <v>2dhphaccoa</v>
          </cell>
          <cell r="C8644" t="str">
            <v>1,2-Dihydroxy-1,2-dihydrophenylacetyl-CoA</v>
          </cell>
        </row>
        <row r="8645">
          <cell r="A8645" t="str">
            <v>cala_c</v>
          </cell>
          <cell r="B8645" t="str">
            <v>cala</v>
          </cell>
          <cell r="C8645" t="str">
            <v>N-Carbamoyl-beta-alanine</v>
          </cell>
        </row>
        <row r="8646">
          <cell r="A8646" t="str">
            <v>dhbpt_c</v>
          </cell>
          <cell r="B8646" t="str">
            <v>dhbpt</v>
          </cell>
          <cell r="C8646" t="str">
            <v>6,7-Dihydrobiopterin</v>
          </cell>
        </row>
        <row r="8647">
          <cell r="A8647" t="str">
            <v>C100mclPHA_c</v>
          </cell>
          <cell r="B8647" t="str">
            <v>C100mclPHA</v>
          </cell>
          <cell r="C8647" t="str">
            <v>C10:0-Medium-chain length Polyhydroxyalkanoate.</v>
          </cell>
        </row>
        <row r="8648">
          <cell r="A8648" t="str">
            <v>C120mclPHA_c</v>
          </cell>
          <cell r="B8648" t="str">
            <v>C120mclPHA</v>
          </cell>
          <cell r="C8648" t="str">
            <v>C12:0-Medium-chain length Polyhydroxyalkanoate.</v>
          </cell>
        </row>
        <row r="8649">
          <cell r="A8649" t="str">
            <v>C140mclPHA_c</v>
          </cell>
          <cell r="B8649" t="str">
            <v>C140mclPHA</v>
          </cell>
          <cell r="C8649" t="str">
            <v>C14:0-Medium-chain length Polyhydroxyalkanoate.</v>
          </cell>
        </row>
        <row r="8650">
          <cell r="A8650" t="str">
            <v>dna5mtc_c</v>
          </cell>
          <cell r="B8650" t="str">
            <v>dna5mtc</v>
          </cell>
          <cell r="C8650" t="str">
            <v>DNA 5-methylcytosine</v>
          </cell>
        </row>
        <row r="8651">
          <cell r="A8651" t="str">
            <v>m_xyl_e</v>
          </cell>
          <cell r="B8651" t="str">
            <v>m_xyl</v>
          </cell>
          <cell r="C8651" t="str">
            <v>M-Xylene</v>
          </cell>
        </row>
        <row r="8652">
          <cell r="A8652" t="str">
            <v>vanln_e</v>
          </cell>
          <cell r="B8652" t="str">
            <v>vanln</v>
          </cell>
          <cell r="C8652" t="str">
            <v>Vanillin</v>
          </cell>
        </row>
        <row r="8653">
          <cell r="A8653" t="str">
            <v>vanlt_e</v>
          </cell>
          <cell r="B8653" t="str">
            <v>vanlt</v>
          </cell>
          <cell r="C8653" t="str">
            <v>Vanillate</v>
          </cell>
        </row>
        <row r="8654">
          <cell r="A8654" t="str">
            <v>ferulcoa_c</v>
          </cell>
          <cell r="B8654" t="str">
            <v>ferulcoa</v>
          </cell>
          <cell r="C8654" t="str">
            <v>Feruloyl-CoA</v>
          </cell>
        </row>
        <row r="8655">
          <cell r="A8655" t="str">
            <v>pentso3_c</v>
          </cell>
          <cell r="B8655" t="str">
            <v>pentso3</v>
          </cell>
          <cell r="C8655" t="str">
            <v>Pentanesulfonate</v>
          </cell>
        </row>
        <row r="8656">
          <cell r="A8656" t="str">
            <v>fer_p</v>
          </cell>
          <cell r="B8656" t="str">
            <v>fer</v>
          </cell>
          <cell r="C8656" t="str">
            <v>Ferulate</v>
          </cell>
        </row>
        <row r="8657">
          <cell r="A8657" t="str">
            <v>Nforglu_c</v>
          </cell>
          <cell r="B8657" t="str">
            <v>Nforglu</v>
          </cell>
          <cell r="C8657" t="str">
            <v>N-Formyl-L-glutamate</v>
          </cell>
        </row>
        <row r="8658">
          <cell r="A8658" t="str">
            <v>2maacoa_c</v>
          </cell>
          <cell r="B8658" t="str">
            <v>2maacoa</v>
          </cell>
          <cell r="C8658" t="str">
            <v>2-Methyl-3-acetoacetyl-CoA</v>
          </cell>
        </row>
        <row r="8659">
          <cell r="A8659" t="str">
            <v>nfmalm_c</v>
          </cell>
          <cell r="B8659" t="str">
            <v>nfmalm</v>
          </cell>
          <cell r="C8659" t="str">
            <v>N-Formyl maleamic acid</v>
          </cell>
        </row>
        <row r="8660">
          <cell r="A8660" t="str">
            <v>pre3a_c</v>
          </cell>
          <cell r="B8660" t="str">
            <v>pre3a</v>
          </cell>
          <cell r="C8660" t="str">
            <v>Precorrin 3 A</v>
          </cell>
        </row>
        <row r="8661">
          <cell r="A8661" t="str">
            <v>pentso3_p</v>
          </cell>
          <cell r="B8661" t="str">
            <v>pentso3</v>
          </cell>
          <cell r="C8661" t="str">
            <v>Pentanesulfonate</v>
          </cell>
        </row>
        <row r="8662">
          <cell r="A8662" t="str">
            <v>p_xyl_c</v>
          </cell>
          <cell r="B8662" t="str">
            <v>p_xyl</v>
          </cell>
          <cell r="C8662" t="str">
            <v>P-methyltoluene</v>
          </cell>
        </row>
        <row r="8663">
          <cell r="A8663" t="str">
            <v>p_xyl_p</v>
          </cell>
          <cell r="B8663" t="str">
            <v>p_xyl</v>
          </cell>
          <cell r="C8663" t="str">
            <v>P-methyltoluene</v>
          </cell>
        </row>
        <row r="8664">
          <cell r="A8664" t="str">
            <v>selmeth_c</v>
          </cell>
          <cell r="B8664" t="str">
            <v>selmeth</v>
          </cell>
          <cell r="C8664" t="str">
            <v>Selenomethionine</v>
          </cell>
        </row>
        <row r="8665">
          <cell r="A8665" t="str">
            <v>tol_p</v>
          </cell>
          <cell r="B8665" t="str">
            <v>tol</v>
          </cell>
          <cell r="C8665" t="str">
            <v>Toluene</v>
          </cell>
        </row>
        <row r="8666">
          <cell r="A8666" t="str">
            <v>tol_c</v>
          </cell>
          <cell r="B8666" t="str">
            <v>tol</v>
          </cell>
          <cell r="C8666" t="str">
            <v>Toluene</v>
          </cell>
        </row>
        <row r="8667">
          <cell r="A8667" t="str">
            <v>pg_HP_c</v>
          </cell>
          <cell r="B8667" t="str">
            <v>pg_HP</v>
          </cell>
          <cell r="C8667" t="str">
            <v>Phosphatidylglycerol Hp specific</v>
          </cell>
        </row>
        <row r="8668">
          <cell r="A8668" t="str">
            <v>clpn_HP_c</v>
          </cell>
          <cell r="B8668" t="str">
            <v>clpn_HP</v>
          </cell>
          <cell r="C8668" t="str">
            <v>Cardiolipin (Hpylori)</v>
          </cell>
        </row>
        <row r="8669">
          <cell r="A8669" t="str">
            <v>pe_HP_c</v>
          </cell>
          <cell r="B8669" t="str">
            <v>pe_HP</v>
          </cell>
          <cell r="C8669" t="str">
            <v>Phosphatidylethanolamine Hp specific</v>
          </cell>
        </row>
        <row r="8670">
          <cell r="A8670" t="str">
            <v>cdpdag_HP_c</v>
          </cell>
          <cell r="B8670" t="str">
            <v>cdpdag_HP</v>
          </cell>
          <cell r="C8670" t="str">
            <v>CDP-Diacylglycerol Hp specific</v>
          </cell>
        </row>
        <row r="8671">
          <cell r="A8671" t="str">
            <v>lipidX_HP_c</v>
          </cell>
          <cell r="B8671" t="str">
            <v>lipidX_HP</v>
          </cell>
          <cell r="C8671" t="str">
            <v>LipidX HP</v>
          </cell>
        </row>
        <row r="8672">
          <cell r="A8672" t="str">
            <v>core_lps_hp_c</v>
          </cell>
          <cell r="B8672" t="str">
            <v>core_lps_hp</v>
          </cell>
          <cell r="C8672" t="str">
            <v>Core lps hp</v>
          </cell>
        </row>
        <row r="8673">
          <cell r="A8673" t="str">
            <v>u2hga_HP_c</v>
          </cell>
          <cell r="B8673" t="str">
            <v>u2hga_HP</v>
          </cell>
          <cell r="C8673" t="str">
            <v>UDP-2-hydroxyoctadecanoyl-D-glucosamine</v>
          </cell>
        </row>
        <row r="8674">
          <cell r="A8674" t="str">
            <v>mycolate_c</v>
          </cell>
          <cell r="B8674" t="str">
            <v>mycolate</v>
          </cell>
          <cell r="C8674" t="str">
            <v>Mycolate  (2 cyclopropanated rings)</v>
          </cell>
        </row>
        <row r="8675">
          <cell r="A8675" t="str">
            <v>kmycolate_c</v>
          </cell>
          <cell r="B8675" t="str">
            <v>kmycolate</v>
          </cell>
          <cell r="C8675" t="str">
            <v>Keto mycolate (2 cyclopropanated rings)</v>
          </cell>
        </row>
        <row r="8676">
          <cell r="A8676" t="str">
            <v>mkmycolate_c</v>
          </cell>
          <cell r="B8676" t="str">
            <v>mkmycolate</v>
          </cell>
          <cell r="C8676" t="str">
            <v>Keto mycolate (1 cyclopropanated rings)</v>
          </cell>
        </row>
        <row r="8677">
          <cell r="A8677" t="str">
            <v>mmycolate_c</v>
          </cell>
          <cell r="B8677" t="str">
            <v>mmycolate</v>
          </cell>
          <cell r="C8677" t="str">
            <v>Methoxy mycolate (2 cyclopropanated rings)</v>
          </cell>
        </row>
        <row r="8678">
          <cell r="A8678" t="str">
            <v>tdm1_c</v>
          </cell>
          <cell r="B8678" t="str">
            <v>tdm1</v>
          </cell>
          <cell r="C8678" t="str">
            <v>Trehalose dimycolate (alpha mycolate + methoxymycolate)</v>
          </cell>
        </row>
        <row r="8679">
          <cell r="A8679" t="str">
            <v>sl1_c</v>
          </cell>
          <cell r="B8679" t="str">
            <v>sl1</v>
          </cell>
          <cell r="C8679" t="str">
            <v>Sulfonated tetra-acyl trehalose</v>
          </cell>
        </row>
        <row r="8680">
          <cell r="A8680" t="str">
            <v>tres_c</v>
          </cell>
          <cell r="B8680" t="str">
            <v>tres</v>
          </cell>
          <cell r="C8680" t="str">
            <v>Trehalose 2 sulfate</v>
          </cell>
        </row>
        <row r="8681">
          <cell r="A8681" t="str">
            <v>decda_tb_c</v>
          </cell>
          <cell r="B8681" t="str">
            <v>decda_tb</v>
          </cell>
          <cell r="C8681" t="str">
            <v>Decaprenylphosphoryl-beta-D-arabinofuranose</v>
          </cell>
        </row>
        <row r="8682">
          <cell r="A8682" t="str">
            <v>qh2_c</v>
          </cell>
          <cell r="B8682" t="str">
            <v>qh2</v>
          </cell>
          <cell r="C8682" t="str">
            <v>Ubiquinol</v>
          </cell>
        </row>
        <row r="8683">
          <cell r="A8683" t="str">
            <v>phdcaACP_c</v>
          </cell>
          <cell r="B8683" t="str">
            <v>phdcaACP</v>
          </cell>
          <cell r="C8683" t="str">
            <v>Phenol palmitic acid ACP</v>
          </cell>
        </row>
        <row r="8684">
          <cell r="A8684" t="str">
            <v>pphthiocerol_c</v>
          </cell>
          <cell r="B8684" t="str">
            <v>pphthiocerol</v>
          </cell>
          <cell r="C8684" t="str">
            <v>Phenolphtiocerol</v>
          </cell>
        </row>
        <row r="8685">
          <cell r="A8685" t="str">
            <v>phthcl_c</v>
          </cell>
          <cell r="B8685" t="str">
            <v>phthcl</v>
          </cell>
          <cell r="C8685" t="str">
            <v>Phthiocol (oxidized)</v>
          </cell>
        </row>
        <row r="8686">
          <cell r="A8686" t="str">
            <v>phthdl_c</v>
          </cell>
          <cell r="B8686" t="str">
            <v>phthdl</v>
          </cell>
          <cell r="C8686" t="str">
            <v>Phthiodolone</v>
          </cell>
        </row>
        <row r="8687">
          <cell r="A8687" t="str">
            <v>ugggmda_c</v>
          </cell>
          <cell r="B8687" t="str">
            <v>ugggmda</v>
          </cell>
          <cell r="C8687" t="str">
            <v>Undecaprenyl-diphospho-N-glycolylmuramoyl-L-alanyl-D-glutamyl-meso-2,6-diaminopimeloyl-D-alanyl-D-alanine</v>
          </cell>
        </row>
        <row r="8688">
          <cell r="A8688" t="str">
            <v>pat_c</v>
          </cell>
          <cell r="B8688" t="str">
            <v>pat</v>
          </cell>
          <cell r="C8688" t="str">
            <v>Penta-acyl trehalose</v>
          </cell>
        </row>
        <row r="8689">
          <cell r="A8689" t="str">
            <v>uaGgla_c</v>
          </cell>
          <cell r="B8689" t="str">
            <v>uaGgla</v>
          </cell>
          <cell r="C8689" t="str">
            <v>Undecaprenyl-diphospho-N-acetylmuramoyl-L-alanyl-gamma-D-glutamyl-L-lysyl-D-alanyl-D-alanine</v>
          </cell>
        </row>
        <row r="8690">
          <cell r="A8690" t="str">
            <v>uaAgla_c</v>
          </cell>
          <cell r="B8690" t="str">
            <v>uaAgla</v>
          </cell>
          <cell r="C8690" t="str">
            <v>Undecaprenyl-diphospho-N-acetylmuramoyl-L-alanyl-D-glutamyl-L-lysyl-D-alanyl-D-alanine</v>
          </cell>
        </row>
        <row r="8691">
          <cell r="A8691" t="str">
            <v>cigam_c</v>
          </cell>
          <cell r="B8691" t="str">
            <v>cigam</v>
          </cell>
          <cell r="C8691" t="str">
            <v>Cys-1D-myo-inositol 2-deoxy-D-glucopyranoside</v>
          </cell>
        </row>
        <row r="8692">
          <cell r="A8692" t="str">
            <v>cmcbtt_c</v>
          </cell>
          <cell r="B8692" t="str">
            <v>cmcbtt</v>
          </cell>
          <cell r="C8692" t="str">
            <v>Carboxymycobactin T (R=8 carbon, final carbon is carboxyl group)</v>
          </cell>
        </row>
        <row r="8693">
          <cell r="A8693" t="str">
            <v>Ac2PIM2_c</v>
          </cell>
          <cell r="B8693" t="str">
            <v>Ac2PIM2</v>
          </cell>
          <cell r="C8693" t="str">
            <v>Di-acyl phosphatidylinositol mannoside di-mannose (tuberculosis)</v>
          </cell>
        </row>
        <row r="8694">
          <cell r="A8694" t="str">
            <v>PIM2_c</v>
          </cell>
          <cell r="B8694" t="str">
            <v>PIM2</v>
          </cell>
          <cell r="C8694" t="str">
            <v>Phosphatidylinositol mannoside di-mannose (tuberculosis)</v>
          </cell>
        </row>
        <row r="8695">
          <cell r="A8695" t="str">
            <v>tmha1_c</v>
          </cell>
          <cell r="B8695" t="str">
            <v>tmha1</v>
          </cell>
          <cell r="C8695" t="str">
            <v>Tetramycolyl hexaarabinoside (tdm1 + tdm2 +tre) (Mtb)</v>
          </cell>
        </row>
        <row r="8696">
          <cell r="A8696" t="str">
            <v>pa190190_c</v>
          </cell>
          <cell r="B8696" t="str">
            <v>pa190190</v>
          </cell>
          <cell r="C8696" t="str">
            <v>1,2-sn-glycerol 3-phosphate</v>
          </cell>
        </row>
        <row r="8697">
          <cell r="A8697" t="str">
            <v>ugagmda_c</v>
          </cell>
          <cell r="B8697" t="str">
            <v>ugagmda</v>
          </cell>
          <cell r="C8697" t="str">
            <v>Undecaprenyl-diphospho-N-glycolylmuramoyl-(N-acetylglucosamine)-L-ala-D-glu-meso-2,6-diaminopimeloyl-D-ala-D-ala</v>
          </cell>
        </row>
        <row r="8698">
          <cell r="A8698" t="str">
            <v>fcmcbtt_c</v>
          </cell>
          <cell r="B8698" t="str">
            <v>fcmcbtt</v>
          </cell>
          <cell r="C8698" t="str">
            <v>Iron(III) chelated carboxymycobactin T (R=8 carbon, final carbon is carboxyl group)</v>
          </cell>
        </row>
        <row r="8699">
          <cell r="A8699" t="str">
            <v>mbhn_c</v>
          </cell>
          <cell r="B8699" t="str">
            <v>mbhn</v>
          </cell>
          <cell r="C8699" t="str">
            <v>Methyl behenic acid</v>
          </cell>
        </row>
        <row r="8700">
          <cell r="A8700" t="str">
            <v>tmha6_c</v>
          </cell>
          <cell r="B8700" t="str">
            <v>tmha6</v>
          </cell>
          <cell r="C8700" t="str">
            <v>Tetramycolyl hexaarabinoside (tdm3 + tdm4 + tre) (Mtb)</v>
          </cell>
        </row>
        <row r="8701">
          <cell r="A8701" t="str">
            <v>galfragund_c</v>
          </cell>
          <cell r="B8701" t="str">
            <v>galfragund</v>
          </cell>
          <cell r="C8701" t="str">
            <v>Galactofuranosyl(30)-rhamanosyl-N-acetylglucosamyl-undecaprenyl diphosphate (M tb)</v>
          </cell>
        </row>
        <row r="8702">
          <cell r="A8702" t="str">
            <v>1msg3p_c</v>
          </cell>
          <cell r="B8702" t="str">
            <v>1msg3p</v>
          </cell>
          <cell r="C8702" t="str">
            <v>1-Acyl-sn-glycerol 3-phosphate (branched C19:0)</v>
          </cell>
        </row>
        <row r="8703">
          <cell r="A8703" t="str">
            <v>adfdRD_c</v>
          </cell>
          <cell r="B8703" t="str">
            <v>adfdRD</v>
          </cell>
          <cell r="C8703" t="str">
            <v>Reduced adrenal ferredoxin</v>
          </cell>
        </row>
        <row r="8704">
          <cell r="A8704" t="str">
            <v>kmeroacidACP_c</v>
          </cell>
          <cell r="B8704" t="str">
            <v>kmeroacidACP</v>
          </cell>
          <cell r="C8704" t="str">
            <v>Keto meroacid ACP</v>
          </cell>
        </row>
        <row r="8705">
          <cell r="A8705" t="str">
            <v>meroacidACP_c</v>
          </cell>
          <cell r="B8705" t="str">
            <v>meroacidACP</v>
          </cell>
          <cell r="C8705" t="str">
            <v>Alpha meroacid ACP</v>
          </cell>
        </row>
        <row r="8706">
          <cell r="A8706" t="str">
            <v>chexccoa_c</v>
          </cell>
          <cell r="B8706" t="str">
            <v>chexccoa</v>
          </cell>
          <cell r="C8706" t="str">
            <v>Carboxy hexacosanoyl-CoA</v>
          </cell>
        </row>
        <row r="8707">
          <cell r="A8707" t="str">
            <v>mmmeroacidcyc1AMP_c</v>
          </cell>
          <cell r="B8707" t="str">
            <v>mmmeroacidcyc1AMP</v>
          </cell>
          <cell r="C8707" t="str">
            <v>Cyclopropanated methyl hydroxy methoxy meroacid AMP (1 cyclopropane ring)</v>
          </cell>
        </row>
        <row r="8708">
          <cell r="A8708" t="str">
            <v>kmeroacidcyc2AMP_c</v>
          </cell>
          <cell r="B8708" t="str">
            <v>kmeroacidcyc2AMP</v>
          </cell>
          <cell r="C8708" t="str">
            <v>Cyclopropanated keto-meroacid AMP (2 cyclopropane rings)</v>
          </cell>
        </row>
        <row r="8709">
          <cell r="A8709" t="str">
            <v>mkmeroacidACP_c</v>
          </cell>
          <cell r="B8709" t="str">
            <v>mkmeroacidACP</v>
          </cell>
          <cell r="C8709" t="str">
            <v>Methyl hydroxy keto meroacid ACP (1 cyclopropane ring)</v>
          </cell>
        </row>
        <row r="8710">
          <cell r="A8710" t="str">
            <v>copre8_c</v>
          </cell>
          <cell r="B8710" t="str">
            <v>copre8</v>
          </cell>
          <cell r="C8710" t="str">
            <v>Cobalt-precorrin 8</v>
          </cell>
        </row>
        <row r="8711">
          <cell r="A8711" t="str">
            <v>cobya_c</v>
          </cell>
          <cell r="B8711" t="str">
            <v>cobya</v>
          </cell>
          <cell r="C8711" t="str">
            <v>Cobyrinate</v>
          </cell>
        </row>
        <row r="8712">
          <cell r="A8712" t="str">
            <v>bmn_c</v>
          </cell>
          <cell r="B8712" t="str">
            <v>bmn</v>
          </cell>
          <cell r="C8712" t="str">
            <v>Bimane</v>
          </cell>
        </row>
        <row r="8713">
          <cell r="A8713" t="str">
            <v>arabinan_c</v>
          </cell>
          <cell r="B8713" t="str">
            <v>arabinan</v>
          </cell>
          <cell r="C8713" t="str">
            <v>Arabinan complex (Mtb)</v>
          </cell>
        </row>
        <row r="8714">
          <cell r="A8714" t="str">
            <v>agalfragund_c</v>
          </cell>
          <cell r="B8714" t="str">
            <v>agalfragund</v>
          </cell>
          <cell r="C8714" t="str">
            <v>Arabinofuranose-galactofuranosyl(30)-rhamanosyl-N-acetylglucosamyl-undecaprenyl diphosphate (M tb)</v>
          </cell>
        </row>
        <row r="8715">
          <cell r="A8715" t="str">
            <v>hpmdtria_c</v>
          </cell>
          <cell r="B8715" t="str">
            <v>hpmdtria</v>
          </cell>
          <cell r="C8715" t="str">
            <v>Hepta-methyl dotriacontanoic acid (7 methyl branches)</v>
          </cell>
        </row>
        <row r="8716">
          <cell r="A8716" t="str">
            <v>hmtria_c</v>
          </cell>
          <cell r="B8716" t="str">
            <v>hmtria</v>
          </cell>
          <cell r="C8716" t="str">
            <v>Hexa-methyl triacontanoic acid (C30:0, plus 6 methyl branches)</v>
          </cell>
        </row>
        <row r="8717">
          <cell r="A8717" t="str">
            <v>pmocta_c</v>
          </cell>
          <cell r="B8717" t="str">
            <v>pmocta</v>
          </cell>
          <cell r="C8717" t="str">
            <v>Penta-methyl octacosanoate</v>
          </cell>
        </row>
        <row r="8718">
          <cell r="A8718" t="str">
            <v>hmocta_c</v>
          </cell>
          <cell r="B8718" t="str">
            <v>hmocta</v>
          </cell>
          <cell r="C8718" t="str">
            <v>Hexa-methyl octacosanoate</v>
          </cell>
        </row>
        <row r="8719">
          <cell r="A8719" t="str">
            <v>tmhexc_c</v>
          </cell>
          <cell r="B8719" t="str">
            <v>tmhexc</v>
          </cell>
          <cell r="C8719" t="str">
            <v>Tri-methyl hexacosanoate</v>
          </cell>
        </row>
        <row r="8720">
          <cell r="A8720" t="str">
            <v>dmbhn_c</v>
          </cell>
          <cell r="B8720" t="str">
            <v>dmbhn</v>
          </cell>
          <cell r="C8720" t="str">
            <v>Di-methyl behenic acid</v>
          </cell>
        </row>
        <row r="8721">
          <cell r="A8721" t="str">
            <v>tmbhn_c</v>
          </cell>
          <cell r="B8721" t="str">
            <v>tmbhn</v>
          </cell>
          <cell r="C8721" t="str">
            <v>Tri-methyl behenic acid</v>
          </cell>
        </row>
        <row r="8722">
          <cell r="A8722" t="str">
            <v>dmarach_c</v>
          </cell>
          <cell r="B8722" t="str">
            <v>dmarach</v>
          </cell>
          <cell r="C8722" t="str">
            <v>Di-methyl arachic acid</v>
          </cell>
        </row>
        <row r="8723">
          <cell r="A8723" t="str">
            <v>m1ocdca_c</v>
          </cell>
          <cell r="B8723" t="str">
            <v>m1ocdca</v>
          </cell>
          <cell r="C8723" t="str">
            <v>Methyl octadecanoate</v>
          </cell>
        </row>
        <row r="8724">
          <cell r="A8724" t="str">
            <v>4hbzACP_c</v>
          </cell>
          <cell r="B8724" t="str">
            <v>4hbzACP</v>
          </cell>
          <cell r="C8724" t="str">
            <v>4-hydroxybenzoyl ACP</v>
          </cell>
        </row>
        <row r="8725">
          <cell r="A8725" t="str">
            <v>4h3npacald_p</v>
          </cell>
          <cell r="B8725" t="str">
            <v>4h3npacald</v>
          </cell>
          <cell r="C8725" t="str">
            <v>4 Hydroxy 3 Nitro Phenylacetaldehyde C8H11NO</v>
          </cell>
        </row>
        <row r="8726">
          <cell r="A8726" t="str">
            <v>4h3npacald_c</v>
          </cell>
          <cell r="B8726" t="str">
            <v>4h3npacald</v>
          </cell>
          <cell r="C8726" t="str">
            <v>4 Hydroxy 3 Nitro Phenylacetaldehyde C8H11NO</v>
          </cell>
        </row>
        <row r="8727">
          <cell r="A8727" t="str">
            <v>hphaccoa_c</v>
          </cell>
          <cell r="B8727" t="str">
            <v>hphaccoa</v>
          </cell>
          <cell r="C8727" t="str">
            <v>4 Hydroxyphenylacetyl CoA C29H42N7O18P3S</v>
          </cell>
        </row>
        <row r="8728">
          <cell r="A8728" t="str">
            <v>ppoh_c</v>
          </cell>
          <cell r="B8728" t="str">
            <v>ppoh</v>
          </cell>
          <cell r="C8728" t="str">
            <v>1-Propanol</v>
          </cell>
        </row>
        <row r="8729">
          <cell r="A8729" t="str">
            <v>im4ac_c</v>
          </cell>
          <cell r="B8729" t="str">
            <v>im4ac</v>
          </cell>
          <cell r="C8729" t="str">
            <v>Imidazole-4-acetate</v>
          </cell>
        </row>
        <row r="8730">
          <cell r="A8730" t="str">
            <v>im4act_c</v>
          </cell>
          <cell r="B8730" t="str">
            <v>im4act</v>
          </cell>
          <cell r="C8730" t="str">
            <v>Imidazole-4-acetaldehyde</v>
          </cell>
        </row>
        <row r="8731">
          <cell r="A8731" t="str">
            <v>isoheluc24_c</v>
          </cell>
          <cell r="B8731" t="str">
            <v>isoheluc24</v>
          </cell>
          <cell r="C8731" t="str">
            <v>Isoheptadecanoyllipoteichoic acid (n=24)</v>
          </cell>
        </row>
        <row r="8732">
          <cell r="A8732" t="str">
            <v>isopensu24_c</v>
          </cell>
          <cell r="B8732" t="str">
            <v>isopensu24</v>
          </cell>
          <cell r="C8732" t="str">
            <v>Isopentadecanoyllipoteichoic acid (n=24)</v>
          </cell>
        </row>
        <row r="8733">
          <cell r="A8733" t="str">
            <v>anteinsu24_c</v>
          </cell>
          <cell r="B8733" t="str">
            <v>anteinsu24</v>
          </cell>
          <cell r="C8733" t="str">
            <v>Anteisoheptadecanoyllipoteichoic acid (n=24)</v>
          </cell>
        </row>
        <row r="8734">
          <cell r="A8734" t="str">
            <v>stearnsu24_c</v>
          </cell>
          <cell r="B8734" t="str">
            <v>stearnsu24</v>
          </cell>
          <cell r="C8734" t="str">
            <v>Stearoyllipoteichoic acid (n=24)</v>
          </cell>
        </row>
        <row r="8735">
          <cell r="A8735" t="str">
            <v>fuc1p__L_e</v>
          </cell>
          <cell r="B8735" t="str">
            <v>fuc1p__L</v>
          </cell>
          <cell r="C8735" t="str">
            <v>L-Fucose 1-phosphate</v>
          </cell>
        </row>
        <row r="8736">
          <cell r="A8736" t="str">
            <v>nad_e</v>
          </cell>
          <cell r="B8736" t="str">
            <v>nad</v>
          </cell>
          <cell r="C8736" t="str">
            <v>Nicotinamide adenine dinucleotide</v>
          </cell>
        </row>
        <row r="8737">
          <cell r="A8737" t="str">
            <v>pa_EC_c</v>
          </cell>
          <cell r="B8737" t="str">
            <v>pa_EC</v>
          </cell>
          <cell r="C8737" t="str">
            <v>Phosphatidate  (E.coli)</v>
          </cell>
        </row>
        <row r="8738">
          <cell r="A8738" t="str">
            <v>adcobn_c</v>
          </cell>
          <cell r="B8738" t="str">
            <v>adcobn</v>
          </cell>
          <cell r="C8738" t="str">
            <v>Adenosylcobyric-acid</v>
          </cell>
        </row>
        <row r="8739">
          <cell r="A8739" t="str">
            <v>thrp_c</v>
          </cell>
          <cell r="B8739" t="str">
            <v>thrp</v>
          </cell>
          <cell r="C8739" t="str">
            <v>L-Threonine O-3-phosphate</v>
          </cell>
        </row>
        <row r="8740">
          <cell r="A8740" t="str">
            <v>remnant1_c</v>
          </cell>
          <cell r="B8740" t="str">
            <v>remnant1</v>
          </cell>
          <cell r="C8740" t="str">
            <v>Residual-atoms-of-reaction-DMBZIDSYN</v>
          </cell>
        </row>
        <row r="8741">
          <cell r="A8741" t="str">
            <v>remnant1_p</v>
          </cell>
          <cell r="B8741" t="str">
            <v>remnant1</v>
          </cell>
          <cell r="C8741" t="str">
            <v>Residual-atoms-of-reaction-DMBZIDSYN</v>
          </cell>
        </row>
        <row r="8742">
          <cell r="A8742" t="str">
            <v>udcdpgal_c</v>
          </cell>
          <cell r="B8742" t="str">
            <v>udcdpgal</v>
          </cell>
          <cell r="C8742" t="str">
            <v>Undecaprenyl-diphosphate-galactose</v>
          </cell>
        </row>
        <row r="8743">
          <cell r="A8743" t="str">
            <v>udcdp6Oag_p</v>
          </cell>
          <cell r="B8743" t="str">
            <v>udcdp6Oag</v>
          </cell>
          <cell r="C8743" t="str">
            <v>Undecaprenyl-diphosphate-O-antigene-6x</v>
          </cell>
        </row>
        <row r="8744">
          <cell r="A8744" t="str">
            <v>udcdp8Oag_p</v>
          </cell>
          <cell r="B8744" t="str">
            <v>udcdp8Oag</v>
          </cell>
          <cell r="C8744" t="str">
            <v>Undecaprenyl-diphosphate-O-antigene-8x</v>
          </cell>
        </row>
        <row r="8745">
          <cell r="A8745" t="str">
            <v>udcdp19Oag_p</v>
          </cell>
          <cell r="B8745" t="str">
            <v>udcdp19Oag</v>
          </cell>
          <cell r="C8745" t="str">
            <v>Undecaprenyl-diphosphate-O-antigene-19x</v>
          </cell>
        </row>
        <row r="8746">
          <cell r="A8746" t="str">
            <v>feroxBfe_c</v>
          </cell>
          <cell r="B8746" t="str">
            <v>feroxBfe</v>
          </cell>
          <cell r="C8746" t="str">
            <v>Ferrioxamine-B-fe</v>
          </cell>
        </row>
        <row r="8747">
          <cell r="A8747" t="str">
            <v>feroxBfe_p</v>
          </cell>
          <cell r="B8747" t="str">
            <v>feroxBfe</v>
          </cell>
          <cell r="C8747" t="str">
            <v>Ferrioxamine-B-fe</v>
          </cell>
        </row>
        <row r="8748">
          <cell r="A8748" t="str">
            <v>feroxB_c</v>
          </cell>
          <cell r="B8748" t="str">
            <v>feroxB</v>
          </cell>
          <cell r="C8748" t="str">
            <v>Ferrioxamine-B</v>
          </cell>
        </row>
        <row r="8749">
          <cell r="A8749" t="str">
            <v>feroxB_p</v>
          </cell>
          <cell r="B8749" t="str">
            <v>feroxB</v>
          </cell>
          <cell r="C8749" t="str">
            <v>Ferrioxamine-B</v>
          </cell>
        </row>
        <row r="8750">
          <cell r="A8750" t="str">
            <v>udcpgrm_c</v>
          </cell>
          <cell r="B8750" t="str">
            <v>udcpgrm</v>
          </cell>
          <cell r="C8750" t="str">
            <v>Undecaprenyl diphosphate galactose-rhamnose-mannose</v>
          </cell>
        </row>
        <row r="8751">
          <cell r="A8751" t="str">
            <v>udcpg_c</v>
          </cell>
          <cell r="B8751" t="str">
            <v>udcpg</v>
          </cell>
          <cell r="C8751" t="str">
            <v>Undecaprenyl diphosphate galactose</v>
          </cell>
        </row>
        <row r="8752">
          <cell r="A8752" t="str">
            <v>peptido_ST_p</v>
          </cell>
          <cell r="B8752" t="str">
            <v>peptido_ST</v>
          </cell>
          <cell r="C8752" t="str">
            <v>Membrane murein mixture</v>
          </cell>
        </row>
        <row r="8753">
          <cell r="A8753" t="str">
            <v>pg2_ST_p</v>
          </cell>
          <cell r="B8753" t="str">
            <v>pg2_ST</v>
          </cell>
          <cell r="C8753" t="str">
            <v>Membrane phosphatidylglycerol mixture</v>
          </cell>
        </row>
        <row r="8754">
          <cell r="A8754" t="str">
            <v>pe2_ST_p</v>
          </cell>
          <cell r="B8754" t="str">
            <v>pe2_ST</v>
          </cell>
          <cell r="C8754" t="str">
            <v>Membrane phosphatidylethanolamine mixture</v>
          </cell>
        </row>
        <row r="8755">
          <cell r="A8755" t="str">
            <v>guln__L_c</v>
          </cell>
          <cell r="B8755" t="str">
            <v>guln__L</v>
          </cell>
          <cell r="C8755" t="str">
            <v>L-gulonate</v>
          </cell>
        </row>
        <row r="8756">
          <cell r="A8756" t="str">
            <v>murein_lpp_p</v>
          </cell>
          <cell r="B8756" t="str">
            <v>murein_lpp</v>
          </cell>
          <cell r="C8756" t="str">
            <v>Braun lipoprotein conjugated with murein</v>
          </cell>
        </row>
        <row r="8757">
          <cell r="A8757" t="str">
            <v>3hptcoa_c</v>
          </cell>
          <cell r="B8757" t="str">
            <v>3hptcoa</v>
          </cell>
          <cell r="C8757" t="str">
            <v>3-Hydroxypentoyl-CoA</v>
          </cell>
        </row>
        <row r="8758">
          <cell r="A8758" t="str">
            <v>3opimcoa_c</v>
          </cell>
          <cell r="B8758" t="str">
            <v>3opimcoa</v>
          </cell>
          <cell r="C8758" t="str">
            <v>3-Oxopimeloyl-CoA</v>
          </cell>
        </row>
        <row r="8759">
          <cell r="A8759" t="str">
            <v>4hbutcoa_c</v>
          </cell>
          <cell r="B8759" t="str">
            <v>4hbutcoa</v>
          </cell>
          <cell r="C8759" t="str">
            <v>4-Hydroxybutanoyl-CoA</v>
          </cell>
        </row>
        <row r="8760">
          <cell r="A8760" t="str">
            <v>6hch1eccoa_c</v>
          </cell>
          <cell r="B8760" t="str">
            <v>6hch1eccoa</v>
          </cell>
          <cell r="C8760" t="str">
            <v>6-Hydroxycyclohex-1-ene-1-carboxyl-CoA</v>
          </cell>
        </row>
        <row r="8761">
          <cell r="A8761" t="str">
            <v>benzcoa_c</v>
          </cell>
          <cell r="B8761" t="str">
            <v>benzcoa</v>
          </cell>
          <cell r="C8761" t="str">
            <v>Benzoyl-CoA</v>
          </cell>
        </row>
        <row r="8762">
          <cell r="A8762" t="str">
            <v>citac_c</v>
          </cell>
          <cell r="B8762" t="str">
            <v>citac</v>
          </cell>
          <cell r="C8762" t="str">
            <v>Citraconate</v>
          </cell>
        </row>
        <row r="8763">
          <cell r="A8763" t="str">
            <v>citm_c</v>
          </cell>
          <cell r="B8763" t="str">
            <v>citm</v>
          </cell>
          <cell r="C8763" t="str">
            <v>Citramalate</v>
          </cell>
        </row>
        <row r="8764">
          <cell r="A8764" t="str">
            <v>dptne_c</v>
          </cell>
          <cell r="B8764" t="str">
            <v>dptne</v>
          </cell>
          <cell r="C8764" t="str">
            <v>Diploptene</v>
          </cell>
        </row>
        <row r="8765">
          <cell r="A8765" t="str">
            <v>hg0_c</v>
          </cell>
          <cell r="B8765" t="str">
            <v>hg0</v>
          </cell>
          <cell r="C8765" t="str">
            <v>Mercury (uncharged)</v>
          </cell>
        </row>
        <row r="8766">
          <cell r="A8766" t="str">
            <v>hmpscoa_c</v>
          </cell>
          <cell r="B8766" t="str">
            <v>hmpscoa</v>
          </cell>
          <cell r="C8766" t="str">
            <v>(Hydroxymethylphenyl)succinyl-CoA</v>
          </cell>
        </row>
        <row r="8767">
          <cell r="A8767" t="str">
            <v>kdolipid4n_c</v>
          </cell>
          <cell r="B8767" t="str">
            <v>kdolipid4n</v>
          </cell>
          <cell r="C8767" t="str">
            <v>KDO-lipid IV(A) (glucosediaminyl)</v>
          </cell>
        </row>
        <row r="8768">
          <cell r="A8768" t="str">
            <v>laccoa_c</v>
          </cell>
          <cell r="B8768" t="str">
            <v>laccoa</v>
          </cell>
          <cell r="C8768" t="str">
            <v>Lactoyl-CoA</v>
          </cell>
        </row>
        <row r="8769">
          <cell r="A8769" t="str">
            <v>pphos_c</v>
          </cell>
          <cell r="B8769" t="str">
            <v>pphos</v>
          </cell>
          <cell r="C8769" t="str">
            <v>Phenylphosphate</v>
          </cell>
        </row>
        <row r="8770">
          <cell r="A8770" t="str">
            <v>u3agn_c</v>
          </cell>
          <cell r="B8770" t="str">
            <v>u3agn</v>
          </cell>
          <cell r="C8770" t="str">
            <v>UDP-3-N-(3-hydroxytetradecanoyl)-2-N-acetylglucosediamine</v>
          </cell>
        </row>
        <row r="8771">
          <cell r="A8771" t="str">
            <v>udpxyl_c</v>
          </cell>
          <cell r="B8771" t="str">
            <v>udpxyl</v>
          </cell>
          <cell r="C8771" t="str">
            <v>UDP-D-xylose</v>
          </cell>
        </row>
        <row r="8772">
          <cell r="A8772" t="str">
            <v>Lcyst_e</v>
          </cell>
          <cell r="B8772" t="str">
            <v>Lcyst</v>
          </cell>
          <cell r="C8772" t="str">
            <v>L-Cysteate</v>
          </cell>
        </row>
        <row r="8773">
          <cell r="A8773" t="str">
            <v>bzal_e</v>
          </cell>
          <cell r="B8773" t="str">
            <v>bzal</v>
          </cell>
          <cell r="C8773" t="str">
            <v>Benzaldehyde</v>
          </cell>
        </row>
        <row r="8774">
          <cell r="A8774" t="str">
            <v>elao_e</v>
          </cell>
          <cell r="B8774" t="str">
            <v>elao</v>
          </cell>
          <cell r="C8774" t="str">
            <v>Anode (oxidized)</v>
          </cell>
        </row>
        <row r="8775">
          <cell r="A8775" t="str">
            <v>gm1lipa_e</v>
          </cell>
          <cell r="B8775" t="str">
            <v>gm1lipa</v>
          </cell>
          <cell r="C8775" t="str">
            <v>4-Amino-4-deoxy-L-arabinose modified core oligosaccharide lipid A (G. metallireducens, variant 1)</v>
          </cell>
        </row>
        <row r="8776">
          <cell r="A8776" t="str">
            <v>kdo2lipid4b_e</v>
          </cell>
          <cell r="B8776" t="str">
            <v>kdo2lipid4b</v>
          </cell>
          <cell r="C8776" t="str">
            <v>KDO(2)-lipid IV(B)</v>
          </cell>
        </row>
        <row r="8777">
          <cell r="A8777" t="str">
            <v>lipb_e</v>
          </cell>
          <cell r="B8777" t="str">
            <v>lipb</v>
          </cell>
          <cell r="C8777" t="str">
            <v>KDO(2)-lipid (B)</v>
          </cell>
        </row>
        <row r="8778">
          <cell r="A8778" t="str">
            <v>n2_e</v>
          </cell>
          <cell r="B8778" t="str">
            <v>n2</v>
          </cell>
          <cell r="C8778" t="str">
            <v>Nitrogen</v>
          </cell>
        </row>
        <row r="8779">
          <cell r="A8779" t="str">
            <v>phenol_e</v>
          </cell>
          <cell r="B8779" t="str">
            <v>phenol</v>
          </cell>
          <cell r="C8779" t="str">
            <v>Phenol</v>
          </cell>
        </row>
        <row r="8780">
          <cell r="A8780" t="str">
            <v>tc4_e</v>
          </cell>
          <cell r="B8780" t="str">
            <v>tc4</v>
          </cell>
          <cell r="C8780" t="str">
            <v>Technetium(IV)</v>
          </cell>
        </row>
        <row r="8781">
          <cell r="A8781" t="str">
            <v>tc7_e</v>
          </cell>
          <cell r="B8781" t="str">
            <v>tc7</v>
          </cell>
          <cell r="C8781" t="str">
            <v>Technetium(VII)</v>
          </cell>
        </row>
        <row r="8782">
          <cell r="A8782" t="str">
            <v>2obut_p</v>
          </cell>
          <cell r="B8782" t="str">
            <v>2obut</v>
          </cell>
          <cell r="C8782" t="str">
            <v>2-Oxobutanoate</v>
          </cell>
        </row>
        <row r="8783">
          <cell r="A8783" t="str">
            <v>4crsol_p</v>
          </cell>
          <cell r="B8783" t="str">
            <v>4crsol</v>
          </cell>
          <cell r="C8783" t="str">
            <v>P-Cresol</v>
          </cell>
        </row>
        <row r="8784">
          <cell r="A8784" t="str">
            <v>4hbald_p</v>
          </cell>
          <cell r="B8784" t="str">
            <v>4hbald</v>
          </cell>
          <cell r="C8784" t="str">
            <v>4-Hydroxybenzaldehyde</v>
          </cell>
        </row>
        <row r="8785">
          <cell r="A8785" t="str">
            <v>aso4_p</v>
          </cell>
          <cell r="B8785" t="str">
            <v>aso4</v>
          </cell>
          <cell r="C8785" t="str">
            <v>Arsenate</v>
          </cell>
        </row>
        <row r="8786">
          <cell r="A8786" t="str">
            <v>ibt_p</v>
          </cell>
          <cell r="B8786" t="str">
            <v>ibt</v>
          </cell>
          <cell r="C8786" t="str">
            <v>Isobutyrate</v>
          </cell>
        </row>
        <row r="8787">
          <cell r="A8787" t="str">
            <v>oxa_p</v>
          </cell>
          <cell r="B8787" t="str">
            <v>oxa</v>
          </cell>
          <cell r="C8787" t="str">
            <v>Oxalate</v>
          </cell>
        </row>
        <row r="8788">
          <cell r="A8788" t="str">
            <v>ppco_p</v>
          </cell>
          <cell r="B8788" t="str">
            <v>ppco</v>
          </cell>
          <cell r="C8788" t="str">
            <v>Periplasmic cytochromes c type oxidized</v>
          </cell>
        </row>
        <row r="8789">
          <cell r="A8789" t="str">
            <v>ppoh_p</v>
          </cell>
          <cell r="B8789" t="str">
            <v>ppoh</v>
          </cell>
          <cell r="C8789" t="str">
            <v>1-Propanol</v>
          </cell>
        </row>
        <row r="8790">
          <cell r="A8790" t="str">
            <v>ps141_p</v>
          </cell>
          <cell r="B8790" t="str">
            <v>ps141</v>
          </cell>
          <cell r="C8790" t="str">
            <v>Phosphatidylserine (ditetradec-7-enoyl, n-C14:1)</v>
          </cell>
        </row>
        <row r="8791">
          <cell r="A8791" t="str">
            <v>3hbcoa__R_c</v>
          </cell>
          <cell r="B8791" t="str">
            <v>3hbcoa__R</v>
          </cell>
          <cell r="C8791" t="str">
            <v>(R)-3-Hydroxybutyryl-CoA</v>
          </cell>
        </row>
        <row r="8792">
          <cell r="A8792" t="str">
            <v>octe_9_ACP_c</v>
          </cell>
          <cell r="B8792" t="str">
            <v>octe_9_ACP</v>
          </cell>
          <cell r="C8792" t="str">
            <v>Cis-octadec-9-enoyl-[acyl-carrier protein] (n-C18 1)</v>
          </cell>
        </row>
        <row r="8793">
          <cell r="A8793" t="str">
            <v>pa181_9_c</v>
          </cell>
          <cell r="B8793" t="str">
            <v>pa181_9</v>
          </cell>
          <cell r="C8793" t="str">
            <v>1,2-dioctadec-9-enoyl-sn-glycerol 3-phosphate</v>
          </cell>
        </row>
        <row r="8794">
          <cell r="A8794" t="str">
            <v>1odec6912eg3p_c</v>
          </cell>
          <cell r="B8794" t="str">
            <v>1odec6912eg3p</v>
          </cell>
          <cell r="C8794" t="str">
            <v>1-octadec-6-9-12trienoyl-sn-glycerol 3-phosphate</v>
          </cell>
        </row>
        <row r="8795">
          <cell r="A8795" t="str">
            <v>pa183_6_9_12_c</v>
          </cell>
          <cell r="B8795" t="str">
            <v>pa183_6_9_12</v>
          </cell>
          <cell r="C8795" t="str">
            <v>1,2-dioctadec-6-9-12-trienoyl-sn-glycerol 3-phosphate</v>
          </cell>
        </row>
        <row r="8796">
          <cell r="A8796" t="str">
            <v>1odec691215eg3p_c</v>
          </cell>
          <cell r="B8796" t="str">
            <v>1odec691215eg3p</v>
          </cell>
          <cell r="C8796" t="str">
            <v>1-octadec-6-9-12-15-tetraenoyl-sn-glycerol 3-phosphate</v>
          </cell>
        </row>
        <row r="8797">
          <cell r="A8797" t="str">
            <v>h_u</v>
          </cell>
          <cell r="B8797" t="str">
            <v>h</v>
          </cell>
          <cell r="C8797" t="str">
            <v>H+</v>
          </cell>
        </row>
        <row r="8798">
          <cell r="A8798" t="str">
            <v>echin_c</v>
          </cell>
          <cell r="B8798" t="str">
            <v>echin</v>
          </cell>
          <cell r="C8798" t="str">
            <v>Echinenone</v>
          </cell>
        </row>
        <row r="8799">
          <cell r="A8799" t="str">
            <v>pqh2_u</v>
          </cell>
          <cell r="B8799" t="str">
            <v>pqh2</v>
          </cell>
          <cell r="C8799" t="str">
            <v>Plastoquinol</v>
          </cell>
        </row>
        <row r="8800">
          <cell r="A8800" t="str">
            <v>pq_u</v>
          </cell>
          <cell r="B8800" t="str">
            <v>pq</v>
          </cell>
          <cell r="C8800" t="str">
            <v>Plastoquinone</v>
          </cell>
        </row>
        <row r="8801">
          <cell r="A8801" t="str">
            <v>pcox_p</v>
          </cell>
          <cell r="B8801" t="str">
            <v>pcox</v>
          </cell>
          <cell r="C8801" t="str">
            <v>Plastocyanin(Cu2+)</v>
          </cell>
        </row>
        <row r="8802">
          <cell r="A8802" t="str">
            <v>pcrd_u</v>
          </cell>
          <cell r="B8802" t="str">
            <v>pcrd</v>
          </cell>
          <cell r="C8802" t="str">
            <v>Plastocyanin(Cu+)</v>
          </cell>
        </row>
        <row r="8803">
          <cell r="A8803" t="str">
            <v>focytc6_p</v>
          </cell>
          <cell r="B8803" t="str">
            <v>focytc6</v>
          </cell>
          <cell r="C8803" t="str">
            <v>Ferrocytochrome c6</v>
          </cell>
        </row>
        <row r="8804">
          <cell r="A8804" t="str">
            <v>cholphya_c</v>
          </cell>
          <cell r="B8804" t="str">
            <v>cholphya</v>
          </cell>
          <cell r="C8804" t="str">
            <v>Chlorophyll a</v>
          </cell>
        </row>
        <row r="8805">
          <cell r="A8805" t="str">
            <v>h2o_u</v>
          </cell>
          <cell r="B8805" t="str">
            <v>h2o</v>
          </cell>
          <cell r="C8805" t="str">
            <v>H2O H2O</v>
          </cell>
        </row>
        <row r="8806">
          <cell r="A8806" t="str">
            <v>cdpdodec91215eg_c</v>
          </cell>
          <cell r="B8806" t="str">
            <v>cdpdodec91215eg</v>
          </cell>
          <cell r="C8806" t="str">
            <v>CDP-1,2-dioctadec-9-12-15-trienoylglycerol</v>
          </cell>
        </row>
        <row r="8807">
          <cell r="A8807" t="str">
            <v>mgdg181_9_c</v>
          </cell>
          <cell r="B8807" t="str">
            <v>mgdg181_9</v>
          </cell>
          <cell r="C8807" t="str">
            <v>1,2-Diacyl-3-beta-D-galactosyl-sn-glycerol (n-C18 1)</v>
          </cell>
        </row>
        <row r="8808">
          <cell r="A8808" t="str">
            <v>mgdg183_6_9_12_c</v>
          </cell>
          <cell r="B8808" t="str">
            <v>mgdg183_6_9_12</v>
          </cell>
          <cell r="C8808" t="str">
            <v>1,2-Diacyl-3-beta-D-galactosyl-sn-glycerol (n-C18 3)</v>
          </cell>
        </row>
        <row r="8809">
          <cell r="A8809" t="str">
            <v>dgdg183_6_9_12_c</v>
          </cell>
          <cell r="B8809" t="str">
            <v>dgdg183_6_9_12</v>
          </cell>
          <cell r="C8809" t="str">
            <v>Digalactosyl-diacylglycerol(n-C18 3)</v>
          </cell>
        </row>
        <row r="8810">
          <cell r="A8810" t="str">
            <v>mgdg183_9_12_15_c</v>
          </cell>
          <cell r="B8810" t="str">
            <v>mgdg183_9_12_15</v>
          </cell>
          <cell r="C8810" t="str">
            <v>1,2-Diacyl-3-beta-D-galactosyl-sn-glycerol (n-C18 3)</v>
          </cell>
        </row>
        <row r="8811">
          <cell r="A8811" t="str">
            <v>2m6phol_c</v>
          </cell>
          <cell r="B8811" t="str">
            <v>2m6phol</v>
          </cell>
          <cell r="C8811" t="str">
            <v>2-Methyl-6-phytylquinol</v>
          </cell>
        </row>
        <row r="8812">
          <cell r="A8812" t="str">
            <v>lycop_c</v>
          </cell>
          <cell r="B8812" t="str">
            <v>lycop</v>
          </cell>
          <cell r="C8812" t="str">
            <v>Lycopene</v>
          </cell>
        </row>
        <row r="8813">
          <cell r="A8813" t="str">
            <v>12dgr181_9_c</v>
          </cell>
          <cell r="B8813" t="str">
            <v>12dgr181_9</v>
          </cell>
          <cell r="C8813" t="str">
            <v>1,2-Diacyl-sn-glycerol (dioctadec-9-enoyl, n-C18 1)</v>
          </cell>
        </row>
        <row r="8814">
          <cell r="A8814" t="str">
            <v>12dgr182_9_12_c</v>
          </cell>
          <cell r="B8814" t="str">
            <v>12dgr182_9_12</v>
          </cell>
          <cell r="C8814" t="str">
            <v>1,2-Diacyl-sn-glycerol (dioctadec-9-12-dienoyl, n-C18 2)</v>
          </cell>
        </row>
        <row r="8815">
          <cell r="A8815" t="str">
            <v>12dgr183_9_12_15_c</v>
          </cell>
          <cell r="B8815" t="str">
            <v>12dgr183_9_12_15</v>
          </cell>
          <cell r="C8815" t="str">
            <v>1,2-Diacyl-sn-glycerol (dioctadec-9-12-15-trienoyl, n-C18 3)</v>
          </cell>
        </row>
        <row r="8816">
          <cell r="A8816" t="str">
            <v>pg183_6_9_12_c</v>
          </cell>
          <cell r="B8816" t="str">
            <v>pg183_6_9_12</v>
          </cell>
          <cell r="C8816" t="str">
            <v>Phosphatidylglycerol (dioctadec-6-9-12-trienoyl, n-C18 3)</v>
          </cell>
        </row>
        <row r="8817">
          <cell r="A8817" t="str">
            <v>pgp183_9_12_15_c</v>
          </cell>
          <cell r="B8817" t="str">
            <v>pgp183_9_12_15</v>
          </cell>
          <cell r="C8817" t="str">
            <v>Phosphatidylglycerophosphate (dioctadec-9-12-15-trienoyl, n-C18 3)</v>
          </cell>
        </row>
        <row r="8818">
          <cell r="A8818" t="str">
            <v>photon_c</v>
          </cell>
          <cell r="B8818" t="str">
            <v>photon</v>
          </cell>
          <cell r="C8818" t="str">
            <v>Light</v>
          </cell>
        </row>
        <row r="8819">
          <cell r="A8819" t="str">
            <v>sqdg160_c</v>
          </cell>
          <cell r="B8819" t="str">
            <v>sqdg160</v>
          </cell>
          <cell r="C8819" t="str">
            <v>Sulfoquinovosyldiacylglycerol (n-C16 0)</v>
          </cell>
        </row>
        <row r="8820">
          <cell r="A8820" t="str">
            <v>sqdg161_c</v>
          </cell>
          <cell r="B8820" t="str">
            <v>sqdg161</v>
          </cell>
          <cell r="C8820" t="str">
            <v>Sulfoquinovosyldiacylglycerol (n-C16 1)</v>
          </cell>
        </row>
        <row r="8821">
          <cell r="A8821" t="str">
            <v>dmtphllqne_c</v>
          </cell>
          <cell r="B8821" t="str">
            <v>dmtphllqne</v>
          </cell>
          <cell r="C8821" t="str">
            <v>Demethylphylloquinone</v>
          </cell>
        </row>
        <row r="8822">
          <cell r="A8822" t="str">
            <v>photon_p</v>
          </cell>
          <cell r="B8822" t="str">
            <v>photon</v>
          </cell>
          <cell r="C8822" t="str">
            <v>Light</v>
          </cell>
        </row>
        <row r="8823">
          <cell r="A8823" t="str">
            <v>glcglyc_c</v>
          </cell>
          <cell r="B8823" t="str">
            <v>glcglyc</v>
          </cell>
          <cell r="C8823" t="str">
            <v>2-(beta-D-Glucosyl)-sn-glycerol</v>
          </cell>
        </row>
        <row r="8824">
          <cell r="A8824" t="str">
            <v>glcglyc_p</v>
          </cell>
          <cell r="B8824" t="str">
            <v>glcglyc</v>
          </cell>
          <cell r="C8824" t="str">
            <v>2-(beta-D-Glucosyl)-sn-glycerol</v>
          </cell>
        </row>
        <row r="8825">
          <cell r="A8825" t="str">
            <v>10fthf7glu_c</v>
          </cell>
          <cell r="B8825" t="str">
            <v>10fthf7glu</v>
          </cell>
          <cell r="C8825" t="str">
            <v>10-formyltetrahydrofolate-[Glu](7)</v>
          </cell>
        </row>
        <row r="8826">
          <cell r="A8826" t="str">
            <v>11docrtstrn_c</v>
          </cell>
          <cell r="B8826" t="str">
            <v>11docrtstrn</v>
          </cell>
          <cell r="C8826" t="str">
            <v>11-Deoxycorticosterone</v>
          </cell>
        </row>
        <row r="8827">
          <cell r="A8827" t="str">
            <v>13_cis_retnglc_c</v>
          </cell>
          <cell r="B8827" t="str">
            <v>13_cis_retnglc</v>
          </cell>
          <cell r="C8827" t="str">
            <v>13-cis-retinoyl glucuronide</v>
          </cell>
        </row>
        <row r="8828">
          <cell r="A8828" t="str">
            <v>1mpyr_c</v>
          </cell>
          <cell r="B8828" t="str">
            <v>1mpyr</v>
          </cell>
          <cell r="C8828" t="str">
            <v>1-Methylpyrrolinium</v>
          </cell>
        </row>
        <row r="8829">
          <cell r="A8829" t="str">
            <v>2amac_c</v>
          </cell>
          <cell r="B8829" t="str">
            <v>2amac</v>
          </cell>
          <cell r="C8829" t="str">
            <v>2-Aminoacrylate</v>
          </cell>
        </row>
        <row r="8830">
          <cell r="A8830" t="str">
            <v>34dhphe_c</v>
          </cell>
          <cell r="B8830" t="str">
            <v>34dhphe</v>
          </cell>
          <cell r="C8830" t="str">
            <v>3,4-Dihydroxy-L-phenylalanine</v>
          </cell>
        </row>
        <row r="8831">
          <cell r="A8831" t="str">
            <v>3m4hpga_c</v>
          </cell>
          <cell r="B8831" t="str">
            <v>3m4hpga</v>
          </cell>
          <cell r="C8831" t="str">
            <v>3-Methoxy-4-hydroxyphenylglycolaldehyde</v>
          </cell>
        </row>
        <row r="8832">
          <cell r="A8832" t="str">
            <v>3mlda_c</v>
          </cell>
          <cell r="B8832" t="str">
            <v>3mlda</v>
          </cell>
          <cell r="C8832" t="str">
            <v>3-Methylimidazoleacetic acid</v>
          </cell>
        </row>
        <row r="8833">
          <cell r="A8833" t="str">
            <v>3mox4hoxm_c</v>
          </cell>
          <cell r="B8833" t="str">
            <v>3mox4hoxm</v>
          </cell>
          <cell r="C8833" t="str">
            <v>3-Methoxy-4-hydroxymandelate</v>
          </cell>
        </row>
        <row r="8834">
          <cell r="A8834" t="str">
            <v>3padsel_c</v>
          </cell>
          <cell r="B8834" t="str">
            <v>3padsel</v>
          </cell>
          <cell r="C8834" t="str">
            <v>3'-Phosphoadenylylselenate</v>
          </cell>
        </row>
        <row r="8835">
          <cell r="A8835" t="str">
            <v>3spyr_c</v>
          </cell>
          <cell r="B8835" t="str">
            <v>3spyr</v>
          </cell>
          <cell r="C8835" t="str">
            <v>3-Sulfopyruvate</v>
          </cell>
        </row>
        <row r="8836">
          <cell r="A8836" t="str">
            <v>3uib_c</v>
          </cell>
          <cell r="B8836" t="str">
            <v>3uib</v>
          </cell>
          <cell r="C8836" t="str">
            <v>3-Ureidoisobutyrate</v>
          </cell>
        </row>
        <row r="8837">
          <cell r="A8837" t="str">
            <v>4hdebrisoquine_c</v>
          </cell>
          <cell r="B8837" t="str">
            <v>4hdebrisoquine</v>
          </cell>
          <cell r="C8837" t="str">
            <v>4hdebrisoquine c</v>
          </cell>
        </row>
        <row r="8838">
          <cell r="A8838" t="str">
            <v>4mptnl_c</v>
          </cell>
          <cell r="B8838" t="str">
            <v>4mptnl</v>
          </cell>
          <cell r="C8838" t="str">
            <v>4-Methylpentanal</v>
          </cell>
        </row>
        <row r="8839">
          <cell r="A8839" t="str">
            <v>4pyrdx_c</v>
          </cell>
          <cell r="B8839" t="str">
            <v>4pyrdx</v>
          </cell>
          <cell r="C8839" t="str">
            <v>4-Pyridoxate</v>
          </cell>
        </row>
        <row r="8840">
          <cell r="A8840" t="str">
            <v>5adtststerone_c</v>
          </cell>
          <cell r="B8840" t="str">
            <v>5adtststerone</v>
          </cell>
          <cell r="C8840" t="str">
            <v>5alpha-Dihydrotestosterone</v>
          </cell>
        </row>
        <row r="8841">
          <cell r="A8841" t="str">
            <v>5forthf_c</v>
          </cell>
          <cell r="B8841" t="str">
            <v>5forthf</v>
          </cell>
          <cell r="C8841" t="str">
            <v>5-Formiminotetrahydrofolate</v>
          </cell>
        </row>
        <row r="8842">
          <cell r="A8842" t="str">
            <v>5hxkyn_c</v>
          </cell>
          <cell r="B8842" t="str">
            <v>5hxkyn</v>
          </cell>
          <cell r="C8842" t="str">
            <v>5-Hydroxykynurenine</v>
          </cell>
        </row>
        <row r="8843">
          <cell r="A8843" t="str">
            <v>5hxkynam_c</v>
          </cell>
          <cell r="B8843" t="str">
            <v>5hxkynam</v>
          </cell>
          <cell r="C8843" t="str">
            <v>5-Hydroxykynurenamine</v>
          </cell>
        </row>
        <row r="8844">
          <cell r="A8844" t="str">
            <v>6dhf_c</v>
          </cell>
          <cell r="B8844" t="str">
            <v>6dhf</v>
          </cell>
          <cell r="C8844" t="str">
            <v>Haxglutamyl folate (DHF)</v>
          </cell>
        </row>
        <row r="8845">
          <cell r="A8845" t="str">
            <v>Nacasp_c</v>
          </cell>
          <cell r="B8845" t="str">
            <v>Nacasp</v>
          </cell>
          <cell r="C8845" t="str">
            <v>N-Acetyl-L-aspartate</v>
          </cell>
        </row>
        <row r="8846">
          <cell r="A8846" t="str">
            <v>Nacsertn_c</v>
          </cell>
          <cell r="B8846" t="str">
            <v>Nacsertn</v>
          </cell>
          <cell r="C8846" t="str">
            <v>N-Acetylserotonin</v>
          </cell>
        </row>
        <row r="8847">
          <cell r="A8847" t="str">
            <v>R4coa_hs_c</v>
          </cell>
          <cell r="B8847" t="str">
            <v>R4coa_hs</v>
          </cell>
          <cell r="C8847" t="str">
            <v>R group 4 Coenzyme A homo sapiens</v>
          </cell>
        </row>
        <row r="8848">
          <cell r="A8848" t="str">
            <v>Rtotal_c</v>
          </cell>
          <cell r="B8848" t="str">
            <v>Rtotal</v>
          </cell>
          <cell r="C8848" t="str">
            <v>Rtotal c</v>
          </cell>
        </row>
        <row r="8849">
          <cell r="A8849" t="str">
            <v>Rtotal2_c</v>
          </cell>
          <cell r="B8849" t="str">
            <v>Rtotal2</v>
          </cell>
          <cell r="C8849" t="str">
            <v>R total 2 position</v>
          </cell>
        </row>
        <row r="8850">
          <cell r="A8850" t="str">
            <v>Rtotal2coa_c</v>
          </cell>
          <cell r="B8850" t="str">
            <v>Rtotal2coa</v>
          </cell>
          <cell r="C8850" t="str">
            <v>Rtotal2coa c</v>
          </cell>
        </row>
        <row r="8851">
          <cell r="A8851" t="str">
            <v>Rtotal3crn_c</v>
          </cell>
          <cell r="B8851" t="str">
            <v>Rtotal3crn</v>
          </cell>
          <cell r="C8851" t="str">
            <v>Rtotal3crn c</v>
          </cell>
        </row>
        <row r="8852">
          <cell r="A8852" t="str">
            <v>acgagbside_hs_c</v>
          </cell>
          <cell r="B8852" t="str">
            <v>acgagbside_hs</v>
          </cell>
          <cell r="C8852" t="str">
            <v>Alpha GalNAc globoside (homo sapiens)</v>
          </cell>
        </row>
        <row r="8853">
          <cell r="A8853" t="str">
            <v>acgalfucgalacgalfuc12gal14acglcgalgluside_hs_c</v>
          </cell>
          <cell r="B8853" t="str">
            <v>acgalfucgalacgalfuc12gal14acglcgalgluside_hs</v>
          </cell>
          <cell r="C8853" t="str">
            <v>Type IIIA glycolipid</v>
          </cell>
        </row>
        <row r="8854">
          <cell r="A8854" t="str">
            <v>acgbgbside_hs_c</v>
          </cell>
          <cell r="B8854" t="str">
            <v>acgbgbside_hs</v>
          </cell>
          <cell r="C8854" t="str">
            <v>Beta GalNAc globoside (homo sapiens)</v>
          </cell>
        </row>
        <row r="8855">
          <cell r="A8855" t="str">
            <v>acnacngal14acglcgalgluside_hs_c</v>
          </cell>
          <cell r="B8855" t="str">
            <v>acnacngal14acglcgalgluside_hs</v>
          </cell>
          <cell r="C8855" t="str">
            <v>3',8'-LD1</v>
          </cell>
        </row>
        <row r="8856">
          <cell r="A8856" t="str">
            <v>adhap_hs_c</v>
          </cell>
          <cell r="B8856" t="str">
            <v>adhap_hs</v>
          </cell>
          <cell r="C8856" t="str">
            <v>Acyl-dihydroxyacetone phosphate</v>
          </cell>
        </row>
        <row r="8857">
          <cell r="A8857" t="str">
            <v>adrncoa_c</v>
          </cell>
          <cell r="B8857" t="str">
            <v>adrncoa</v>
          </cell>
          <cell r="C8857" t="str">
            <v>Adrenyl coenzyme A</v>
          </cell>
        </row>
        <row r="8858">
          <cell r="A8858" t="str">
            <v>adrncrn_c</v>
          </cell>
          <cell r="B8858" t="str">
            <v>adrncrn</v>
          </cell>
          <cell r="C8858" t="str">
            <v>Adrenyl carnitine</v>
          </cell>
        </row>
        <row r="8859">
          <cell r="A8859" t="str">
            <v>ak2gchol_hs_c</v>
          </cell>
          <cell r="B8859" t="str">
            <v>ak2gchol_hs</v>
          </cell>
          <cell r="C8859" t="str">
            <v>1-alkyl 2-acylglycerol 3-phosphocholine</v>
          </cell>
        </row>
        <row r="8860">
          <cell r="A8860" t="str">
            <v>andrstrn_c</v>
          </cell>
          <cell r="B8860" t="str">
            <v>andrstrn</v>
          </cell>
          <cell r="C8860" t="str">
            <v>Andrstrn c</v>
          </cell>
        </row>
        <row r="8861">
          <cell r="A8861" t="str">
            <v>antipyrene_c</v>
          </cell>
          <cell r="B8861" t="str">
            <v>antipyrene</v>
          </cell>
          <cell r="C8861" t="str">
            <v>Antipyrene c</v>
          </cell>
        </row>
        <row r="8862">
          <cell r="A8862" t="str">
            <v>appnn_c</v>
          </cell>
          <cell r="B8862" t="str">
            <v>appnn</v>
          </cell>
          <cell r="C8862" t="str">
            <v>(+)-alpha-Pinene</v>
          </cell>
        </row>
        <row r="8863">
          <cell r="A8863" t="str">
            <v>arachcrn_c</v>
          </cell>
          <cell r="B8863" t="str">
            <v>arachcrn</v>
          </cell>
          <cell r="C8863" t="str">
            <v>Arachidyl carnitine</v>
          </cell>
        </row>
        <row r="8864">
          <cell r="A8864" t="str">
            <v>biocyt_c</v>
          </cell>
          <cell r="B8864" t="str">
            <v>biocyt</v>
          </cell>
          <cell r="C8864" t="str">
            <v>Biocyt c</v>
          </cell>
        </row>
        <row r="8865">
          <cell r="A8865" t="str">
            <v>c226coa_c</v>
          </cell>
          <cell r="B8865" t="str">
            <v>c226coa</v>
          </cell>
          <cell r="C8865" t="str">
            <v>Cervonyl coenzyme A</v>
          </cell>
        </row>
        <row r="8866">
          <cell r="A8866" t="str">
            <v>cbl2_c</v>
          </cell>
          <cell r="B8866" t="str">
            <v>cbl2</v>
          </cell>
          <cell r="C8866" t="str">
            <v>Cob II alamin C62H88CoN13O14P</v>
          </cell>
        </row>
        <row r="8867">
          <cell r="A8867" t="str">
            <v>cholate_c</v>
          </cell>
          <cell r="B8867" t="str">
            <v>cholate</v>
          </cell>
          <cell r="C8867" t="str">
            <v>Cholate c</v>
          </cell>
        </row>
        <row r="8868">
          <cell r="A8868" t="str">
            <v>chsterol_c</v>
          </cell>
          <cell r="B8868" t="str">
            <v>chsterol</v>
          </cell>
          <cell r="C8868" t="str">
            <v>Chsterol c</v>
          </cell>
        </row>
        <row r="8869">
          <cell r="A8869" t="str">
            <v>clpn_hs_c</v>
          </cell>
          <cell r="B8869" t="str">
            <v>clpn_hs</v>
          </cell>
          <cell r="C8869" t="str">
            <v>Cardiolipin (homo sapiens)</v>
          </cell>
        </row>
        <row r="8870">
          <cell r="A8870" t="str">
            <v>clpndcoa_c</v>
          </cell>
          <cell r="B8870" t="str">
            <v>clpndcoa</v>
          </cell>
          <cell r="C8870" t="str">
            <v>Clupanodonyl CoA</v>
          </cell>
        </row>
        <row r="8871">
          <cell r="A8871" t="str">
            <v>creat_c</v>
          </cell>
          <cell r="B8871" t="str">
            <v>creat</v>
          </cell>
          <cell r="C8871" t="str">
            <v>Creatine cytosol</v>
          </cell>
        </row>
        <row r="8872">
          <cell r="A8872" t="str">
            <v>crtn_c</v>
          </cell>
          <cell r="B8872" t="str">
            <v>crtn</v>
          </cell>
          <cell r="C8872" t="str">
            <v>Creatinine</v>
          </cell>
        </row>
        <row r="8873">
          <cell r="A8873" t="str">
            <v>dedol_U_c</v>
          </cell>
          <cell r="B8873" t="str">
            <v>dedol_U</v>
          </cell>
          <cell r="C8873" t="str">
            <v>Dehydrodolichol, human uterine homolog</v>
          </cell>
        </row>
        <row r="8874">
          <cell r="A8874" t="str">
            <v>dedoldp__L_c</v>
          </cell>
          <cell r="B8874" t="str">
            <v>dedoldp__L</v>
          </cell>
          <cell r="C8874" t="str">
            <v>Dehydrodolichol diphosphate, human liver homolog</v>
          </cell>
        </row>
        <row r="8875">
          <cell r="A8875" t="str">
            <v>dgchol_c</v>
          </cell>
          <cell r="B8875" t="str">
            <v>dgchol</v>
          </cell>
          <cell r="C8875" t="str">
            <v>Chenodeoxyglycocholate</v>
          </cell>
        </row>
        <row r="8876">
          <cell r="A8876" t="str">
            <v>dhdascb_c</v>
          </cell>
          <cell r="B8876" t="str">
            <v>dhdascb</v>
          </cell>
          <cell r="C8876" t="str">
            <v>Dehydroascorbate</v>
          </cell>
        </row>
        <row r="8877">
          <cell r="A8877" t="str">
            <v>dheas_c</v>
          </cell>
          <cell r="B8877" t="str">
            <v>dheas</v>
          </cell>
          <cell r="C8877" t="str">
            <v>Dehydroepiandrosterone sulfate</v>
          </cell>
        </row>
        <row r="8878">
          <cell r="A8878" t="str">
            <v>digalsgalside_hs_c</v>
          </cell>
          <cell r="B8878" t="str">
            <v>digalsgalside_hs</v>
          </cell>
          <cell r="C8878" t="str">
            <v>Digalactosylceramidesulfate</v>
          </cell>
        </row>
        <row r="8879">
          <cell r="A8879" t="str">
            <v>digalside_hs_c</v>
          </cell>
          <cell r="B8879" t="str">
            <v>digalside_hs</v>
          </cell>
          <cell r="C8879" t="str">
            <v>Digalactosylceramide</v>
          </cell>
        </row>
        <row r="8880">
          <cell r="A8880" t="str">
            <v>dolp__L_c</v>
          </cell>
          <cell r="B8880" t="str">
            <v>dolp__L</v>
          </cell>
          <cell r="C8880" t="str">
            <v>Dolichol phosphate, human liver homolog</v>
          </cell>
        </row>
        <row r="8881">
          <cell r="A8881" t="str">
            <v>dxtrn_c</v>
          </cell>
          <cell r="B8881" t="str">
            <v>dxtrn</v>
          </cell>
          <cell r="C8881" t="str">
            <v>Phosphorylase-limit dextrin (glycogenin-1,6{4[1,4-Glc], 4[1,4-Glc]})</v>
          </cell>
        </row>
        <row r="8882">
          <cell r="A8882" t="str">
            <v>ebastine_c</v>
          </cell>
          <cell r="B8882" t="str">
            <v>ebastine</v>
          </cell>
          <cell r="C8882" t="str">
            <v>Ebastine c</v>
          </cell>
        </row>
        <row r="8883">
          <cell r="A8883" t="str">
            <v>elaid_c</v>
          </cell>
          <cell r="B8883" t="str">
            <v>elaid</v>
          </cell>
          <cell r="C8883" t="str">
            <v>Elaidic acid</v>
          </cell>
        </row>
        <row r="8884">
          <cell r="A8884" t="str">
            <v>estradiol_c</v>
          </cell>
          <cell r="B8884" t="str">
            <v>estradiol</v>
          </cell>
          <cell r="C8884" t="str">
            <v>Estradiol c</v>
          </cell>
        </row>
        <row r="8885">
          <cell r="A8885" t="str">
            <v>estriolglc_c</v>
          </cell>
          <cell r="B8885" t="str">
            <v>estriolglc</v>
          </cell>
          <cell r="C8885" t="str">
            <v>16-Glucuronide-estriol</v>
          </cell>
        </row>
        <row r="8886">
          <cell r="A8886" t="str">
            <v>estroneglc_c</v>
          </cell>
          <cell r="B8886" t="str">
            <v>estroneglc</v>
          </cell>
          <cell r="C8886" t="str">
            <v>Estrone 3-glucosiduronic acid</v>
          </cell>
        </row>
        <row r="8887">
          <cell r="A8887" t="str">
            <v>fna5moxam_c</v>
          </cell>
          <cell r="B8887" t="str">
            <v>fna5moxam</v>
          </cell>
          <cell r="C8887" t="str">
            <v>Formyl-N-acetyl-5-methoxykynurenamine</v>
          </cell>
        </row>
        <row r="8888">
          <cell r="A8888" t="str">
            <v>fucfuc132galacglcgal14acglcgalgluside_hs_c</v>
          </cell>
          <cell r="B8888" t="str">
            <v>fucfuc132galacglcgal14acglcgalgluside_hs</v>
          </cell>
          <cell r="C8888" t="str">
            <v>V3Fuc,III3Fuc-nLc6Cer</v>
          </cell>
        </row>
        <row r="8889">
          <cell r="A8889" t="str">
            <v>fucfucfucgalacglcgal14acglcgalgluside_hs_c</v>
          </cell>
          <cell r="B8889" t="str">
            <v>fucfucfucgalacglcgal14acglcgalgluside_hs</v>
          </cell>
          <cell r="C8889" t="str">
            <v>(Gal)3 (Glc)1 (GlcNAc)2 (LFuc)3 (Cer)1</v>
          </cell>
        </row>
        <row r="8890">
          <cell r="A8890" t="str">
            <v>fucgal14acglcgalgluside_hs_c</v>
          </cell>
          <cell r="B8890" t="str">
            <v>fucgal14acglcgalgluside_hs</v>
          </cell>
          <cell r="C8890" t="str">
            <v>Lacto-N-fucopentaosyl III ceramide</v>
          </cell>
        </row>
        <row r="8891">
          <cell r="A8891" t="str">
            <v>fucgalgbside_hs_c</v>
          </cell>
          <cell r="B8891" t="str">
            <v>fucgalgbside_hs</v>
          </cell>
          <cell r="C8891" t="str">
            <v>Fucosyl galactosylgloboside (homo sapiens)</v>
          </cell>
        </row>
        <row r="8892">
          <cell r="A8892" t="str">
            <v>galgluside_hs_c</v>
          </cell>
          <cell r="B8892" t="str">
            <v>galgluside_hs</v>
          </cell>
          <cell r="C8892" t="str">
            <v>Galactosyl glucosyl ceramide</v>
          </cell>
        </row>
        <row r="8893">
          <cell r="A8893" t="str">
            <v>galt_c</v>
          </cell>
          <cell r="B8893" t="str">
            <v>galt</v>
          </cell>
          <cell r="C8893" t="str">
            <v>Galactitol</v>
          </cell>
        </row>
        <row r="8894">
          <cell r="A8894" t="str">
            <v>gam_c</v>
          </cell>
          <cell r="B8894" t="str">
            <v>gam</v>
          </cell>
          <cell r="C8894" t="str">
            <v>D-Glucosamine</v>
          </cell>
        </row>
        <row r="8895">
          <cell r="A8895" t="str">
            <v>gbside_hs_c</v>
          </cell>
          <cell r="B8895" t="str">
            <v>gbside_hs</v>
          </cell>
          <cell r="C8895" t="str">
            <v>Globoside (homo sapiens)</v>
          </cell>
        </row>
        <row r="8896">
          <cell r="A8896" t="str">
            <v>gd1b2_hs_c</v>
          </cell>
          <cell r="B8896" t="str">
            <v>gd1b2_hs</v>
          </cell>
          <cell r="C8896" t="str">
            <v>GD1beta (homo sapiens)</v>
          </cell>
        </row>
        <row r="8897">
          <cell r="A8897" t="str">
            <v>gpail_hs_c</v>
          </cell>
          <cell r="B8897" t="str">
            <v>gpail_hs</v>
          </cell>
          <cell r="C8897" t="str">
            <v>D-glucosaminylphosphatidylinositol</v>
          </cell>
        </row>
        <row r="8898">
          <cell r="A8898" t="str">
            <v>gq1balpha_hs_c</v>
          </cell>
          <cell r="B8898" t="str">
            <v>gq1balpha_hs</v>
          </cell>
          <cell r="C8898" t="str">
            <v>GQ1balpha (homo sapiens)</v>
          </cell>
        </row>
        <row r="8899">
          <cell r="A8899" t="str">
            <v>gt3_hs_c</v>
          </cell>
          <cell r="B8899" t="str">
            <v>gt3_hs</v>
          </cell>
          <cell r="C8899" t="str">
            <v>GT3 (homo sapiens)</v>
          </cell>
        </row>
        <row r="8900">
          <cell r="A8900" t="str">
            <v>hnifedipine_c</v>
          </cell>
          <cell r="B8900" t="str">
            <v>hnifedipine</v>
          </cell>
          <cell r="C8900" t="str">
            <v>Hnifedipine c</v>
          </cell>
        </row>
        <row r="8901">
          <cell r="A8901" t="str">
            <v>hpdca_c</v>
          </cell>
          <cell r="B8901" t="str">
            <v>hpdca</v>
          </cell>
          <cell r="C8901" t="str">
            <v>Heptadecanoate  C170  C17H33O2</v>
          </cell>
        </row>
        <row r="8902">
          <cell r="A8902" t="str">
            <v>hpdcacrn_c</v>
          </cell>
          <cell r="B8902" t="str">
            <v>hpdcacrn</v>
          </cell>
          <cell r="C8902" t="str">
            <v>Heptadecanoyl carnitine</v>
          </cell>
        </row>
        <row r="8903">
          <cell r="A8903" t="str">
            <v>iodine_c</v>
          </cell>
          <cell r="B8903" t="str">
            <v>iodine</v>
          </cell>
          <cell r="C8903" t="str">
            <v>Iodine c</v>
          </cell>
        </row>
        <row r="8904">
          <cell r="A8904" t="str">
            <v>kdn_c</v>
          </cell>
          <cell r="B8904" t="str">
            <v>kdn</v>
          </cell>
          <cell r="C8904" t="str">
            <v>2-keto-3-deoxy-D-glycero-D-galactononic acid</v>
          </cell>
        </row>
        <row r="8905">
          <cell r="A8905" t="str">
            <v>kynate_c</v>
          </cell>
          <cell r="B8905" t="str">
            <v>kynate</v>
          </cell>
          <cell r="C8905" t="str">
            <v>4-Hydroxy-2-quinolinecarboxylic acid</v>
          </cell>
        </row>
        <row r="8906">
          <cell r="A8906" t="str">
            <v>leuktrC4_c</v>
          </cell>
          <cell r="B8906" t="str">
            <v>leuktrC4</v>
          </cell>
          <cell r="C8906" t="str">
            <v>Leukotriene C4 ER</v>
          </cell>
        </row>
        <row r="8907">
          <cell r="A8907" t="str">
            <v>leuktrD4_c</v>
          </cell>
          <cell r="B8907" t="str">
            <v>leuktrD4</v>
          </cell>
          <cell r="C8907" t="str">
            <v>Leukotriene D4 ER</v>
          </cell>
        </row>
        <row r="8908">
          <cell r="A8908" t="str">
            <v>lnlcACP_c</v>
          </cell>
          <cell r="B8908" t="str">
            <v>lnlcACP</v>
          </cell>
          <cell r="C8908" t="str">
            <v>Linoleic acid ACP (all cis)</v>
          </cell>
        </row>
        <row r="8909">
          <cell r="A8909" t="str">
            <v>lnlncacrn_c</v>
          </cell>
          <cell r="B8909" t="str">
            <v>lnlncacrn</v>
          </cell>
          <cell r="C8909" t="str">
            <v>Alpha-linolenyl carnitine</v>
          </cell>
        </row>
        <row r="8910">
          <cell r="A8910" t="str">
            <v>lnlncgcrn_c</v>
          </cell>
          <cell r="B8910" t="str">
            <v>lnlncgcrn</v>
          </cell>
          <cell r="C8910" t="str">
            <v>Gamma-linolenyl carnitine</v>
          </cell>
        </row>
        <row r="8911">
          <cell r="A8911" t="str">
            <v>lpchol_hs_c</v>
          </cell>
          <cell r="B8911" t="str">
            <v>lpchol_hs</v>
          </cell>
          <cell r="C8911" t="str">
            <v>Lysophosphatidylcholine (homo sapiens)</v>
          </cell>
        </row>
        <row r="8912">
          <cell r="A8912" t="str">
            <v>lyxnt_c</v>
          </cell>
          <cell r="B8912" t="str">
            <v>lyxnt</v>
          </cell>
          <cell r="C8912" t="str">
            <v>L-lyxonate</v>
          </cell>
        </row>
        <row r="8913">
          <cell r="A8913" t="str">
            <v>m3mpdol__L_c</v>
          </cell>
          <cell r="B8913" t="str">
            <v>m3mpdol__L</v>
          </cell>
          <cell r="C8913" t="str">
            <v>(alpha-D-mannosyl)3-beta-D-mannosyl-diacetylchitodiphosphodolichol, human liver homolog</v>
          </cell>
        </row>
        <row r="8914">
          <cell r="A8914" t="str">
            <v>m3mpdol_U_c</v>
          </cell>
          <cell r="B8914" t="str">
            <v>m3mpdol_U</v>
          </cell>
          <cell r="C8914" t="str">
            <v>(alpha-D-mannosyl)3-beta-D-mannosyl-diacetylchitodiphosphodolichol, human uterine homolog</v>
          </cell>
        </row>
        <row r="8915">
          <cell r="A8915" t="str">
            <v>mi134p_c</v>
          </cell>
          <cell r="B8915" t="str">
            <v>mi134p</v>
          </cell>
          <cell r="C8915" t="str">
            <v>1D-myo-Inositol 1,3,4-trisphosphate</v>
          </cell>
        </row>
        <row r="8916">
          <cell r="A8916" t="str">
            <v>n2m2nmn_c</v>
          </cell>
          <cell r="B8916" t="str">
            <v>n2m2nmn</v>
          </cell>
          <cell r="C8916" t="str">
            <v>Reducing GlcNAc removed form of n2m2nmasn (w/o peptide)</v>
          </cell>
        </row>
        <row r="8917">
          <cell r="A8917" t="str">
            <v>nmthsrtn_c</v>
          </cell>
          <cell r="B8917" t="str">
            <v>nmthsrtn</v>
          </cell>
          <cell r="C8917" t="str">
            <v>N-Methylserotonin</v>
          </cell>
        </row>
        <row r="8918">
          <cell r="A8918" t="str">
            <v>npthl_c</v>
          </cell>
          <cell r="B8918" t="str">
            <v>npthl</v>
          </cell>
          <cell r="C8918" t="str">
            <v>Naphthalene</v>
          </cell>
        </row>
        <row r="8919">
          <cell r="A8919" t="str">
            <v>nrpphrsf_c</v>
          </cell>
          <cell r="B8919" t="str">
            <v>nrpphrsf</v>
          </cell>
          <cell r="C8919" t="str">
            <v>Sulfate derivative of norepinephrine</v>
          </cell>
        </row>
        <row r="8920">
          <cell r="A8920" t="str">
            <v>nrvnccrn_c</v>
          </cell>
          <cell r="B8920" t="str">
            <v>nrvnccrn</v>
          </cell>
          <cell r="C8920" t="str">
            <v>Nervonyl carnitine</v>
          </cell>
        </row>
        <row r="8921">
          <cell r="A8921" t="str">
            <v>pa_hs_c</v>
          </cell>
          <cell r="B8921" t="str">
            <v>pa_hs</v>
          </cell>
          <cell r="C8921" t="str">
            <v>Phosphatidic acid (homo sapiens)</v>
          </cell>
        </row>
        <row r="8922">
          <cell r="A8922" t="str">
            <v>pail345p_hs_c</v>
          </cell>
          <cell r="B8922" t="str">
            <v>pail345p_hs</v>
          </cell>
          <cell r="C8922" t="str">
            <v>Phosphatidylinositol-3,4,5-trisphosphate (Homo sapiens)</v>
          </cell>
        </row>
        <row r="8923">
          <cell r="A8923" t="str">
            <v>pail34p_hs_c</v>
          </cell>
          <cell r="B8923" t="str">
            <v>pail34p_hs</v>
          </cell>
          <cell r="C8923" t="str">
            <v>Phosphatidylinositol-3,4-bisphosphate (Homo sapiens)</v>
          </cell>
        </row>
        <row r="8924">
          <cell r="A8924" t="str">
            <v>pail35p_hs_c</v>
          </cell>
          <cell r="B8924" t="str">
            <v>pail35p_hs</v>
          </cell>
          <cell r="C8924" t="str">
            <v>Phosphatidylinositol-3,5-bisphosphate (Homo sapiens)</v>
          </cell>
        </row>
        <row r="8925">
          <cell r="A8925" t="str">
            <v>pail4p_hs_c</v>
          </cell>
          <cell r="B8925" t="str">
            <v>pail4p_hs</v>
          </cell>
          <cell r="C8925" t="str">
            <v>1-Phosphatidyl-1D-myo-inositol 4-phosphate (Homo sapiens)</v>
          </cell>
        </row>
        <row r="8926">
          <cell r="A8926" t="str">
            <v>pail_hs_c</v>
          </cell>
          <cell r="B8926" t="str">
            <v>pail_hs</v>
          </cell>
          <cell r="C8926" t="str">
            <v>Phosphatidylinositol (homo sapiens)</v>
          </cell>
        </row>
        <row r="8927">
          <cell r="A8927" t="str">
            <v>pcollglys_c</v>
          </cell>
          <cell r="B8927" t="str">
            <v>pcollglys</v>
          </cell>
          <cell r="C8927" t="str">
            <v>Procollagen L-lysine</v>
          </cell>
        </row>
        <row r="8928">
          <cell r="A8928" t="str">
            <v>pgp_hs_c</v>
          </cell>
          <cell r="B8928" t="str">
            <v>pgp_hs</v>
          </cell>
          <cell r="C8928" t="str">
            <v>Phosphatidyl glycerol phosphate (homo sapiens)</v>
          </cell>
        </row>
        <row r="8929">
          <cell r="A8929" t="str">
            <v>pheacgln_c</v>
          </cell>
          <cell r="B8929" t="str">
            <v>pheacgln</v>
          </cell>
          <cell r="C8929" t="str">
            <v>Alpha-N-Phenylacetyl-L-glutamine</v>
          </cell>
        </row>
        <row r="8930">
          <cell r="A8930" t="str">
            <v>pristcoa_c</v>
          </cell>
          <cell r="B8930" t="str">
            <v>pristcoa</v>
          </cell>
          <cell r="C8930" t="str">
            <v>Pristanoyl-CoA; 2,6,10,14-tetramethylpentadecanoyl-CoA</v>
          </cell>
        </row>
        <row r="8931">
          <cell r="A8931" t="str">
            <v>prostge1_c</v>
          </cell>
          <cell r="B8931" t="str">
            <v>prostge1</v>
          </cell>
          <cell r="C8931" t="str">
            <v>Prostaglandin E1</v>
          </cell>
        </row>
        <row r="8932">
          <cell r="A8932" t="str">
            <v>prostgf2_c</v>
          </cell>
          <cell r="B8932" t="str">
            <v>prostgf2</v>
          </cell>
          <cell r="C8932" t="str">
            <v>Prostaglandin F2alpha</v>
          </cell>
        </row>
        <row r="8933">
          <cell r="A8933" t="str">
            <v>prostgh2_c</v>
          </cell>
          <cell r="B8933" t="str">
            <v>prostgh2</v>
          </cell>
          <cell r="C8933" t="str">
            <v>Prostaglandin H2</v>
          </cell>
        </row>
        <row r="8934">
          <cell r="A8934" t="str">
            <v>ptdcacoa_c</v>
          </cell>
          <cell r="B8934" t="str">
            <v>ptdcacoa</v>
          </cell>
          <cell r="C8934" t="str">
            <v>Pentadecanoyl Coenzyme A</v>
          </cell>
        </row>
        <row r="8935">
          <cell r="A8935" t="str">
            <v>ptdcacrn_c</v>
          </cell>
          <cell r="B8935" t="str">
            <v>ptdcacrn</v>
          </cell>
          <cell r="C8935" t="str">
            <v>Pendtadenoyl carnitine</v>
          </cell>
        </row>
        <row r="8936">
          <cell r="A8936" t="str">
            <v>pylald_c</v>
          </cell>
          <cell r="B8936" t="str">
            <v>pylald</v>
          </cell>
          <cell r="C8936" t="str">
            <v>Perillyl aldehyde</v>
          </cell>
        </row>
        <row r="8937">
          <cell r="A8937" t="str">
            <v>q10_c</v>
          </cell>
          <cell r="B8937" t="str">
            <v>q10</v>
          </cell>
          <cell r="C8937" t="str">
            <v>Ubiquinone-10</v>
          </cell>
        </row>
        <row r="8938">
          <cell r="A8938" t="str">
            <v>q10h2_c</v>
          </cell>
          <cell r="B8938" t="str">
            <v>q10h2</v>
          </cell>
          <cell r="C8938" t="str">
            <v>Ubiquinol-10</v>
          </cell>
        </row>
        <row r="8939">
          <cell r="A8939" t="str">
            <v>retfa_c</v>
          </cell>
          <cell r="B8939" t="str">
            <v>retfa</v>
          </cell>
          <cell r="C8939" t="str">
            <v>Fatty acid retinol</v>
          </cell>
        </row>
        <row r="8940">
          <cell r="A8940" t="str">
            <v>retinol_cis_13_c</v>
          </cell>
          <cell r="B8940" t="str">
            <v>retinol_cis_13</v>
          </cell>
          <cell r="C8940" t="str">
            <v>Cis-13-retinol</v>
          </cell>
        </row>
        <row r="8941">
          <cell r="A8941" t="str">
            <v>selcyst_c</v>
          </cell>
          <cell r="B8941" t="str">
            <v>selcyst</v>
          </cell>
          <cell r="C8941" t="str">
            <v>Selenocystathionine</v>
          </cell>
        </row>
        <row r="8942">
          <cell r="A8942" t="str">
            <v>sphings_c</v>
          </cell>
          <cell r="B8942" t="str">
            <v>sphings</v>
          </cell>
          <cell r="C8942" t="str">
            <v>Sphingosine cytosol</v>
          </cell>
        </row>
        <row r="8943">
          <cell r="A8943" t="str">
            <v>sphmyln_hs_c</v>
          </cell>
          <cell r="B8943" t="str">
            <v>sphmyln_hs</v>
          </cell>
          <cell r="C8943" t="str">
            <v>Sphingomyelin (homo sapiens)</v>
          </cell>
        </row>
        <row r="8944">
          <cell r="A8944" t="str">
            <v>strdnc_c</v>
          </cell>
          <cell r="B8944" t="str">
            <v>strdnc</v>
          </cell>
          <cell r="C8944" t="str">
            <v>Stearidonic acid C18:4, n-3</v>
          </cell>
        </row>
        <row r="8945">
          <cell r="A8945" t="str">
            <v>strdnccrn_c</v>
          </cell>
          <cell r="B8945" t="str">
            <v>strdnccrn</v>
          </cell>
          <cell r="C8945" t="str">
            <v>Stearidonyl carnitine</v>
          </cell>
        </row>
        <row r="8946">
          <cell r="A8946" t="str">
            <v>tag_hs_c</v>
          </cell>
          <cell r="B8946" t="str">
            <v>tag_hs</v>
          </cell>
          <cell r="C8946" t="str">
            <v>Triacylglycerol (homo sapiens)</v>
          </cell>
        </row>
        <row r="8947">
          <cell r="A8947" t="str">
            <v>taxol_c</v>
          </cell>
          <cell r="B8947" t="str">
            <v>taxol</v>
          </cell>
          <cell r="C8947" t="str">
            <v>Paclitaxel</v>
          </cell>
        </row>
        <row r="8948">
          <cell r="A8948" t="str">
            <v>tdchola_c</v>
          </cell>
          <cell r="B8948" t="str">
            <v>tdchola</v>
          </cell>
          <cell r="C8948" t="str">
            <v>Taurochenodeoxycholate</v>
          </cell>
        </row>
        <row r="8949">
          <cell r="A8949" t="str">
            <v>tetpent6crn_c</v>
          </cell>
          <cell r="B8949" t="str">
            <v>tetpent6crn</v>
          </cell>
          <cell r="C8949" t="str">
            <v>Tetracosapentaenoyl carnitine</v>
          </cell>
        </row>
        <row r="8950">
          <cell r="A8950" t="str">
            <v>tettet6_c</v>
          </cell>
          <cell r="B8950" t="str">
            <v>tettet6</v>
          </cell>
          <cell r="C8950" t="str">
            <v>Tetracosatetraenoic acid n-6</v>
          </cell>
        </row>
        <row r="8951">
          <cell r="A8951" t="str">
            <v>tettet6coa_c</v>
          </cell>
          <cell r="B8951" t="str">
            <v>tettet6coa</v>
          </cell>
          <cell r="C8951" t="str">
            <v>Tetracosatetraenoyl coenzyme A</v>
          </cell>
        </row>
        <row r="8952">
          <cell r="A8952" t="str">
            <v>thrnt_c</v>
          </cell>
          <cell r="B8952" t="str">
            <v>thrnt</v>
          </cell>
          <cell r="C8952" t="str">
            <v>L-Threonate</v>
          </cell>
        </row>
        <row r="8953">
          <cell r="A8953" t="str">
            <v>tmlys_c</v>
          </cell>
          <cell r="B8953" t="str">
            <v>tmlys</v>
          </cell>
          <cell r="C8953" t="str">
            <v>N6,N6,N6-Trimethyl-L-lysine</v>
          </cell>
        </row>
        <row r="8954">
          <cell r="A8954" t="str">
            <v>triodthysuf_c</v>
          </cell>
          <cell r="B8954" t="str">
            <v>triodthysuf</v>
          </cell>
          <cell r="C8954" t="str">
            <v>Triiodothyronine sulfate</v>
          </cell>
        </row>
        <row r="8955">
          <cell r="A8955" t="str">
            <v>trypta_c</v>
          </cell>
          <cell r="B8955" t="str">
            <v>trypta</v>
          </cell>
          <cell r="C8955" t="str">
            <v>Tryptamine cytosol</v>
          </cell>
        </row>
        <row r="8956">
          <cell r="A8956" t="str">
            <v>tststeroneglc_c</v>
          </cell>
          <cell r="B8956" t="str">
            <v>tststeroneglc</v>
          </cell>
          <cell r="C8956" t="str">
            <v>Testosterone 3-glucosiduronic acid</v>
          </cell>
        </row>
        <row r="8957">
          <cell r="A8957" t="str">
            <v>ttdcrn_c</v>
          </cell>
          <cell r="B8957" t="str">
            <v>ttdcrn</v>
          </cell>
          <cell r="C8957" t="str">
            <v>Tetradecanoyl carnitine</v>
          </cell>
        </row>
        <row r="8958">
          <cell r="A8958" t="str">
            <v>txa2_c</v>
          </cell>
          <cell r="B8958" t="str">
            <v>txa2</v>
          </cell>
          <cell r="C8958" t="str">
            <v>Thromboxane A2</v>
          </cell>
        </row>
        <row r="8959">
          <cell r="A8959" t="str">
            <v>tymsf_c</v>
          </cell>
          <cell r="B8959" t="str">
            <v>tymsf</v>
          </cell>
          <cell r="C8959" t="str">
            <v>Tyramine O-sulfate</v>
          </cell>
        </row>
        <row r="8960">
          <cell r="A8960" t="str">
            <v>vacccoa_c</v>
          </cell>
          <cell r="B8960" t="str">
            <v>vacccoa</v>
          </cell>
          <cell r="C8960" t="str">
            <v>Vaccenyl coenzyme A</v>
          </cell>
        </row>
        <row r="8961">
          <cell r="A8961" t="str">
            <v>whtststerone_c</v>
          </cell>
          <cell r="B8961" t="str">
            <v>whtststerone</v>
          </cell>
          <cell r="C8961" t="str">
            <v>W hydroxy testosterone; 19-Hydroxytestosterone</v>
          </cell>
        </row>
        <row r="8962">
          <cell r="A8962" t="str">
            <v>whttdca_c</v>
          </cell>
          <cell r="B8962" t="str">
            <v>whttdca</v>
          </cell>
          <cell r="C8962" t="str">
            <v>Omega hydroxy tetradecanoate (n-C14:0)</v>
          </cell>
        </row>
        <row r="8963">
          <cell r="A8963" t="str">
            <v>xol7ah_c</v>
          </cell>
          <cell r="B8963" t="str">
            <v>xol7ah</v>
          </cell>
          <cell r="C8963" t="str">
            <v>7alpha-Hydroxy-5beta-cholestan-3-one</v>
          </cell>
        </row>
        <row r="8964">
          <cell r="A8964" t="str">
            <v>xol7aone_c</v>
          </cell>
          <cell r="B8964" t="str">
            <v>xol7aone</v>
          </cell>
          <cell r="C8964" t="str">
            <v>7alpha-Hydroxycholest-4-en-3-one</v>
          </cell>
        </row>
        <row r="8965">
          <cell r="A8965" t="str">
            <v>xoldiolone_c</v>
          </cell>
          <cell r="B8965" t="str">
            <v>xoldiolone</v>
          </cell>
          <cell r="C8965" t="str">
            <v>7alpha,12alpha-Dihydroxycholest-4-en-3-one</v>
          </cell>
        </row>
        <row r="8966">
          <cell r="A8966" t="str">
            <v>xolest2_hs_c</v>
          </cell>
          <cell r="B8966" t="str">
            <v>xolest2_hs</v>
          </cell>
          <cell r="C8966" t="str">
            <v>Cholesterol ester (from FULLR2)</v>
          </cell>
        </row>
        <row r="8967">
          <cell r="A8967" t="str">
            <v>xolest_hs_c</v>
          </cell>
          <cell r="B8967" t="str">
            <v>xolest_hs</v>
          </cell>
          <cell r="C8967" t="str">
            <v>Cholesterol ester</v>
          </cell>
        </row>
        <row r="8968">
          <cell r="A8968" t="str">
            <v>xoltriol_c</v>
          </cell>
          <cell r="B8968" t="str">
            <v>xoltriol</v>
          </cell>
          <cell r="C8968" t="str">
            <v>3alpha,7alpha,12alpha-Trihydroxy-5beta-cholestane</v>
          </cell>
        </row>
        <row r="8969">
          <cell r="A8969" t="str">
            <v>1mncam_e</v>
          </cell>
          <cell r="B8969" t="str">
            <v>1mncam</v>
          </cell>
          <cell r="C8969" t="str">
            <v>1 Methylnicotinamide C7H9N2O</v>
          </cell>
        </row>
        <row r="8970">
          <cell r="A8970" t="str">
            <v>2425dhvitd3_e</v>
          </cell>
          <cell r="B8970" t="str">
            <v>2425dhvitd3</v>
          </cell>
          <cell r="C8970" t="str">
            <v>24R,25-Dihydroxyvitamin D3</v>
          </cell>
        </row>
        <row r="8971">
          <cell r="A8971" t="str">
            <v>25hvitd2_e</v>
          </cell>
          <cell r="B8971" t="str">
            <v>25hvitd2</v>
          </cell>
          <cell r="C8971" t="str">
            <v>25-Hydroxyvitamin D2</v>
          </cell>
        </row>
        <row r="8972">
          <cell r="A8972" t="str">
            <v>35cgmp_e</v>
          </cell>
          <cell r="B8972" t="str">
            <v>35cgmp</v>
          </cell>
          <cell r="C8972" t="str">
            <v>3',5'-Cyclic GMP</v>
          </cell>
        </row>
        <row r="8973">
          <cell r="A8973" t="str">
            <v>5adtststeroneglc_e</v>
          </cell>
          <cell r="B8973" t="str">
            <v>5adtststeroneglc</v>
          </cell>
          <cell r="C8973" t="str">
            <v>5alpha-Dihydrotestosterone glucuronide</v>
          </cell>
        </row>
        <row r="8974">
          <cell r="A8974" t="str">
            <v>5dhf_e</v>
          </cell>
          <cell r="B8974" t="str">
            <v>5dhf</v>
          </cell>
          <cell r="C8974" t="str">
            <v>Pentaglutamyl folate (DHF)</v>
          </cell>
        </row>
        <row r="8975">
          <cell r="A8975" t="str">
            <v>5htrp_e</v>
          </cell>
          <cell r="B8975" t="str">
            <v>5htrp</v>
          </cell>
          <cell r="C8975" t="str">
            <v>5-Hydroxy-L-tryptophan</v>
          </cell>
        </row>
        <row r="8976">
          <cell r="A8976" t="str">
            <v>6thf_e</v>
          </cell>
          <cell r="B8976" t="str">
            <v>6thf</v>
          </cell>
          <cell r="C8976" t="str">
            <v>Hexaglutamyl folate  (THF)</v>
          </cell>
        </row>
        <row r="8977">
          <cell r="A8977" t="str">
            <v>Tyr_ggn_e</v>
          </cell>
          <cell r="B8977" t="str">
            <v>Tyr_ggn</v>
          </cell>
          <cell r="C8977" t="str">
            <v>Tyr-194 of apo-glycogenin protein (primer for glycogen synthesis)</v>
          </cell>
        </row>
        <row r="8978">
          <cell r="A8978" t="str">
            <v>acetone_e</v>
          </cell>
          <cell r="B8978" t="str">
            <v>acetone</v>
          </cell>
          <cell r="C8978" t="str">
            <v>Acetone</v>
          </cell>
        </row>
        <row r="8979">
          <cell r="A8979" t="str">
            <v>acgalfucgalacgalfucgalacglcgal14acglcgalgluside_hs_e</v>
          </cell>
          <cell r="B8979" t="str">
            <v>acgalfucgalacgalfucgalacglcgal14acglcgalgluside_hs</v>
          </cell>
          <cell r="C8979" t="str">
            <v>Type IIIAb</v>
          </cell>
        </row>
        <row r="8980">
          <cell r="A8980" t="str">
            <v>acn13acngalgbside_hs_e</v>
          </cell>
          <cell r="B8980" t="str">
            <v>acn13acngalgbside_hs</v>
          </cell>
          <cell r="C8980" t="str">
            <v>Sialyl (1,3) sialyl (2,6) galactosylgloboside (homo sapiens)</v>
          </cell>
        </row>
        <row r="8981">
          <cell r="A8981" t="str">
            <v>adp_e</v>
          </cell>
          <cell r="B8981" t="str">
            <v>adp</v>
          </cell>
          <cell r="C8981" t="str">
            <v>ADP C10H12N5O10P2</v>
          </cell>
        </row>
        <row r="8982">
          <cell r="A8982" t="str">
            <v>adprib_e</v>
          </cell>
          <cell r="B8982" t="str">
            <v>adprib</v>
          </cell>
          <cell r="C8982" t="str">
            <v>ADPribose C15H21N5O14P2</v>
          </cell>
        </row>
        <row r="8983">
          <cell r="A8983" t="str">
            <v>adrn_e</v>
          </cell>
          <cell r="B8983" t="str">
            <v>adrn</v>
          </cell>
          <cell r="C8983" t="str">
            <v>Adrenic acid</v>
          </cell>
        </row>
        <row r="8984">
          <cell r="A8984" t="str">
            <v>ahandrostanglc_e</v>
          </cell>
          <cell r="B8984" t="str">
            <v>ahandrostanglc</v>
          </cell>
          <cell r="C8984" t="str">
            <v>Etiocholan-3alpha-ol-17-one 3-glucuronide</v>
          </cell>
        </row>
        <row r="8985">
          <cell r="A8985" t="str">
            <v>ak2lgchol_hs_e</v>
          </cell>
          <cell r="B8985" t="str">
            <v>ak2lgchol_hs</v>
          </cell>
          <cell r="C8985" t="str">
            <v>1-alkyl 2-lysoglycerol 3-phosphocholine</v>
          </cell>
        </row>
        <row r="8986">
          <cell r="A8986" t="str">
            <v>apnnox_e</v>
          </cell>
          <cell r="B8986" t="str">
            <v>apnnox</v>
          </cell>
          <cell r="C8986" t="str">
            <v>Alpha-Pinene-oxide</v>
          </cell>
        </row>
        <row r="8987">
          <cell r="A8987" t="str">
            <v>asp__D_e</v>
          </cell>
          <cell r="B8987" t="str">
            <v>asp__D</v>
          </cell>
          <cell r="C8987" t="str">
            <v>D-Aspartate</v>
          </cell>
        </row>
        <row r="8988">
          <cell r="A8988" t="str">
            <v>bilglcur_e</v>
          </cell>
          <cell r="B8988" t="str">
            <v>bilglcur</v>
          </cell>
          <cell r="C8988" t="str">
            <v>Bilirubin monoglucuronide</v>
          </cell>
        </row>
        <row r="8989">
          <cell r="A8989" t="str">
            <v>bvite_e</v>
          </cell>
          <cell r="B8989" t="str">
            <v>bvite</v>
          </cell>
          <cell r="C8989" t="str">
            <v>Beta-Tocopherol</v>
          </cell>
        </row>
        <row r="8990">
          <cell r="A8990" t="str">
            <v>caro_e</v>
          </cell>
          <cell r="B8990" t="str">
            <v>caro</v>
          </cell>
          <cell r="C8990" t="str">
            <v>Beta-Carotene</v>
          </cell>
        </row>
        <row r="8991">
          <cell r="A8991" t="str">
            <v>cca_d3_e</v>
          </cell>
          <cell r="B8991" t="str">
            <v>cca_d3</v>
          </cell>
          <cell r="C8991" t="str">
            <v>Calcitroic acid (D3)</v>
          </cell>
        </row>
        <row r="8992">
          <cell r="A8992" t="str">
            <v>coumarin_e</v>
          </cell>
          <cell r="B8992" t="str">
            <v>coumarin</v>
          </cell>
          <cell r="C8992" t="str">
            <v>Coumarin; 2H-1-Benzopyran-2-one</v>
          </cell>
        </row>
        <row r="8993">
          <cell r="A8993" t="str">
            <v>crmp_hs_e</v>
          </cell>
          <cell r="B8993" t="str">
            <v>crmp_hs</v>
          </cell>
          <cell r="C8993" t="str">
            <v>Ceramide 1-phosphate</v>
          </cell>
        </row>
        <row r="8994">
          <cell r="A8994" t="str">
            <v>crvnc_e</v>
          </cell>
          <cell r="B8994" t="str">
            <v>crvnc</v>
          </cell>
          <cell r="C8994" t="str">
            <v>Cervonic acid, C22:6 n-3</v>
          </cell>
        </row>
        <row r="8995">
          <cell r="A8995" t="str">
            <v>cspg_e_e</v>
          </cell>
          <cell r="B8995" t="str">
            <v>cspg_e</v>
          </cell>
          <cell r="C8995" t="str">
            <v>Chondroitin sulfate E (GalNAc4,6diS-GlcA) proteoglycan</v>
          </cell>
        </row>
        <row r="8996">
          <cell r="A8996" t="str">
            <v>dlnlcg_e</v>
          </cell>
          <cell r="B8996" t="str">
            <v>dlnlcg</v>
          </cell>
          <cell r="C8996" t="str">
            <v>Dihomo-gamma-linolenic acid (n-6)</v>
          </cell>
        </row>
        <row r="8997">
          <cell r="A8997" t="str">
            <v>fucacngal14acglcgalgluside_hs_e</v>
          </cell>
          <cell r="B8997" t="str">
            <v>fucacngal14acglcgalgluside_hs</v>
          </cell>
          <cell r="C8997" t="str">
            <v>IV3-a-NeuAc,III3-a-Fuc-nLc4Cer</v>
          </cell>
        </row>
        <row r="8998">
          <cell r="A8998" t="str">
            <v>fucacngalacglcgalgluside_hs_e</v>
          </cell>
          <cell r="B8998" t="str">
            <v>fucacngalacglcgalgluside_hs</v>
          </cell>
          <cell r="C8998" t="str">
            <v>IV3-a-Neu5Ac,III4-a-Fuc-Lc4Cer</v>
          </cell>
        </row>
        <row r="8999">
          <cell r="A8999" t="str">
            <v>fucfucgalacglcgalgluside_hs_e</v>
          </cell>
          <cell r="B8999" t="str">
            <v>fucfucgalacglcgalgluside_hs</v>
          </cell>
          <cell r="C8999" t="str">
            <v>Leb glycolipid</v>
          </cell>
        </row>
        <row r="9000">
          <cell r="A9000" t="str">
            <v>fucgalfucgalacglcgalgluside_hs_e</v>
          </cell>
          <cell r="B9000" t="str">
            <v>fucgalfucgalacglcgalgluside_hs</v>
          </cell>
          <cell r="C9000" t="str">
            <v>(Gal)3 (Glc)1 (GlcNAc)1 (LFuc)2 (Cer)1</v>
          </cell>
        </row>
        <row r="9001">
          <cell r="A9001" t="str">
            <v>galfuc12gal14acglcgalgluside_hs_e</v>
          </cell>
          <cell r="B9001" t="str">
            <v>galfuc12gal14acglcgalgluside_hs</v>
          </cell>
          <cell r="C9001" t="str">
            <v>(Gal)3 (Glc)1 (GlcNAc)1 (LFuc)1 (Cer)1</v>
          </cell>
        </row>
        <row r="9002">
          <cell r="A9002" t="str">
            <v>galgalfucfucgalacglcgalacglcgal14acglcgalgluside_hs_e</v>
          </cell>
          <cell r="B9002" t="str">
            <v>galgalfucfucgalacglcgalacglcgal14acglcgalgluside_hs</v>
          </cell>
          <cell r="C9002" t="str">
            <v>(Gal)6 (Glc)1 (GlcNAc)3 (LFuc)2 (Cer)1</v>
          </cell>
        </row>
        <row r="9003">
          <cell r="A9003" t="str">
            <v>galgalgalthcrm_hs_e</v>
          </cell>
          <cell r="B9003" t="str">
            <v>galgalgalthcrm_hs</v>
          </cell>
          <cell r="C9003" t="str">
            <v>Gal-Gal-Gal-Gal-Gal-Glc-Cer (homo sapiens)</v>
          </cell>
        </row>
        <row r="9004">
          <cell r="A9004" t="str">
            <v>gchola_e</v>
          </cell>
          <cell r="B9004" t="str">
            <v>gchola</v>
          </cell>
          <cell r="C9004" t="str">
            <v>Glycocholate</v>
          </cell>
        </row>
        <row r="9005">
          <cell r="A9005" t="str">
            <v>glygn5_e</v>
          </cell>
          <cell r="B9005" t="str">
            <v>glygn5</v>
          </cell>
          <cell r="C9005" t="str">
            <v>Glycogen, structure 5 (glycogenin-2[1,4-Glc])</v>
          </cell>
        </row>
        <row r="9006">
          <cell r="A9006" t="str">
            <v>gq1b_hs_e</v>
          </cell>
          <cell r="B9006" t="str">
            <v>gq1b_hs</v>
          </cell>
          <cell r="C9006" t="str">
            <v>GQ1b (homo sapiens)</v>
          </cell>
        </row>
        <row r="9007">
          <cell r="A9007" t="str">
            <v>hista_e</v>
          </cell>
          <cell r="B9007" t="str">
            <v>hista</v>
          </cell>
          <cell r="C9007" t="str">
            <v>Histamine extracellular</v>
          </cell>
        </row>
        <row r="9008">
          <cell r="A9008" t="str">
            <v>leuktrB4_e</v>
          </cell>
          <cell r="B9008" t="str">
            <v>leuktrB4</v>
          </cell>
          <cell r="C9008" t="str">
            <v>Leukotriene B4(1-)</v>
          </cell>
        </row>
        <row r="9009">
          <cell r="A9009" t="str">
            <v>leuktrE4_e</v>
          </cell>
          <cell r="B9009" t="str">
            <v>leuktrE4</v>
          </cell>
          <cell r="C9009" t="str">
            <v>Leukotriene E4 cytosol</v>
          </cell>
        </row>
        <row r="9010">
          <cell r="A9010" t="str">
            <v>lgnc_e</v>
          </cell>
          <cell r="B9010" t="str">
            <v>lgnc</v>
          </cell>
          <cell r="C9010" t="str">
            <v>Lignoceric acid</v>
          </cell>
        </row>
        <row r="9011">
          <cell r="A9011" t="str">
            <v>limnen_e</v>
          </cell>
          <cell r="B9011" t="str">
            <v>limnen</v>
          </cell>
          <cell r="C9011" t="str">
            <v>Limnen c</v>
          </cell>
        </row>
        <row r="9012">
          <cell r="A9012" t="str">
            <v>lnlc_e</v>
          </cell>
          <cell r="B9012" t="str">
            <v>lnlc</v>
          </cell>
          <cell r="C9012" t="str">
            <v>Linoleic acid (all cis C18:2) n-6</v>
          </cell>
        </row>
        <row r="9013">
          <cell r="A9013" t="str">
            <v>lnlnca_e</v>
          </cell>
          <cell r="B9013" t="str">
            <v>lnlnca</v>
          </cell>
          <cell r="C9013" t="str">
            <v>Alpha-Linolenic acid, C18:3, n-3</v>
          </cell>
        </row>
        <row r="9014">
          <cell r="A9014" t="str">
            <v>nifedipine_e</v>
          </cell>
          <cell r="B9014" t="str">
            <v>nifedipine</v>
          </cell>
          <cell r="C9014" t="str">
            <v>Nifedipine c</v>
          </cell>
        </row>
        <row r="9015">
          <cell r="A9015" t="str">
            <v>nrpphr_e</v>
          </cell>
          <cell r="B9015" t="str">
            <v>nrpphr</v>
          </cell>
          <cell r="C9015" t="str">
            <v>Norepinephrine</v>
          </cell>
        </row>
        <row r="9016">
          <cell r="A9016" t="str">
            <v>omeprazole_e</v>
          </cell>
          <cell r="B9016" t="str">
            <v>omeprazole</v>
          </cell>
          <cell r="C9016" t="str">
            <v>Omeprazole c</v>
          </cell>
        </row>
        <row r="9017">
          <cell r="A9017" t="str">
            <v>pchol_hs_e</v>
          </cell>
          <cell r="B9017" t="str">
            <v>pchol_hs</v>
          </cell>
          <cell r="C9017" t="str">
            <v>Phosphatidylcholine (homo sapiens)</v>
          </cell>
        </row>
        <row r="9018">
          <cell r="A9018" t="str">
            <v>phyt_e</v>
          </cell>
          <cell r="B9018" t="str">
            <v>phyt</v>
          </cell>
          <cell r="C9018" t="str">
            <v>Phytanic acid</v>
          </cell>
        </row>
        <row r="9019">
          <cell r="A9019" t="str">
            <v>prgstrn_e</v>
          </cell>
          <cell r="B9019" t="str">
            <v>prgstrn</v>
          </cell>
          <cell r="C9019" t="str">
            <v>Prgstrn c</v>
          </cell>
        </row>
        <row r="9020">
          <cell r="A9020" t="str">
            <v>prostgd2_e</v>
          </cell>
          <cell r="B9020" t="str">
            <v>prostgd2</v>
          </cell>
          <cell r="C9020" t="str">
            <v>Prostaglandin D2</v>
          </cell>
        </row>
        <row r="9021">
          <cell r="A9021" t="str">
            <v>retinol_cis_11_e</v>
          </cell>
          <cell r="B9021" t="str">
            <v>retinol_cis_11</v>
          </cell>
          <cell r="C9021" t="str">
            <v>11-cis-Retinol</v>
          </cell>
        </row>
        <row r="9022">
          <cell r="A9022" t="str">
            <v>s2l2fn2m2masn_e</v>
          </cell>
          <cell r="B9022" t="str">
            <v>s2l2fn2m2masn</v>
          </cell>
          <cell r="C9022" t="str">
            <v>PA6</v>
          </cell>
        </row>
        <row r="9023">
          <cell r="A9023" t="str">
            <v>spc_hs_e</v>
          </cell>
          <cell r="B9023" t="str">
            <v>spc_hs</v>
          </cell>
          <cell r="C9023" t="str">
            <v>Sphingosylphosphorylcholine (homo sapiens)</v>
          </cell>
        </row>
        <row r="9024">
          <cell r="A9024" t="str">
            <v>strch2_e</v>
          </cell>
          <cell r="B9024" t="str">
            <v>strch2</v>
          </cell>
          <cell r="C9024" t="str">
            <v>Starch, structure 2 (1,6-{2[1,4-Glc], [1,4-Glc]})</v>
          </cell>
        </row>
        <row r="9025">
          <cell r="A9025" t="str">
            <v>tetpent3_e</v>
          </cell>
          <cell r="B9025" t="str">
            <v>tetpent3</v>
          </cell>
          <cell r="C9025" t="str">
            <v>Tetracosapentaenoic acid, n-3</v>
          </cell>
        </row>
        <row r="9026">
          <cell r="A9026" t="str">
            <v>tolbutamide_e</v>
          </cell>
          <cell r="B9026" t="str">
            <v>tolbutamide</v>
          </cell>
          <cell r="C9026" t="str">
            <v>Tolbutamide c</v>
          </cell>
        </row>
        <row r="9027">
          <cell r="A9027" t="str">
            <v>tststerone_e</v>
          </cell>
          <cell r="B9027" t="str">
            <v>tststerone</v>
          </cell>
          <cell r="C9027" t="str">
            <v>Tststerone c</v>
          </cell>
        </row>
        <row r="9028">
          <cell r="A9028" t="str">
            <v>whhdca_e</v>
          </cell>
          <cell r="B9028" t="str">
            <v>whhdca</v>
          </cell>
          <cell r="C9028" t="str">
            <v>Omega hydroxy hexadecanoate (n-C16:0)</v>
          </cell>
        </row>
        <row r="9029">
          <cell r="A9029" t="str">
            <v>xoltri27_e</v>
          </cell>
          <cell r="B9029" t="str">
            <v>xoltri27</v>
          </cell>
          <cell r="C9029" t="str">
            <v>7-alpha,27-Dihydroxycholesterol</v>
          </cell>
        </row>
        <row r="9030">
          <cell r="A9030" t="str">
            <v>acgalfuc12gal14acglcgalgluside_hs_g</v>
          </cell>
          <cell r="B9030" t="str">
            <v>acgalfuc12gal14acglcgalgluside_hs</v>
          </cell>
          <cell r="C9030" t="str">
            <v>(Gal)2 (GalNAc)1 (Glc)1 (GlcNAc)1 (LFuc)1 (Cer)1</v>
          </cell>
        </row>
        <row r="9031">
          <cell r="A9031" t="str">
            <v>acglcgal14acglcgalgluside_hs_g</v>
          </cell>
          <cell r="B9031" t="str">
            <v>acglcgal14acglcgalgluside_hs</v>
          </cell>
          <cell r="C9031" t="str">
            <v>NLc5Cer</v>
          </cell>
        </row>
        <row r="9032">
          <cell r="A9032" t="str">
            <v>acn23acngalgbside_hs_g</v>
          </cell>
          <cell r="B9032" t="str">
            <v>acn23acngalgbside_hs</v>
          </cell>
          <cell r="C9032" t="str">
            <v>Sialyl (2,3) sialyl (2,6) galactosylgloboside (homo sapiens)</v>
          </cell>
        </row>
        <row r="9033">
          <cell r="A9033" t="str">
            <v>acnacngalgbside_hs_g</v>
          </cell>
          <cell r="B9033" t="str">
            <v>acnacngalgbside_hs</v>
          </cell>
          <cell r="C9033" t="str">
            <v>Disialyl galactosylgloboside (homo sapiens)</v>
          </cell>
        </row>
        <row r="9034">
          <cell r="A9034" t="str">
            <v>acngalgbside_hs_g</v>
          </cell>
          <cell r="B9034" t="str">
            <v>acngalgbside_hs</v>
          </cell>
          <cell r="C9034" t="str">
            <v>Sialyl galactosylgloboside (homo sapiens)</v>
          </cell>
        </row>
        <row r="9035">
          <cell r="A9035" t="str">
            <v>chol_g</v>
          </cell>
          <cell r="B9035" t="str">
            <v>chol</v>
          </cell>
          <cell r="C9035" t="str">
            <v>Choline C5H14NO</v>
          </cell>
        </row>
        <row r="9036">
          <cell r="A9036" t="str">
            <v>cholp_g</v>
          </cell>
          <cell r="B9036" t="str">
            <v>cholp</v>
          </cell>
          <cell r="C9036" t="str">
            <v>Choline phosphate C5H13NO4P</v>
          </cell>
        </row>
        <row r="9037">
          <cell r="A9037" t="str">
            <v>cmpacna_g</v>
          </cell>
          <cell r="B9037" t="str">
            <v>cmpacna</v>
          </cell>
          <cell r="C9037" t="str">
            <v>CMP-N-acetylneuraminate</v>
          </cell>
        </row>
        <row r="9038">
          <cell r="A9038" t="str">
            <v>cs_d_pre2_g</v>
          </cell>
          <cell r="B9038" t="str">
            <v>cs_d_pre2</v>
          </cell>
          <cell r="C9038" t="str">
            <v>Chondroitin sulfate D (GlcNAc6S-GlcA2S) precursor 2</v>
          </cell>
        </row>
        <row r="9039">
          <cell r="A9039" t="str">
            <v>cs_d_pre4_g</v>
          </cell>
          <cell r="B9039" t="str">
            <v>cs_d_pre4</v>
          </cell>
          <cell r="C9039" t="str">
            <v>Chondroitin sulfate D (GlcNAc6S-GlcA2S), precursor 4</v>
          </cell>
        </row>
        <row r="9040">
          <cell r="A9040" t="str">
            <v>cs_d_pre5_g</v>
          </cell>
          <cell r="B9040" t="str">
            <v>cs_d_pre5</v>
          </cell>
          <cell r="C9040" t="str">
            <v>Chondroitin sulfate D (GlcNAc6S-GlcA2S), precursor 5</v>
          </cell>
        </row>
        <row r="9041">
          <cell r="A9041" t="str">
            <v>cs_e_pre4_g</v>
          </cell>
          <cell r="B9041" t="str">
            <v>cs_e_pre4</v>
          </cell>
          <cell r="C9041" t="str">
            <v>Chondroitin sulfate E (GalNAc4,6diS-GlcA), precursor 4</v>
          </cell>
        </row>
        <row r="9042">
          <cell r="A9042" t="str">
            <v>cs_e_pre5a_g</v>
          </cell>
          <cell r="B9042" t="str">
            <v>cs_e_pre5a</v>
          </cell>
          <cell r="C9042" t="str">
            <v>Chondroitin sulfate E (GalNAc4,6diS-GlcA), precursor 5a</v>
          </cell>
        </row>
        <row r="9043">
          <cell r="A9043" t="str">
            <v>cspg_a_g</v>
          </cell>
          <cell r="B9043" t="str">
            <v>cspg_a</v>
          </cell>
          <cell r="C9043" t="str">
            <v>Chondroitin sulfate A (GalNAc4S-GlcA) proteoglycan</v>
          </cell>
        </row>
        <row r="9044">
          <cell r="A9044" t="str">
            <v>cspg_b_g</v>
          </cell>
          <cell r="B9044" t="str">
            <v>cspg_b</v>
          </cell>
          <cell r="C9044" t="str">
            <v>Chondroitin sulfate B / dermatan sulfate (IdoA2S-GalNAc4S) proteoglycan</v>
          </cell>
        </row>
        <row r="9045">
          <cell r="A9045" t="str">
            <v>fuc13galacglcgal14acglcgalgluside_hs_g</v>
          </cell>
          <cell r="B9045" t="str">
            <v>fuc13galacglcgal14acglcgalgluside_hs</v>
          </cell>
          <cell r="C9045" t="str">
            <v>III3Fuc-nLc6Cer</v>
          </cell>
        </row>
        <row r="9046">
          <cell r="A9046" t="str">
            <v>fuc14galacglcgalgluside_hs_g</v>
          </cell>
          <cell r="B9046" t="str">
            <v>fuc14galacglcgalgluside_hs</v>
          </cell>
          <cell r="C9046" t="str">
            <v>Lea glycolipid</v>
          </cell>
        </row>
        <row r="9047">
          <cell r="A9047" t="str">
            <v>fucacgalfucgalacglcgalgluside_hs_g</v>
          </cell>
          <cell r="B9047" t="str">
            <v>fucacgalfucgalacglcgalgluside_hs</v>
          </cell>
          <cell r="C9047" t="str">
            <v>(Gal)2 (GalNAc)1 (Glc)1 (GlcNAc)1 (LFuc)2 (Cer)1</v>
          </cell>
        </row>
        <row r="9048">
          <cell r="A9048" t="str">
            <v>fucfucfucgalacglc13galacglcgal14acglcgalgluside_hs_g</v>
          </cell>
          <cell r="B9048" t="str">
            <v>fucfucfucgalacglc13galacglcgal14acglcgalgluside_hs</v>
          </cell>
          <cell r="C9048" t="str">
            <v>(Gal)4 (Glc)1 (GlcNAc)3 (LFuc)3 (Cer)1</v>
          </cell>
        </row>
        <row r="9049">
          <cell r="A9049" t="str">
            <v>fucfucgalacglc13galacglcgal14acglcgalgluside_hs_g</v>
          </cell>
          <cell r="B9049" t="str">
            <v>fucfucgalacglc13galacglcgal14acglcgalgluside_hs</v>
          </cell>
          <cell r="C9049" t="str">
            <v>(Gal)4 (Glc)1 (GlcNAc)3 (LFuc)2 (Cer)1</v>
          </cell>
        </row>
        <row r="9050">
          <cell r="A9050" t="str">
            <v>fucfucgalacglcgal14acglcgalgluside_hs_g</v>
          </cell>
          <cell r="B9050" t="str">
            <v>fucfucgalacglcgal14acglcgalgluside_hs</v>
          </cell>
          <cell r="C9050" t="str">
            <v>(Gal)3 (Glc)1 (GlcNAc)2 (LFuc)2 (Cer)1</v>
          </cell>
        </row>
        <row r="9051">
          <cell r="A9051" t="str">
            <v>fucfucgalacglcgalacglcgal14acglcgalgluside_hs_g</v>
          </cell>
          <cell r="B9051" t="str">
            <v>fucfucgalacglcgalacglcgal14acglcgalgluside_hs</v>
          </cell>
          <cell r="C9051" t="str">
            <v>(Gal)4 (Glc)1 (GlcNAc)3 (LFuc)2 (Cer)1</v>
          </cell>
        </row>
        <row r="9052">
          <cell r="A9052" t="str">
            <v>g1m7masnC_g</v>
          </cell>
          <cell r="B9052" t="str">
            <v>g1m7masnC</v>
          </cell>
          <cell r="C9052" t="str">
            <v>Glucosyl-(alpha-D-mannosyl)7-beta-D-mannosyl-diacetylchitobiosyl-L-asparagine, isoform C (protein)</v>
          </cell>
        </row>
        <row r="9053">
          <cell r="A9053" t="str">
            <v>galacgalfucgalacglcgal14acglcgalgluside_hs_g</v>
          </cell>
          <cell r="B9053" t="str">
            <v>galacgalfucgalacglcgal14acglcgalgluside_hs</v>
          </cell>
          <cell r="C9053" t="str">
            <v>(Gal)4 (GalNAc)1 (Glc)1 (GlcNAc)2 (LFuc)1 (Cer)1</v>
          </cell>
        </row>
        <row r="9054">
          <cell r="A9054" t="str">
            <v>galacglcgal14acglcgalgluside_hs_g</v>
          </cell>
          <cell r="B9054" t="str">
            <v>galacglcgal14acglcgalgluside_hs</v>
          </cell>
          <cell r="C9054" t="str">
            <v>I-antigen</v>
          </cell>
        </row>
        <row r="9055">
          <cell r="A9055" t="str">
            <v>galacglcgalgbside_hs_g</v>
          </cell>
          <cell r="B9055" t="str">
            <v>galacglcgalgbside_hs</v>
          </cell>
          <cell r="C9055" t="str">
            <v>Gal-GlcNAc-Gal globoside (homo sapiens)</v>
          </cell>
        </row>
        <row r="9056">
          <cell r="A9056" t="str">
            <v>galfucgalacglcgal14acglcgalgluside_hs_g</v>
          </cell>
          <cell r="B9056" t="str">
            <v>galfucgalacglcgal14acglcgalgluside_hs</v>
          </cell>
          <cell r="C9056" t="str">
            <v>(Gal)4 (Glc)1 (GlcNAc)2 (LFuc)1 (Cer)1</v>
          </cell>
        </row>
        <row r="9057">
          <cell r="A9057" t="str">
            <v>galgbside_hs_g</v>
          </cell>
          <cell r="B9057" t="str">
            <v>galgbside_hs</v>
          </cell>
          <cell r="C9057" t="str">
            <v>Galactosylgloboside (homo sapiens)</v>
          </cell>
        </row>
        <row r="9058">
          <cell r="A9058" t="str">
            <v>gd1b_hs_g</v>
          </cell>
          <cell r="B9058" t="str">
            <v>gd1b_hs</v>
          </cell>
          <cell r="C9058" t="str">
            <v>GD1b (homo sapiens)</v>
          </cell>
        </row>
        <row r="9059">
          <cell r="A9059" t="str">
            <v>gd2_hs_g</v>
          </cell>
          <cell r="B9059" t="str">
            <v>gd2_hs</v>
          </cell>
          <cell r="C9059" t="str">
            <v>GD2 (homo sapiens)</v>
          </cell>
        </row>
        <row r="9060">
          <cell r="A9060" t="str">
            <v>gluside_hs_g</v>
          </cell>
          <cell r="B9060" t="str">
            <v>gluside_hs</v>
          </cell>
          <cell r="C9060" t="str">
            <v>Glucocerebroside (homo sapiens)</v>
          </cell>
        </row>
        <row r="9061">
          <cell r="A9061" t="str">
            <v>gm1a_hs_g</v>
          </cell>
          <cell r="B9061" t="str">
            <v>gm1a_hs</v>
          </cell>
          <cell r="C9061" t="str">
            <v>GM1alpha (homo sapiens)</v>
          </cell>
        </row>
        <row r="9062">
          <cell r="A9062" t="str">
            <v>gncore2_g</v>
          </cell>
          <cell r="B9062" t="str">
            <v>gncore2</v>
          </cell>
          <cell r="C9062" t="str">
            <v>GlcNAc-alpha-1,4-Core 2</v>
          </cell>
        </row>
        <row r="9063">
          <cell r="A9063" t="str">
            <v>gp1c_hs_g</v>
          </cell>
          <cell r="B9063" t="str">
            <v>gp1c_hs</v>
          </cell>
          <cell r="C9063" t="str">
            <v>GP1c (homo sapiens)</v>
          </cell>
        </row>
        <row r="9064">
          <cell r="A9064" t="str">
            <v>gp1calpha_hs_g</v>
          </cell>
          <cell r="B9064" t="str">
            <v>gp1calpha_hs</v>
          </cell>
          <cell r="C9064" t="str">
            <v>GP1c alpha  (homo sapiens)</v>
          </cell>
        </row>
        <row r="9065">
          <cell r="A9065" t="str">
            <v>gt1a_hs_g</v>
          </cell>
          <cell r="B9065" t="str">
            <v>gt1a_hs</v>
          </cell>
          <cell r="C9065" t="str">
            <v>GT1a (homo sapiens)</v>
          </cell>
        </row>
        <row r="9066">
          <cell r="A9066" t="str">
            <v>gt1b_hs_g</v>
          </cell>
          <cell r="B9066" t="str">
            <v>gt1b_hs</v>
          </cell>
          <cell r="C9066" t="str">
            <v>GT1b (homo sapiens)</v>
          </cell>
        </row>
        <row r="9067">
          <cell r="A9067" t="str">
            <v>gt1c_hs_g</v>
          </cell>
          <cell r="B9067" t="str">
            <v>gt1c_hs</v>
          </cell>
          <cell r="C9067" t="str">
            <v>GT1c (homo sapiens)</v>
          </cell>
        </row>
        <row r="9068">
          <cell r="A9068" t="str">
            <v>hs_pre1_g</v>
          </cell>
          <cell r="B9068" t="str">
            <v>hs_pre1</v>
          </cell>
          <cell r="C9068" t="str">
            <v>Heparan sulfate, precursor 1</v>
          </cell>
        </row>
        <row r="9069">
          <cell r="A9069" t="str">
            <v>hs_pre9_g</v>
          </cell>
          <cell r="B9069" t="str">
            <v>hs_pre9</v>
          </cell>
          <cell r="C9069" t="str">
            <v>Heparan sulfate, precursor 9</v>
          </cell>
        </row>
        <row r="9070">
          <cell r="A9070" t="str">
            <v>hspg_g</v>
          </cell>
          <cell r="B9070" t="str">
            <v>hspg</v>
          </cell>
          <cell r="C9070" t="str">
            <v>Heparan sulfate proteoglycan</v>
          </cell>
        </row>
        <row r="9071">
          <cell r="A9071" t="str">
            <v>ksi_pre13_g</v>
          </cell>
          <cell r="B9071" t="str">
            <v>ksi_pre13</v>
          </cell>
          <cell r="C9071" t="str">
            <v>Keratan sulfate I biosynthesis, precursor 13</v>
          </cell>
        </row>
        <row r="9072">
          <cell r="A9072" t="str">
            <v>ksi_pre24_g</v>
          </cell>
          <cell r="B9072" t="str">
            <v>ksi_pre24</v>
          </cell>
          <cell r="C9072" t="str">
            <v>Keratan sulfate I biosynthesis, precursor 24</v>
          </cell>
        </row>
        <row r="9073">
          <cell r="A9073" t="str">
            <v>ksi_pre26_g</v>
          </cell>
          <cell r="B9073" t="str">
            <v>ksi_pre26</v>
          </cell>
          <cell r="C9073" t="str">
            <v>Keratan sulfate I biosynthesis, precursor 26</v>
          </cell>
        </row>
        <row r="9074">
          <cell r="A9074" t="str">
            <v>ksi_pre31_g</v>
          </cell>
          <cell r="B9074" t="str">
            <v>ksi_pre31</v>
          </cell>
          <cell r="C9074" t="str">
            <v>Keratan sulfate I biosynthesis, precursor 31</v>
          </cell>
        </row>
        <row r="9075">
          <cell r="A9075" t="str">
            <v>ksi_pre7_g</v>
          </cell>
          <cell r="B9075" t="str">
            <v>ksi_pre7</v>
          </cell>
          <cell r="C9075" t="str">
            <v>Keratan sulfate I biosynthesis, precursor 7</v>
          </cell>
        </row>
        <row r="9076">
          <cell r="A9076" t="str">
            <v>ksii_core2_pre3_g</v>
          </cell>
          <cell r="B9076" t="str">
            <v>ksii_core2_pre3</v>
          </cell>
          <cell r="C9076" t="str">
            <v>Keratan sulfate II biosynthesis, precursor 3</v>
          </cell>
        </row>
        <row r="9077">
          <cell r="A9077" t="str">
            <v>ksii_core2_pre4_g</v>
          </cell>
          <cell r="B9077" t="str">
            <v>ksii_core2_pre4</v>
          </cell>
          <cell r="C9077" t="str">
            <v>Keratan sulfate II biosynthesis, precursor 4</v>
          </cell>
        </row>
        <row r="9078">
          <cell r="A9078" t="str">
            <v>ksii_core4_g</v>
          </cell>
          <cell r="B9078" t="str">
            <v>ksii_core4</v>
          </cell>
          <cell r="C9078" t="str">
            <v>Keratan sulfate II (core 4-linked)</v>
          </cell>
        </row>
        <row r="9079">
          <cell r="A9079" t="str">
            <v>ksii_core4_pre10_g</v>
          </cell>
          <cell r="B9079" t="str">
            <v>ksii_core4_pre10</v>
          </cell>
          <cell r="C9079" t="str">
            <v>Keratan sulfate II biosynthesis, precursor 10</v>
          </cell>
        </row>
        <row r="9080">
          <cell r="A9080" t="str">
            <v>ksii_core4_pre9_g</v>
          </cell>
          <cell r="B9080" t="str">
            <v>ksii_core4_pre9</v>
          </cell>
          <cell r="C9080" t="str">
            <v>Keratan sulfate II biosynthesis, precursor 9</v>
          </cell>
        </row>
        <row r="9081">
          <cell r="A9081" t="str">
            <v>l2xser_g</v>
          </cell>
          <cell r="B9081" t="str">
            <v>l2xser</v>
          </cell>
          <cell r="C9081" t="str">
            <v>(Gal)2-Xyl-L-Ser (protein)</v>
          </cell>
        </row>
        <row r="9082">
          <cell r="A9082" t="str">
            <v>m6masnB2_g</v>
          </cell>
          <cell r="B9082" t="str">
            <v>m6masnB2</v>
          </cell>
          <cell r="C9082" t="str">
            <v>(alpha-D-mannosyl)6-beta-D-mannosyl-diacetylchitobiosyl-L-asparagine (protein)</v>
          </cell>
        </row>
        <row r="9083">
          <cell r="A9083" t="str">
            <v>m6masnC_g</v>
          </cell>
          <cell r="B9083" t="str">
            <v>m6masnC</v>
          </cell>
          <cell r="C9083" t="str">
            <v>(alpha-D-mannosyl)6-beta-D-mannosyl-diacetylchitobiosyl-L-asparagine (protein)</v>
          </cell>
        </row>
        <row r="9084">
          <cell r="A9084" t="str">
            <v>m7masnA_g</v>
          </cell>
          <cell r="B9084" t="str">
            <v>m7masnA</v>
          </cell>
          <cell r="C9084" t="str">
            <v>(alpha-D-mannosyl)7-beta-D-mannosyl-diacetylchitobiosyl-L-asparagine, isoform A (protein)</v>
          </cell>
        </row>
        <row r="9085">
          <cell r="A9085" t="str">
            <v>man_g</v>
          </cell>
          <cell r="B9085" t="str">
            <v>man</v>
          </cell>
          <cell r="C9085" t="str">
            <v>D-Mannose</v>
          </cell>
        </row>
        <row r="9086">
          <cell r="A9086" t="str">
            <v>n5m2masn_g</v>
          </cell>
          <cell r="B9086" t="str">
            <v>n5m2masn</v>
          </cell>
          <cell r="C9086" t="str">
            <v>((N-acetyl-D-glucosaminyl)5-(alpha-D-mannosyl)2-beta-D-mannosyl-diacetylchitobiosyl)-L-asparagine (protein)</v>
          </cell>
        </row>
        <row r="9087">
          <cell r="A9087" t="str">
            <v>nm4masn_g</v>
          </cell>
          <cell r="B9087" t="str">
            <v>nm4masn</v>
          </cell>
          <cell r="C9087" t="str">
            <v>(N-acetyl-D-glucosaminyl-(alpha-D-mannosyl)4-beta-D-mannosyl-diacetylchitobiosyl)-L-asparagine (protein)</v>
          </cell>
        </row>
        <row r="9088">
          <cell r="A9088" t="str">
            <v>oagt3_hs_g</v>
          </cell>
          <cell r="B9088" t="str">
            <v>oagt3_hs</v>
          </cell>
          <cell r="C9088" t="str">
            <v>9-O-Acetylated GT3 (homo sapiens)</v>
          </cell>
        </row>
        <row r="9089">
          <cell r="A9089" t="str">
            <v>pap_g</v>
          </cell>
          <cell r="B9089" t="str">
            <v>pap</v>
          </cell>
          <cell r="C9089" t="str">
            <v>Adenosine 3',5'-bisphosphate</v>
          </cell>
        </row>
        <row r="9090">
          <cell r="A9090" t="str">
            <v>sgalside_hs_g</v>
          </cell>
          <cell r="B9090" t="str">
            <v>sgalside_hs</v>
          </cell>
          <cell r="C9090" t="str">
            <v>Sulfatide galactocerebroside (homo sapiens)</v>
          </cell>
        </row>
        <row r="9091">
          <cell r="A9091" t="str">
            <v>thcrm_hs_g</v>
          </cell>
          <cell r="B9091" t="str">
            <v>thcrm_hs</v>
          </cell>
          <cell r="C9091" t="str">
            <v>Trihexosyl ceramide (homo sapiens)</v>
          </cell>
        </row>
        <row r="9092">
          <cell r="A9092" t="str">
            <v>uacgam_g</v>
          </cell>
          <cell r="B9092" t="str">
            <v>uacgam</v>
          </cell>
          <cell r="C9092" t="str">
            <v>UDP-N-acetyl-D-glucosamine</v>
          </cell>
        </row>
        <row r="9093">
          <cell r="A9093" t="str">
            <v>udpglcur_g</v>
          </cell>
          <cell r="B9093" t="str">
            <v>udpglcur</v>
          </cell>
          <cell r="C9093" t="str">
            <v>UDP-D-glucuronate</v>
          </cell>
        </row>
        <row r="9094">
          <cell r="A9094" t="str">
            <v>xser_g</v>
          </cell>
          <cell r="B9094" t="str">
            <v>xser</v>
          </cell>
          <cell r="C9094" t="str">
            <v>Xyl-L-Ser (protein)</v>
          </cell>
        </row>
        <row r="9095">
          <cell r="A9095" t="str">
            <v>10fthf6glu_l</v>
          </cell>
          <cell r="B9095" t="str">
            <v>10fthf6glu</v>
          </cell>
          <cell r="C9095" t="str">
            <v>10-formyltetrahydrofolate-[Glu](6)</v>
          </cell>
        </row>
        <row r="9096">
          <cell r="A9096" t="str">
            <v>5thf_l</v>
          </cell>
          <cell r="B9096" t="str">
            <v>5thf</v>
          </cell>
          <cell r="C9096" t="str">
            <v>Pentaglutamyl folate (THF)</v>
          </cell>
        </row>
        <row r="9097">
          <cell r="A9097" t="str">
            <v>adn_l</v>
          </cell>
          <cell r="B9097" t="str">
            <v>adn</v>
          </cell>
          <cell r="C9097" t="str">
            <v>Adenosine</v>
          </cell>
        </row>
        <row r="9098">
          <cell r="A9098" t="str">
            <v>ala__D_l</v>
          </cell>
          <cell r="B9098" t="str">
            <v>ala__D</v>
          </cell>
          <cell r="C9098" t="str">
            <v>D-Alanine</v>
          </cell>
        </row>
        <row r="9099">
          <cell r="A9099" t="str">
            <v>cs_a_deg1_l</v>
          </cell>
          <cell r="B9099" t="str">
            <v>cs_a_deg1</v>
          </cell>
          <cell r="C9099" t="str">
            <v>Chondroitin sulfate A (GalNAc4S-GlcA), degradation product 1</v>
          </cell>
        </row>
        <row r="9100">
          <cell r="A9100" t="str">
            <v>cs_a_deg4_l</v>
          </cell>
          <cell r="B9100" t="str">
            <v>cs_a_deg4</v>
          </cell>
          <cell r="C9100" t="str">
            <v>Chondroitin sulfate A (GalNAc4S-GlcA), degradation product 4</v>
          </cell>
        </row>
        <row r="9101">
          <cell r="A9101" t="str">
            <v>cs_a_deg5_l</v>
          </cell>
          <cell r="B9101" t="str">
            <v>cs_a_deg5</v>
          </cell>
          <cell r="C9101" t="str">
            <v>Chondroitin sulfate A (GalNAc4S-GlcA), degradation product 5</v>
          </cell>
        </row>
        <row r="9102">
          <cell r="A9102" t="str">
            <v>cs_b_deg1_l</v>
          </cell>
          <cell r="B9102" t="str">
            <v>cs_b_deg1</v>
          </cell>
          <cell r="C9102" t="str">
            <v>Chondroitin sulfate B / dermatan sulfate (IdoA2S-GalNAc4S), degradation product 1</v>
          </cell>
        </row>
        <row r="9103">
          <cell r="A9103" t="str">
            <v>cs_d_l</v>
          </cell>
          <cell r="B9103" t="str">
            <v>cs_d</v>
          </cell>
          <cell r="C9103" t="str">
            <v>Chondroitin sulfate D (GlcNAc6S-GlcA2S), free chain</v>
          </cell>
        </row>
        <row r="9104">
          <cell r="A9104" t="str">
            <v>cs_d_deg1_l</v>
          </cell>
          <cell r="B9104" t="str">
            <v>cs_d_deg1</v>
          </cell>
          <cell r="C9104" t="str">
            <v>Chondroitin sulfate D (GlcNAc6S-GlcA2S), degradation product 1</v>
          </cell>
        </row>
        <row r="9105">
          <cell r="A9105" t="str">
            <v>cs_e_deg5_l</v>
          </cell>
          <cell r="B9105" t="str">
            <v>cs_e_deg5</v>
          </cell>
          <cell r="C9105" t="str">
            <v>Chondroitin sulfate E (GalNAc4,6diS-GlcA), degradation product 5</v>
          </cell>
        </row>
        <row r="9106">
          <cell r="A9106" t="str">
            <v>cspg_c_l</v>
          </cell>
          <cell r="B9106" t="str">
            <v>cspg_c</v>
          </cell>
          <cell r="C9106" t="str">
            <v>Chondroitin sulfate C (GalNAc6S-GlcA) proteoglycan</v>
          </cell>
        </row>
        <row r="9107">
          <cell r="A9107" t="str">
            <v>cspg_d_l</v>
          </cell>
          <cell r="B9107" t="str">
            <v>cspg_d</v>
          </cell>
          <cell r="C9107" t="str">
            <v>Chondroitin sulfate D (GlcNAc6S-GlcA2S) proteoglycan</v>
          </cell>
        </row>
        <row r="9108">
          <cell r="A9108" t="str">
            <v>dad_2_l</v>
          </cell>
          <cell r="B9108" t="str">
            <v>dad_2</v>
          </cell>
          <cell r="C9108" t="str">
            <v>Deoxyadenosine</v>
          </cell>
        </row>
        <row r="9109">
          <cell r="A9109" t="str">
            <v>damp_l</v>
          </cell>
          <cell r="B9109" t="str">
            <v>damp</v>
          </cell>
          <cell r="C9109" t="str">
            <v>DAMP C10H12N5O6P</v>
          </cell>
        </row>
        <row r="9110">
          <cell r="A9110" t="str">
            <v>dcmp_l</v>
          </cell>
          <cell r="B9110" t="str">
            <v>dcmp</v>
          </cell>
          <cell r="C9110" t="str">
            <v>DCMP C9H12N3O7P</v>
          </cell>
        </row>
        <row r="9111">
          <cell r="A9111" t="str">
            <v>dhf_l</v>
          </cell>
          <cell r="B9111" t="str">
            <v>dhf</v>
          </cell>
          <cell r="C9111" t="str">
            <v>7,8-Dihydrofolate</v>
          </cell>
        </row>
        <row r="9112">
          <cell r="A9112" t="str">
            <v>f1a_l</v>
          </cell>
          <cell r="B9112" t="str">
            <v>f1a</v>
          </cell>
          <cell r="C9112" t="str">
            <v>F1alpha</v>
          </cell>
        </row>
        <row r="9113">
          <cell r="A9113" t="str">
            <v>gal_l</v>
          </cell>
          <cell r="B9113" t="str">
            <v>gal</v>
          </cell>
          <cell r="C9113" t="str">
            <v>D-Galactose</v>
          </cell>
        </row>
        <row r="9114">
          <cell r="A9114" t="str">
            <v>galside_hs_l</v>
          </cell>
          <cell r="B9114" t="str">
            <v>galside_hs</v>
          </cell>
          <cell r="C9114" t="str">
            <v>Galactocerebroside (homo sapiens)</v>
          </cell>
        </row>
        <row r="9115">
          <cell r="A9115" t="str">
            <v>h2o2_l</v>
          </cell>
          <cell r="B9115" t="str">
            <v>h2o2</v>
          </cell>
          <cell r="C9115" t="str">
            <v>Hydrogen peroxide</v>
          </cell>
        </row>
        <row r="9116">
          <cell r="A9116" t="str">
            <v>ha_deg1_l</v>
          </cell>
          <cell r="B9116" t="str">
            <v>ha_deg1</v>
          </cell>
          <cell r="C9116" t="str">
            <v>Hyaluronan degradation product 1</v>
          </cell>
        </row>
        <row r="9117">
          <cell r="A9117" t="str">
            <v>ha_pre1_l</v>
          </cell>
          <cell r="B9117" t="str">
            <v>ha_pre1</v>
          </cell>
          <cell r="C9117" t="str">
            <v>Hyaluronan biosynthesis, precursor 1</v>
          </cell>
        </row>
        <row r="9118">
          <cell r="A9118" t="str">
            <v>hs_deg1_l</v>
          </cell>
          <cell r="B9118" t="str">
            <v>hs_deg1</v>
          </cell>
          <cell r="C9118" t="str">
            <v>Heparan sulfate, degradation product 1</v>
          </cell>
        </row>
        <row r="9119">
          <cell r="A9119" t="str">
            <v>hs_deg10_l</v>
          </cell>
          <cell r="B9119" t="str">
            <v>hs_deg10</v>
          </cell>
          <cell r="C9119" t="str">
            <v>Heparan sulfate, degradation product 10</v>
          </cell>
        </row>
        <row r="9120">
          <cell r="A9120" t="str">
            <v>hs_deg11_l</v>
          </cell>
          <cell r="B9120" t="str">
            <v>hs_deg11</v>
          </cell>
          <cell r="C9120" t="str">
            <v>Heparan sulfate, degradation product 11</v>
          </cell>
        </row>
        <row r="9121">
          <cell r="A9121" t="str">
            <v>hs_deg14_l</v>
          </cell>
          <cell r="B9121" t="str">
            <v>hs_deg14</v>
          </cell>
          <cell r="C9121" t="str">
            <v>Heparan sulfate, degradation product 14</v>
          </cell>
        </row>
        <row r="9122">
          <cell r="A9122" t="str">
            <v>hs_deg22_l</v>
          </cell>
          <cell r="B9122" t="str">
            <v>hs_deg22</v>
          </cell>
          <cell r="C9122" t="str">
            <v>Heparan sulfate, degradation product 22</v>
          </cell>
        </row>
        <row r="9123">
          <cell r="A9123" t="str">
            <v>hs_deg3_l</v>
          </cell>
          <cell r="B9123" t="str">
            <v>hs_deg3</v>
          </cell>
          <cell r="C9123" t="str">
            <v>Heparan sulfate, degradation product 3</v>
          </cell>
        </row>
        <row r="9124">
          <cell r="A9124" t="str">
            <v>hs_deg4_l</v>
          </cell>
          <cell r="B9124" t="str">
            <v>hs_deg4</v>
          </cell>
          <cell r="C9124" t="str">
            <v>Heparan sulfate, degradation product 4</v>
          </cell>
        </row>
        <row r="9125">
          <cell r="A9125" t="str">
            <v>hs_deg8_l</v>
          </cell>
          <cell r="B9125" t="str">
            <v>hs_deg8</v>
          </cell>
          <cell r="C9125" t="str">
            <v>Heparan sulfate, degradation product 8</v>
          </cell>
        </row>
        <row r="9126">
          <cell r="A9126" t="str">
            <v>ins_l</v>
          </cell>
          <cell r="B9126" t="str">
            <v>ins</v>
          </cell>
          <cell r="C9126" t="str">
            <v>Inosine</v>
          </cell>
        </row>
        <row r="9127">
          <cell r="A9127" t="str">
            <v>ksi_l</v>
          </cell>
          <cell r="B9127" t="str">
            <v>ksi</v>
          </cell>
          <cell r="C9127" t="str">
            <v>Keratan sulfate I</v>
          </cell>
        </row>
        <row r="9128">
          <cell r="A9128" t="str">
            <v>ksi_deg15_l</v>
          </cell>
          <cell r="B9128" t="str">
            <v>ksi_deg15</v>
          </cell>
          <cell r="C9128" t="str">
            <v>Keratan sulfate I, degradation product 15</v>
          </cell>
        </row>
        <row r="9129">
          <cell r="A9129" t="str">
            <v>ksi_deg17_l</v>
          </cell>
          <cell r="B9129" t="str">
            <v>ksi_deg17</v>
          </cell>
          <cell r="C9129" t="str">
            <v>Keratan sulfate I, degradation product 17</v>
          </cell>
        </row>
        <row r="9130">
          <cell r="A9130" t="str">
            <v>ksi_deg18_l</v>
          </cell>
          <cell r="B9130" t="str">
            <v>ksi_deg18</v>
          </cell>
          <cell r="C9130" t="str">
            <v>Keratan sulfate I, degradation product 18</v>
          </cell>
        </row>
        <row r="9131">
          <cell r="A9131" t="str">
            <v>ksi_deg19_l</v>
          </cell>
          <cell r="B9131" t="str">
            <v>ksi_deg19</v>
          </cell>
          <cell r="C9131" t="str">
            <v>Keratan sulfate I, degradation product 19</v>
          </cell>
        </row>
        <row r="9132">
          <cell r="A9132" t="str">
            <v>ksi_deg21_l</v>
          </cell>
          <cell r="B9132" t="str">
            <v>ksi_deg21</v>
          </cell>
          <cell r="C9132" t="str">
            <v>Keratan sulfate I, degradation product 21</v>
          </cell>
        </row>
        <row r="9133">
          <cell r="A9133" t="str">
            <v>ksi_deg22_l</v>
          </cell>
          <cell r="B9133" t="str">
            <v>ksi_deg22</v>
          </cell>
          <cell r="C9133" t="str">
            <v>Keratan sulfate I, degradation product 22</v>
          </cell>
        </row>
        <row r="9134">
          <cell r="A9134" t="str">
            <v>ksi_deg24_l</v>
          </cell>
          <cell r="B9134" t="str">
            <v>ksi_deg24</v>
          </cell>
          <cell r="C9134" t="str">
            <v>Keratan sulfate I, degradation product 24</v>
          </cell>
        </row>
        <row r="9135">
          <cell r="A9135" t="str">
            <v>ksi_deg30_l</v>
          </cell>
          <cell r="B9135" t="str">
            <v>ksi_deg30</v>
          </cell>
          <cell r="C9135" t="str">
            <v>Keratan sulfate I, degradation product 30</v>
          </cell>
        </row>
        <row r="9136">
          <cell r="A9136" t="str">
            <v>ksi_deg31_l</v>
          </cell>
          <cell r="B9136" t="str">
            <v>ksi_deg31</v>
          </cell>
          <cell r="C9136" t="str">
            <v>Keratan sulfate I, degradation product 31</v>
          </cell>
        </row>
        <row r="9137">
          <cell r="A9137" t="str">
            <v>ksi_deg38_l</v>
          </cell>
          <cell r="B9137" t="str">
            <v>ksi_deg38</v>
          </cell>
          <cell r="C9137" t="str">
            <v>Keratan sulfate I, degradation product 38</v>
          </cell>
        </row>
        <row r="9138">
          <cell r="A9138" t="str">
            <v>ksi_deg39_l</v>
          </cell>
          <cell r="B9138" t="str">
            <v>ksi_deg39</v>
          </cell>
          <cell r="C9138" t="str">
            <v>Keratan sulfate I, degradation product 39</v>
          </cell>
        </row>
        <row r="9139">
          <cell r="A9139" t="str">
            <v>ksi_deg4_l</v>
          </cell>
          <cell r="B9139" t="str">
            <v>ksi_deg4</v>
          </cell>
          <cell r="C9139" t="str">
            <v>Keratan sulfate I, degradation product 4</v>
          </cell>
        </row>
        <row r="9140">
          <cell r="A9140" t="str">
            <v>ksi_deg6_l</v>
          </cell>
          <cell r="B9140" t="str">
            <v>ksi_deg6</v>
          </cell>
          <cell r="C9140" t="str">
            <v>Keratan sulfate I, degradation product 6</v>
          </cell>
        </row>
        <row r="9141">
          <cell r="A9141" t="str">
            <v>ksii_core2_l</v>
          </cell>
          <cell r="B9141" t="str">
            <v>ksii_core2</v>
          </cell>
          <cell r="C9141" t="str">
            <v>Keratan sulfate II (core 2-linked)</v>
          </cell>
        </row>
        <row r="9142">
          <cell r="A9142" t="str">
            <v>ksii_core2_deg3_l</v>
          </cell>
          <cell r="B9142" t="str">
            <v>ksii_core2_deg3</v>
          </cell>
          <cell r="C9142" t="str">
            <v>Keratan sulfate II (core 2-linked), degradation product 3</v>
          </cell>
        </row>
        <row r="9143">
          <cell r="A9143" t="str">
            <v>ksii_core2_deg4_l</v>
          </cell>
          <cell r="B9143" t="str">
            <v>ksii_core2_deg4</v>
          </cell>
          <cell r="C9143" t="str">
            <v>Keratan sulfate II (core 2-linked), degradation product 4</v>
          </cell>
        </row>
        <row r="9144">
          <cell r="A9144" t="str">
            <v>ksii_core2_deg5_l</v>
          </cell>
          <cell r="B9144" t="str">
            <v>ksii_core2_deg5</v>
          </cell>
          <cell r="C9144" t="str">
            <v>Keratan sulfate II (core 2-linked), degradation product 5</v>
          </cell>
        </row>
        <row r="9145">
          <cell r="A9145" t="str">
            <v>ksii_core2_deg7_l</v>
          </cell>
          <cell r="B9145" t="str">
            <v>ksii_core2_deg7</v>
          </cell>
          <cell r="C9145" t="str">
            <v>Keratan sulfate II (core 2-linked), degradation product 7</v>
          </cell>
        </row>
        <row r="9146">
          <cell r="A9146" t="str">
            <v>ksii_core4_deg4_l</v>
          </cell>
          <cell r="B9146" t="str">
            <v>ksii_core4_deg4</v>
          </cell>
          <cell r="C9146" t="str">
            <v>Keratan sulfate II (core 4-linked), degradation product 4</v>
          </cell>
        </row>
        <row r="9147">
          <cell r="A9147" t="str">
            <v>m2mn_l</v>
          </cell>
          <cell r="B9147" t="str">
            <v>m2mn</v>
          </cell>
          <cell r="C9147" t="str">
            <v>(alpha-D-mannosyl)2-beta-D-mannosyl-N-acetylglucosamine</v>
          </cell>
        </row>
        <row r="9148">
          <cell r="A9148" t="str">
            <v>malttr_l</v>
          </cell>
          <cell r="B9148" t="str">
            <v>malttr</v>
          </cell>
          <cell r="C9148" t="str">
            <v>Maltotriose C18H32O16</v>
          </cell>
        </row>
        <row r="9149">
          <cell r="A9149" t="str">
            <v>meoh_l</v>
          </cell>
          <cell r="B9149" t="str">
            <v>meoh</v>
          </cell>
          <cell r="C9149" t="str">
            <v>Methanol</v>
          </cell>
        </row>
        <row r="9150">
          <cell r="A9150" t="str">
            <v>n2m2mn_l</v>
          </cell>
          <cell r="B9150" t="str">
            <v>n2m2mn</v>
          </cell>
          <cell r="C9150" t="str">
            <v>De-Fuc, reducing GlcNAc removed, de-Sia, de-Gal form of PA6 (w/o peptide linkage)</v>
          </cell>
        </row>
        <row r="9151">
          <cell r="A9151" t="str">
            <v>n2m2nmasn_l</v>
          </cell>
          <cell r="B9151" t="str">
            <v>n2m2nmasn</v>
          </cell>
          <cell r="C9151" t="str">
            <v>N-Acetyl-beta-D-glucosaminyl-1,2-alpha-D-mannosyl-1,3-(N-acetyl-beta-D-glucosaminyl-1,2-alpha-D-mannosyl-1,6)-(N-acetyl-beta-D-glucosaminyl-1,4)-beta-D-mannosyl-1,4-N-acetyl-beta-D-glucosaminyl-R</v>
          </cell>
        </row>
        <row r="9152">
          <cell r="A9152" t="str">
            <v>pi_l</v>
          </cell>
          <cell r="B9152" t="str">
            <v>pi</v>
          </cell>
          <cell r="C9152" t="str">
            <v>Phosphate</v>
          </cell>
        </row>
        <row r="9153">
          <cell r="A9153" t="str">
            <v>s2l2n2m2m_l</v>
          </cell>
          <cell r="B9153" t="str">
            <v>s2l2n2m2m</v>
          </cell>
          <cell r="C9153" t="str">
            <v>De-Fuc form of PA6 (w/o peptide linkage)</v>
          </cell>
        </row>
        <row r="9154">
          <cell r="A9154" t="str">
            <v>s2l2n2m2masn_l</v>
          </cell>
          <cell r="B9154" t="str">
            <v>s2l2n2m2masn</v>
          </cell>
          <cell r="C9154" t="str">
            <v>De-Fuc form of PA6</v>
          </cell>
        </row>
        <row r="9155">
          <cell r="A9155" t="str">
            <v>10fthf6glu_m</v>
          </cell>
          <cell r="B9155" t="str">
            <v>10fthf6glu</v>
          </cell>
          <cell r="C9155" t="str">
            <v>10-formyltetrahydrofolate-[Glu](6)</v>
          </cell>
        </row>
        <row r="9156">
          <cell r="A9156" t="str">
            <v>1a2425thvitd2_m</v>
          </cell>
          <cell r="B9156" t="str">
            <v>1a2425thvitd2</v>
          </cell>
          <cell r="C9156" t="str">
            <v>1-alpha,24R,25-Trihydroxyvitamin D2</v>
          </cell>
        </row>
        <row r="9157">
          <cell r="A9157" t="str">
            <v>25hvitd3_m</v>
          </cell>
          <cell r="B9157" t="str">
            <v>25hvitd3</v>
          </cell>
          <cell r="C9157" t="str">
            <v>25-Hydroxyvitamin D3</v>
          </cell>
        </row>
        <row r="9158">
          <cell r="A9158" t="str">
            <v>2mbcoa_m</v>
          </cell>
          <cell r="B9158" t="str">
            <v>2mbcoa</v>
          </cell>
          <cell r="C9158" t="str">
            <v>2-Methylbutanoyl-CoA</v>
          </cell>
        </row>
        <row r="9159">
          <cell r="A9159" t="str">
            <v>2mop_m</v>
          </cell>
          <cell r="B9159" t="str">
            <v>2mop</v>
          </cell>
          <cell r="C9159" t="str">
            <v>2-Methyl-3-oxopropanoate</v>
          </cell>
        </row>
        <row r="9160">
          <cell r="A9160" t="str">
            <v>3aib__D_m</v>
          </cell>
          <cell r="B9160" t="str">
            <v>3aib__D</v>
          </cell>
          <cell r="C9160" t="str">
            <v>D-3-Amino-isobutanoate</v>
          </cell>
        </row>
        <row r="9161">
          <cell r="A9161" t="str">
            <v>3dpdhb_m</v>
          </cell>
          <cell r="B9161" t="str">
            <v>3dpdhb</v>
          </cell>
          <cell r="C9161" t="str">
            <v>3-Decaprenyl-4,5-dihdydroxybenzoate</v>
          </cell>
        </row>
        <row r="9162">
          <cell r="A9162" t="str">
            <v>3hmbcoa_m</v>
          </cell>
          <cell r="B9162" t="str">
            <v>3hmbcoa</v>
          </cell>
          <cell r="C9162" t="str">
            <v>(S)-3-Hydroxy-2-methylbutyryl-CoA</v>
          </cell>
        </row>
        <row r="9163">
          <cell r="A9163" t="str">
            <v>4ppan_m</v>
          </cell>
          <cell r="B9163" t="str">
            <v>4ppan</v>
          </cell>
          <cell r="C9163" t="str">
            <v>D-4'-Phosphopantothenate</v>
          </cell>
        </row>
        <row r="9164">
          <cell r="A9164" t="str">
            <v>5hoxindact_m</v>
          </cell>
          <cell r="B9164" t="str">
            <v>5hoxindact</v>
          </cell>
          <cell r="C9164" t="str">
            <v>5-Hydroxyindoleacetaldehyde</v>
          </cell>
        </row>
        <row r="9165">
          <cell r="A9165" t="str">
            <v>5thf_m</v>
          </cell>
          <cell r="B9165" t="str">
            <v>5thf</v>
          </cell>
          <cell r="C9165" t="str">
            <v>Pentaglutamyl folate (THF)</v>
          </cell>
        </row>
        <row r="9166">
          <cell r="A9166" t="str">
            <v>Rtotal2crn_m</v>
          </cell>
          <cell r="B9166" t="str">
            <v>Rtotal2crn</v>
          </cell>
          <cell r="C9166" t="str">
            <v>Rtotal2crn c</v>
          </cell>
        </row>
        <row r="9167">
          <cell r="A9167" t="str">
            <v>Rtotal3coa_m</v>
          </cell>
          <cell r="B9167" t="str">
            <v>Rtotal3coa</v>
          </cell>
          <cell r="C9167" t="str">
            <v>Rtotal3coa c</v>
          </cell>
        </row>
        <row r="9168">
          <cell r="A9168" t="str">
            <v>Rtotalcoa_m</v>
          </cell>
          <cell r="B9168" t="str">
            <v>Rtotalcoa</v>
          </cell>
          <cell r="C9168" t="str">
            <v>Rtotalcoa c</v>
          </cell>
        </row>
        <row r="9169">
          <cell r="A9169" t="str">
            <v>adocbl_m</v>
          </cell>
          <cell r="B9169" t="str">
            <v>adocbl</v>
          </cell>
          <cell r="C9169" t="str">
            <v>Adenosylcobalamin</v>
          </cell>
        </row>
        <row r="9170">
          <cell r="A9170" t="str">
            <v>arachcoa_m</v>
          </cell>
          <cell r="B9170" t="str">
            <v>arachcoa</v>
          </cell>
          <cell r="C9170" t="str">
            <v>Arachidyl coenzyme A</v>
          </cell>
        </row>
        <row r="9171">
          <cell r="A9171" t="str">
            <v>bamppald_m</v>
          </cell>
          <cell r="B9171" t="str">
            <v>bamppald</v>
          </cell>
          <cell r="C9171" t="str">
            <v>Beta-Aminopropion aldehyde</v>
          </cell>
        </row>
        <row r="9172">
          <cell r="A9172" t="str">
            <v>betald_m</v>
          </cell>
          <cell r="B9172" t="str">
            <v>betald</v>
          </cell>
          <cell r="C9172" t="str">
            <v>Betaine aldehyde</v>
          </cell>
        </row>
        <row r="9173">
          <cell r="A9173" t="str">
            <v>bhb_m</v>
          </cell>
          <cell r="B9173" t="str">
            <v>bhb</v>
          </cell>
          <cell r="C9173" t="str">
            <v>(R)-3-Hydroxybutanoate</v>
          </cell>
        </row>
        <row r="9174">
          <cell r="A9174" t="str">
            <v>cdp_m</v>
          </cell>
          <cell r="B9174" t="str">
            <v>cdp</v>
          </cell>
          <cell r="C9174" t="str">
            <v>CDP C9H12N3O11P2</v>
          </cell>
        </row>
        <row r="9175">
          <cell r="A9175" t="str">
            <v>citmcoa__L_m</v>
          </cell>
          <cell r="B9175" t="str">
            <v>citmcoa__L</v>
          </cell>
          <cell r="C9175" t="str">
            <v>L-Citramalyl-CoA</v>
          </cell>
        </row>
        <row r="9176">
          <cell r="A9176" t="str">
            <v>crtsl_m</v>
          </cell>
          <cell r="B9176" t="str">
            <v>crtsl</v>
          </cell>
          <cell r="C9176" t="str">
            <v>Crtsl c</v>
          </cell>
        </row>
        <row r="9177">
          <cell r="A9177" t="str">
            <v>crtstrn_m</v>
          </cell>
          <cell r="B9177" t="str">
            <v>crtstrn</v>
          </cell>
          <cell r="C9177" t="str">
            <v>Corticosterone</v>
          </cell>
        </row>
        <row r="9178">
          <cell r="A9178" t="str">
            <v>dadp_m</v>
          </cell>
          <cell r="B9178" t="str">
            <v>dadp</v>
          </cell>
          <cell r="C9178" t="str">
            <v>DADP C10H12N5O9P2</v>
          </cell>
        </row>
        <row r="9179">
          <cell r="A9179" t="str">
            <v>dcdp_m</v>
          </cell>
          <cell r="B9179" t="str">
            <v>dcdp</v>
          </cell>
          <cell r="C9179" t="str">
            <v>DCDP C9H12N3O10P2</v>
          </cell>
        </row>
        <row r="9180">
          <cell r="A9180" t="str">
            <v>dcmp_m</v>
          </cell>
          <cell r="B9180" t="str">
            <v>dcmp</v>
          </cell>
          <cell r="C9180" t="str">
            <v>DCMP C9H12N3O7P</v>
          </cell>
        </row>
        <row r="9181">
          <cell r="A9181" t="str">
            <v>dcsptn1coa_m</v>
          </cell>
          <cell r="B9181" t="str">
            <v>dcsptn1coa</v>
          </cell>
          <cell r="C9181" t="str">
            <v>Docosa-4,7,10,13,16-pentaenoyl coenzyme A</v>
          </cell>
        </row>
        <row r="9182">
          <cell r="A9182" t="str">
            <v>dcsptn1crn_m</v>
          </cell>
          <cell r="B9182" t="str">
            <v>dcsptn1crn</v>
          </cell>
          <cell r="C9182" t="str">
            <v>Docosa-4,7,10,13,16-pentaenoyl carnitine</v>
          </cell>
        </row>
        <row r="9183">
          <cell r="A9183" t="str">
            <v>didp_m</v>
          </cell>
          <cell r="B9183" t="str">
            <v>didp</v>
          </cell>
          <cell r="C9183" t="str">
            <v>DIDP; 2'-deoxyinosine-5'-diphosphate(3-)</v>
          </cell>
        </row>
        <row r="9184">
          <cell r="A9184" t="str">
            <v>dlnlcgcoa_m</v>
          </cell>
          <cell r="B9184" t="str">
            <v>dlnlcgcoa</v>
          </cell>
          <cell r="C9184" t="str">
            <v>Dihomo-gamma-linolenyl coenzyme A</v>
          </cell>
        </row>
        <row r="9185">
          <cell r="A9185" t="str">
            <v>dlnlcgcrn_m</v>
          </cell>
          <cell r="B9185" t="str">
            <v>dlnlcgcrn</v>
          </cell>
          <cell r="C9185" t="str">
            <v>Dihomo-gamma-linolenyl carnitine</v>
          </cell>
        </row>
        <row r="9186">
          <cell r="A9186" t="str">
            <v>dmhptcrn_m</v>
          </cell>
          <cell r="B9186" t="str">
            <v>dmhptcrn</v>
          </cell>
          <cell r="C9186" t="str">
            <v>2,6 dimethylheptanoyl carnitine</v>
          </cell>
        </row>
        <row r="9187">
          <cell r="A9187" t="str">
            <v>eicostetcrn_m</v>
          </cell>
          <cell r="B9187" t="str">
            <v>eicostetcrn</v>
          </cell>
          <cell r="C9187" t="str">
            <v>Eicosatetranoyl carnitine</v>
          </cell>
        </row>
        <row r="9188">
          <cell r="A9188" t="str">
            <v>elaidcrn_m</v>
          </cell>
          <cell r="B9188" t="str">
            <v>elaidcrn</v>
          </cell>
          <cell r="C9188" t="str">
            <v>Elaidic carnitine</v>
          </cell>
        </row>
        <row r="9189">
          <cell r="A9189" t="str">
            <v>glx_m</v>
          </cell>
          <cell r="B9189" t="str">
            <v>glx</v>
          </cell>
          <cell r="C9189" t="str">
            <v>Glyoxylate</v>
          </cell>
        </row>
        <row r="9190">
          <cell r="A9190" t="str">
            <v>glyb_m</v>
          </cell>
          <cell r="B9190" t="str">
            <v>glyb</v>
          </cell>
          <cell r="C9190" t="str">
            <v>Glycine betaine</v>
          </cell>
        </row>
        <row r="9191">
          <cell r="A9191" t="str">
            <v>h2co3_m</v>
          </cell>
          <cell r="B9191" t="str">
            <v>h2co3</v>
          </cell>
          <cell r="C9191" t="str">
            <v>Carbonic acid</v>
          </cell>
        </row>
        <row r="9192">
          <cell r="A9192" t="str">
            <v>hdcoa_m</v>
          </cell>
          <cell r="B9192" t="str">
            <v>hdcoa</v>
          </cell>
          <cell r="C9192" t="str">
            <v>Hexadecenoyl-CoA (n-C16:1CoA)</v>
          </cell>
        </row>
        <row r="9193">
          <cell r="A9193" t="str">
            <v>hexccrn_m</v>
          </cell>
          <cell r="B9193" t="str">
            <v>hexccrn</v>
          </cell>
          <cell r="C9193" t="str">
            <v>Hexacosanoyl carnitine</v>
          </cell>
        </row>
        <row r="9194">
          <cell r="A9194" t="str">
            <v>hpyr_m</v>
          </cell>
          <cell r="B9194" t="str">
            <v>hpyr</v>
          </cell>
          <cell r="C9194" t="str">
            <v>Hydroxypyruvate</v>
          </cell>
        </row>
        <row r="9195">
          <cell r="A9195" t="str">
            <v>ins_m</v>
          </cell>
          <cell r="B9195" t="str">
            <v>ins</v>
          </cell>
          <cell r="C9195" t="str">
            <v>Inosine</v>
          </cell>
        </row>
        <row r="9196">
          <cell r="A9196" t="str">
            <v>ivcoa_m</v>
          </cell>
          <cell r="B9196" t="str">
            <v>ivcoa</v>
          </cell>
          <cell r="C9196" t="str">
            <v>Isovaleryl-CoA</v>
          </cell>
        </row>
        <row r="9197">
          <cell r="A9197" t="str">
            <v>lgnccoa_m</v>
          </cell>
          <cell r="B9197" t="str">
            <v>lgnccoa</v>
          </cell>
          <cell r="C9197" t="str">
            <v>Lignocericyl coenzyme A</v>
          </cell>
        </row>
        <row r="9198">
          <cell r="A9198" t="str">
            <v>lgnccrn_m</v>
          </cell>
          <cell r="B9198" t="str">
            <v>lgnccrn</v>
          </cell>
          <cell r="C9198" t="str">
            <v>Lignoceryl carnitine</v>
          </cell>
        </row>
        <row r="9199">
          <cell r="A9199" t="str">
            <v>lnlccrn_m</v>
          </cell>
          <cell r="B9199" t="str">
            <v>lnlccrn</v>
          </cell>
          <cell r="C9199" t="str">
            <v>Linoleyl carnitine</v>
          </cell>
        </row>
        <row r="9200">
          <cell r="A9200" t="str">
            <v>mmcoa__S_m</v>
          </cell>
          <cell r="B9200" t="str">
            <v>mmcoa__S</v>
          </cell>
          <cell r="C9200" t="str">
            <v>(S)-Methylmalonyl-CoA</v>
          </cell>
        </row>
        <row r="9201">
          <cell r="A9201" t="str">
            <v>nrvnccoa_m</v>
          </cell>
          <cell r="B9201" t="str">
            <v>nrvnccoa</v>
          </cell>
          <cell r="C9201" t="str">
            <v>Nervonyl coenzyme A</v>
          </cell>
        </row>
        <row r="9202">
          <cell r="A9202" t="str">
            <v>pcreat_m</v>
          </cell>
          <cell r="B9202" t="str">
            <v>pcreat</v>
          </cell>
          <cell r="C9202" t="str">
            <v>Phosphocreatine</v>
          </cell>
        </row>
        <row r="9203">
          <cell r="A9203" t="str">
            <v>pe_hs_m</v>
          </cell>
          <cell r="B9203" t="str">
            <v>pe_hs</v>
          </cell>
          <cell r="C9203" t="str">
            <v>Phosphatidylethanolamine (homo sapiens)</v>
          </cell>
        </row>
        <row r="9204">
          <cell r="A9204" t="str">
            <v>pnto__R_m</v>
          </cell>
          <cell r="B9204" t="str">
            <v>pnto__R</v>
          </cell>
          <cell r="C9204" t="str">
            <v>(R)-Pantothenate</v>
          </cell>
        </row>
        <row r="9205">
          <cell r="A9205" t="str">
            <v>ps_hs_m</v>
          </cell>
          <cell r="B9205" t="str">
            <v>ps_hs</v>
          </cell>
          <cell r="C9205" t="str">
            <v>Phosphatidylserine (homo sapiens)</v>
          </cell>
        </row>
        <row r="9206">
          <cell r="A9206" t="str">
            <v>sarcs_m</v>
          </cell>
          <cell r="B9206" t="str">
            <v>sarcs</v>
          </cell>
          <cell r="C9206" t="str">
            <v>Sarcosine C3H7NO2</v>
          </cell>
        </row>
        <row r="9207">
          <cell r="A9207" t="str">
            <v>strdnccoa_m</v>
          </cell>
          <cell r="B9207" t="str">
            <v>strdnccoa</v>
          </cell>
          <cell r="C9207" t="str">
            <v>Stearidonyl coenzyme A</v>
          </cell>
        </row>
        <row r="9208">
          <cell r="A9208" t="str">
            <v>sucsal_m</v>
          </cell>
          <cell r="B9208" t="str">
            <v>sucsal</v>
          </cell>
          <cell r="C9208" t="str">
            <v>Succinic semialdehyde</v>
          </cell>
        </row>
        <row r="9209">
          <cell r="A9209" t="str">
            <v>t2m26dcoa_m</v>
          </cell>
          <cell r="B9209" t="str">
            <v>t2m26dcoa</v>
          </cell>
          <cell r="C9209" t="str">
            <v>Trans-2-Methyl-5-isopropylhexa-2,5-dienoyl-CoA</v>
          </cell>
        </row>
        <row r="9210">
          <cell r="A9210" t="str">
            <v>tcynt_m</v>
          </cell>
          <cell r="B9210" t="str">
            <v>tcynt</v>
          </cell>
          <cell r="C9210" t="str">
            <v>Thiocyanate</v>
          </cell>
        </row>
        <row r="9211">
          <cell r="A9211" t="str">
            <v>tdcoa_m</v>
          </cell>
          <cell r="B9211" t="str">
            <v>tdcoa</v>
          </cell>
          <cell r="C9211" t="str">
            <v>Tetradecanoyl-CoA (n-C14:0CoA)</v>
          </cell>
        </row>
        <row r="9212">
          <cell r="A9212" t="str">
            <v>tetpent3coa_m</v>
          </cell>
          <cell r="B9212" t="str">
            <v>tetpent3coa</v>
          </cell>
          <cell r="C9212" t="str">
            <v>Tetracosapentaenoyl coenzyme A, n-3</v>
          </cell>
        </row>
        <row r="9213">
          <cell r="A9213" t="str">
            <v>vitd2_m</v>
          </cell>
          <cell r="B9213" t="str">
            <v>vitd2</v>
          </cell>
          <cell r="C9213" t="str">
            <v>Vitamin D2; ergocalciferol</v>
          </cell>
        </row>
        <row r="9214">
          <cell r="A9214" t="str">
            <v>xol7ah2al_m</v>
          </cell>
          <cell r="B9214" t="str">
            <v>xol7ah2al</v>
          </cell>
          <cell r="C9214" t="str">
            <v>3alpha,7alpha-Dihydroxy-5beta-cholestan-26-al</v>
          </cell>
        </row>
        <row r="9215">
          <cell r="A9215" t="str">
            <v>13_cis_retn_n</v>
          </cell>
          <cell r="B9215" t="str">
            <v>13_cis_retn</v>
          </cell>
          <cell r="C9215" t="str">
            <v>13-cis-retinoate</v>
          </cell>
        </row>
        <row r="9216">
          <cell r="A9216" t="str">
            <v>Ndmelys_n</v>
          </cell>
          <cell r="B9216" t="str">
            <v>Ndmelys</v>
          </cell>
          <cell r="C9216" t="str">
            <v>Protein N6,N6-dimethyl-L-lysine</v>
          </cell>
        </row>
        <row r="9217">
          <cell r="A9217" t="str">
            <v>chol_n</v>
          </cell>
          <cell r="B9217" t="str">
            <v>chol</v>
          </cell>
          <cell r="C9217" t="str">
            <v>Choline C5H14NO</v>
          </cell>
        </row>
        <row r="9218">
          <cell r="A9218" t="str">
            <v>cmpacna_n</v>
          </cell>
          <cell r="B9218" t="str">
            <v>cmpacna</v>
          </cell>
          <cell r="C9218" t="str">
            <v>CMP-N-acetylneuraminate</v>
          </cell>
        </row>
        <row r="9219">
          <cell r="A9219" t="str">
            <v>dctp_n</v>
          </cell>
          <cell r="B9219" t="str">
            <v>dctp</v>
          </cell>
          <cell r="C9219" t="str">
            <v>DCTP C9H12N3O13P3</v>
          </cell>
        </row>
        <row r="9220">
          <cell r="A9220" t="str">
            <v>dtdp_n</v>
          </cell>
          <cell r="B9220" t="str">
            <v>dtdp</v>
          </cell>
          <cell r="C9220" t="str">
            <v>DTDP C10H13N2O11P2</v>
          </cell>
        </row>
        <row r="9221">
          <cell r="A9221" t="str">
            <v>gmp_n</v>
          </cell>
          <cell r="B9221" t="str">
            <v>gmp</v>
          </cell>
          <cell r="C9221" t="str">
            <v>GMP C10H12N5O8P</v>
          </cell>
        </row>
        <row r="9222">
          <cell r="A9222" t="str">
            <v>hretn_n</v>
          </cell>
          <cell r="B9222" t="str">
            <v>hretn</v>
          </cell>
          <cell r="C9222" t="str">
            <v>4 hydroxy retinoic acid</v>
          </cell>
        </row>
        <row r="9223">
          <cell r="A9223" t="str">
            <v>lys__L_n</v>
          </cell>
          <cell r="B9223" t="str">
            <v>lys__L</v>
          </cell>
          <cell r="C9223" t="str">
            <v>L-Lysine</v>
          </cell>
        </row>
        <row r="9224">
          <cell r="A9224" t="str">
            <v>mi14p_n</v>
          </cell>
          <cell r="B9224" t="str">
            <v>mi14p</v>
          </cell>
          <cell r="C9224" t="str">
            <v>1D-myo-Inositol 1,4-bisphosphate</v>
          </cell>
        </row>
        <row r="9225">
          <cell r="A9225" t="str">
            <v>nadp_n</v>
          </cell>
          <cell r="B9225" t="str">
            <v>nadp</v>
          </cell>
          <cell r="C9225" t="str">
            <v>Nicotinamide adenine dinucleotide phosphate</v>
          </cell>
        </row>
        <row r="9226">
          <cell r="A9226" t="str">
            <v>o2_n</v>
          </cell>
          <cell r="B9226" t="str">
            <v>o2</v>
          </cell>
          <cell r="C9226" t="str">
            <v>O2 O2</v>
          </cell>
        </row>
        <row r="9227">
          <cell r="A9227" t="str">
            <v>oretn_n</v>
          </cell>
          <cell r="B9227" t="str">
            <v>oretn</v>
          </cell>
          <cell r="C9227" t="str">
            <v>4-oxo-retonoic acid</v>
          </cell>
        </row>
        <row r="9228">
          <cell r="A9228" t="str">
            <v>pail3p_hs_n</v>
          </cell>
          <cell r="B9228" t="str">
            <v>pail3p_hs</v>
          </cell>
          <cell r="C9228" t="str">
            <v>1-Phosphatidyl-1D-myo-inositol 3-phosphate (Homo sapiens)</v>
          </cell>
        </row>
        <row r="9229">
          <cell r="A9229" t="str">
            <v>pail45p_hs_n</v>
          </cell>
          <cell r="B9229" t="str">
            <v>pail45p_hs</v>
          </cell>
          <cell r="C9229" t="str">
            <v>Phosphatidylinositol 4,5-bisphosphate (Homo sapiens)</v>
          </cell>
        </row>
        <row r="9230">
          <cell r="A9230" t="str">
            <v>pail5p_hs_n</v>
          </cell>
          <cell r="B9230" t="str">
            <v>pail5p_hs</v>
          </cell>
          <cell r="C9230" t="str">
            <v>1-Phosphatidyl-1D-myo-inositol 5-phosphate (Homo sapiens)</v>
          </cell>
        </row>
        <row r="9231">
          <cell r="A9231" t="str">
            <v>seahcys_n</v>
          </cell>
          <cell r="B9231" t="str">
            <v>seahcys</v>
          </cell>
          <cell r="C9231" t="str">
            <v>Se-Adenosylselenohomocysteine</v>
          </cell>
        </row>
        <row r="9232">
          <cell r="A9232" t="str">
            <v>11docrtstrn_r</v>
          </cell>
          <cell r="B9232" t="str">
            <v>11docrtstrn</v>
          </cell>
          <cell r="C9232" t="str">
            <v>11-Deoxycorticosterone</v>
          </cell>
        </row>
        <row r="9233">
          <cell r="A9233" t="str">
            <v>13_cis_retnglc_r</v>
          </cell>
          <cell r="B9233" t="str">
            <v>13_cis_retnglc</v>
          </cell>
          <cell r="C9233" t="str">
            <v>13-cis-retinoyl glucuronide</v>
          </cell>
        </row>
        <row r="9234">
          <cell r="A9234" t="str">
            <v>4mptnl_r</v>
          </cell>
          <cell r="B9234" t="str">
            <v>4mptnl</v>
          </cell>
          <cell r="C9234" t="str">
            <v>4-Methylpentanal</v>
          </cell>
        </row>
        <row r="9235">
          <cell r="A9235" t="str">
            <v>5adtststerone_r</v>
          </cell>
          <cell r="B9235" t="str">
            <v>5adtststerone</v>
          </cell>
          <cell r="C9235" t="str">
            <v>5alpha-Dihydrotestosterone</v>
          </cell>
        </row>
        <row r="9236">
          <cell r="A9236" t="str">
            <v>Ntmelys_r</v>
          </cell>
          <cell r="B9236" t="str">
            <v>Ntmelys</v>
          </cell>
          <cell r="C9236" t="str">
            <v>Protein N6,N6,N6-trimethyl-L-lysine</v>
          </cell>
        </row>
        <row r="9237">
          <cell r="A9237" t="str">
            <v>accoa_r</v>
          </cell>
          <cell r="B9237" t="str">
            <v>accoa</v>
          </cell>
          <cell r="C9237" t="str">
            <v>Acetyl-CoA</v>
          </cell>
        </row>
        <row r="9238">
          <cell r="A9238" t="str">
            <v>amp_r</v>
          </cell>
          <cell r="B9238" t="str">
            <v>amp</v>
          </cell>
          <cell r="C9238" t="str">
            <v>AMP C10H12N5O7P</v>
          </cell>
        </row>
        <row r="9239">
          <cell r="A9239" t="str">
            <v>andrstndn_r</v>
          </cell>
          <cell r="B9239" t="str">
            <v>andrstndn</v>
          </cell>
          <cell r="C9239" t="str">
            <v>Androst-4-ene-3,17-dione</v>
          </cell>
        </row>
        <row r="9240">
          <cell r="A9240" t="str">
            <v>andrstrn_r</v>
          </cell>
          <cell r="B9240" t="str">
            <v>andrstrn</v>
          </cell>
          <cell r="C9240" t="str">
            <v>Andrstrn c</v>
          </cell>
        </row>
        <row r="9241">
          <cell r="A9241" t="str">
            <v>cbp_r</v>
          </cell>
          <cell r="B9241" t="str">
            <v>cbp</v>
          </cell>
          <cell r="C9241" t="str">
            <v>Carbamoyl phosphate</v>
          </cell>
        </row>
        <row r="9242">
          <cell r="A9242" t="str">
            <v>cholcoas_r</v>
          </cell>
          <cell r="B9242" t="str">
            <v>cholcoas</v>
          </cell>
          <cell r="C9242" t="str">
            <v>3alpha,7alpha,12alpha-Trihydroxy-5beta-cholestanoyl-CoA(S)</v>
          </cell>
        </row>
        <row r="9243">
          <cell r="A9243" t="str">
            <v>chsterol_r</v>
          </cell>
          <cell r="B9243" t="str">
            <v>chsterol</v>
          </cell>
          <cell r="C9243" t="str">
            <v>Chsterol c</v>
          </cell>
        </row>
        <row r="9244">
          <cell r="A9244" t="str">
            <v>coke_r</v>
          </cell>
          <cell r="B9244" t="str">
            <v>coke</v>
          </cell>
          <cell r="C9244" t="str">
            <v>Cocaine</v>
          </cell>
        </row>
        <row r="9245">
          <cell r="A9245" t="str">
            <v>dheas_r</v>
          </cell>
          <cell r="B9245" t="str">
            <v>dheas</v>
          </cell>
          <cell r="C9245" t="str">
            <v>Dehydroepiandrosterone sulfate</v>
          </cell>
        </row>
        <row r="9246">
          <cell r="A9246" t="str">
            <v>dolp__L_r</v>
          </cell>
          <cell r="B9246" t="str">
            <v>dolp__L</v>
          </cell>
          <cell r="C9246" t="str">
            <v>Dolichol phosphate, human liver homolog</v>
          </cell>
        </row>
        <row r="9247">
          <cell r="A9247" t="str">
            <v>ebastine_r</v>
          </cell>
          <cell r="B9247" t="str">
            <v>ebastine</v>
          </cell>
          <cell r="C9247" t="str">
            <v>Ebastine c</v>
          </cell>
        </row>
        <row r="9248">
          <cell r="A9248" t="str">
            <v>emgacpail_hs_r</v>
          </cell>
          <cell r="B9248" t="str">
            <v>emgacpail_hs</v>
          </cell>
          <cell r="C9248" t="str">
            <v>Phosphoethanolaminyl-mannosyl-glucosylaminyl-acylphosphatidylinositol (H5)</v>
          </cell>
        </row>
        <row r="9249">
          <cell r="A9249" t="str">
            <v>estradiol_r</v>
          </cell>
          <cell r="B9249" t="str">
            <v>estradiol</v>
          </cell>
          <cell r="C9249" t="str">
            <v>Estradiol c</v>
          </cell>
        </row>
        <row r="9250">
          <cell r="A9250" t="str">
            <v>estriolglc_r</v>
          </cell>
          <cell r="B9250" t="str">
            <v>estriolglc</v>
          </cell>
          <cell r="C9250" t="str">
            <v>16-Glucuronide-estriol</v>
          </cell>
        </row>
        <row r="9251">
          <cell r="A9251" t="str">
            <v>estroneglc_r</v>
          </cell>
          <cell r="B9251" t="str">
            <v>estroneglc</v>
          </cell>
          <cell r="C9251" t="str">
            <v>Estrone 3-glucosiduronic acid</v>
          </cell>
        </row>
        <row r="9252">
          <cell r="A9252" t="str">
            <v>fadh2_r</v>
          </cell>
          <cell r="B9252" t="str">
            <v>fadh2</v>
          </cell>
          <cell r="C9252" t="str">
            <v>Flavin adenine dinucleotide reduced</v>
          </cell>
        </row>
        <row r="9253">
          <cell r="A9253" t="str">
            <v>g1m7masnB_r</v>
          </cell>
          <cell r="B9253" t="str">
            <v>g1m7masnB</v>
          </cell>
          <cell r="C9253" t="str">
            <v>Glucosyl-(alpha-D-mannosyl)7-beta-D-mannosyl-diacetylchitobiosyl-L-asparagine, isoform B (protein)</v>
          </cell>
        </row>
        <row r="9254">
          <cell r="A9254" t="str">
            <v>g1m8masn_r</v>
          </cell>
          <cell r="B9254" t="str">
            <v>g1m8masn</v>
          </cell>
          <cell r="C9254" t="str">
            <v>(alpha-D-Glucosyl)-(alpha-D-mannosyl)8-beta-D-mannosyl-diacetylchitobiosyl-L-asparagine (protein)</v>
          </cell>
        </row>
        <row r="9255">
          <cell r="A9255" t="str">
            <v>g3m8mpdol__L_r</v>
          </cell>
          <cell r="B9255" t="str">
            <v>g3m8mpdol__L</v>
          </cell>
          <cell r="C9255" t="str">
            <v>(alpha-D-Glucosyl)3-(alpha-D-mannosyl)8-beta-D-mannosyl-diacetylchitobiosyldiphosphodolichol, human liver homolog</v>
          </cell>
        </row>
        <row r="9256">
          <cell r="A9256" t="str">
            <v>g3m8mpdol_U_r</v>
          </cell>
          <cell r="B9256" t="str">
            <v>g3m8mpdol_U</v>
          </cell>
          <cell r="C9256" t="str">
            <v>(alpha-D-Glucosyl)3-(alpha-D-mannosyl)8-beta-D-mannosyl-diacetylchitobiosyldiphosphodolichol, human uterine homolog</v>
          </cell>
        </row>
        <row r="9257">
          <cell r="A9257" t="str">
            <v>glc__D_r</v>
          </cell>
          <cell r="B9257" t="str">
            <v>glc__D</v>
          </cell>
          <cell r="C9257" t="str">
            <v>D-Glucose</v>
          </cell>
        </row>
        <row r="9258">
          <cell r="A9258" t="str">
            <v>glcur_r</v>
          </cell>
          <cell r="B9258" t="str">
            <v>glcur</v>
          </cell>
          <cell r="C9258" t="str">
            <v>D-Glucuronate</v>
          </cell>
        </row>
        <row r="9259">
          <cell r="A9259" t="str">
            <v>glu__L_r</v>
          </cell>
          <cell r="B9259" t="str">
            <v>glu__L</v>
          </cell>
          <cell r="C9259" t="str">
            <v>L-Glutamate</v>
          </cell>
        </row>
        <row r="9260">
          <cell r="A9260" t="str">
            <v>guln__L_r</v>
          </cell>
          <cell r="B9260" t="str">
            <v>guln__L</v>
          </cell>
          <cell r="C9260" t="str">
            <v>L-gulonate</v>
          </cell>
        </row>
        <row r="9261">
          <cell r="A9261" t="str">
            <v>leuktrC4_r</v>
          </cell>
          <cell r="B9261" t="str">
            <v>leuktrC4</v>
          </cell>
          <cell r="C9261" t="str">
            <v>Leukotriene C4 ER</v>
          </cell>
        </row>
        <row r="9262">
          <cell r="A9262" t="str">
            <v>leuktrD4_r</v>
          </cell>
          <cell r="B9262" t="str">
            <v>leuktrD4</v>
          </cell>
          <cell r="C9262" t="str">
            <v>Leukotriene D4 ER</v>
          </cell>
        </row>
        <row r="9263">
          <cell r="A9263" t="str">
            <v>m2gacpail_hs_r</v>
          </cell>
          <cell r="B9263" t="str">
            <v>m2gacpail_hs</v>
          </cell>
          <cell r="C9263" t="str">
            <v>Dimannosyl-glucosaminyl-acylphosphatidylinositol (H3)</v>
          </cell>
        </row>
        <row r="9264">
          <cell r="A9264" t="str">
            <v>m3gacpail_hs_r</v>
          </cell>
          <cell r="B9264" t="str">
            <v>m3gacpail_hs</v>
          </cell>
          <cell r="C9264" t="str">
            <v>Trimannosyl-glucosaminyl-acylphosphatidylinositol (H4)</v>
          </cell>
        </row>
        <row r="9265">
          <cell r="A9265" t="str">
            <v>mem2emgacpail_prot_hs_r</v>
          </cell>
          <cell r="B9265" t="str">
            <v>mem2emgacpail_prot_hs</v>
          </cell>
          <cell r="C9265" t="str">
            <v>({[(mannosyl),(phosphoethanolaminyl)]-dimannosyl},{phosphoethanolaminyl})-mannosyl-glucosaminyl-acylphosphatidylinositol-Protein (M4B)</v>
          </cell>
        </row>
        <row r="9266">
          <cell r="A9266" t="str">
            <v>mev__R_r</v>
          </cell>
          <cell r="B9266" t="str">
            <v>mev__R</v>
          </cell>
          <cell r="C9266" t="str">
            <v xml:space="preserve"> R  Mevalonate C6H11O4</v>
          </cell>
        </row>
        <row r="9267">
          <cell r="A9267" t="str">
            <v>pa_hs_r</v>
          </cell>
          <cell r="B9267" t="str">
            <v>pa_hs</v>
          </cell>
          <cell r="C9267" t="str">
            <v>Phosphatidic acid (homo sapiens)</v>
          </cell>
        </row>
        <row r="9268">
          <cell r="A9268" t="str">
            <v>pail34p_hs_r</v>
          </cell>
          <cell r="B9268" t="str">
            <v>pail34p_hs</v>
          </cell>
          <cell r="C9268" t="str">
            <v>Phosphatidylinositol-3,4-bisphosphate (Homo sapiens)</v>
          </cell>
        </row>
        <row r="9269">
          <cell r="A9269" t="str">
            <v>pail35p_hs_r</v>
          </cell>
          <cell r="B9269" t="str">
            <v>pail35p_hs</v>
          </cell>
          <cell r="C9269" t="str">
            <v>Phosphatidylinositol-3,5-bisphosphate (Homo sapiens)</v>
          </cell>
        </row>
        <row r="9270">
          <cell r="A9270" t="str">
            <v>pail4p_hs_r</v>
          </cell>
          <cell r="B9270" t="str">
            <v>pail4p_hs</v>
          </cell>
          <cell r="C9270" t="str">
            <v>1-Phosphatidyl-1D-myo-inositol 4-phosphate (Homo sapiens)</v>
          </cell>
        </row>
        <row r="9271">
          <cell r="A9271" t="str">
            <v>pail_hs_r</v>
          </cell>
          <cell r="B9271" t="str">
            <v>pail_hs</v>
          </cell>
          <cell r="C9271" t="str">
            <v>Phosphatidylinositol (homo sapiens)</v>
          </cell>
        </row>
        <row r="9272">
          <cell r="A9272" t="str">
            <v>pro__L_r</v>
          </cell>
          <cell r="B9272" t="str">
            <v>pro__L</v>
          </cell>
          <cell r="C9272" t="str">
            <v>L-Proline</v>
          </cell>
        </row>
        <row r="9273">
          <cell r="A9273" t="str">
            <v>prostgh2_r</v>
          </cell>
          <cell r="B9273" t="str">
            <v>prostgh2</v>
          </cell>
          <cell r="C9273" t="str">
            <v>Prostaglandin H2</v>
          </cell>
        </row>
        <row r="9274">
          <cell r="A9274" t="str">
            <v>sphings_r</v>
          </cell>
          <cell r="B9274" t="str">
            <v>sphings</v>
          </cell>
          <cell r="C9274" t="str">
            <v>Sphingosine cytosol</v>
          </cell>
        </row>
        <row r="9275">
          <cell r="A9275" t="str">
            <v>tmlys_r</v>
          </cell>
          <cell r="B9275" t="str">
            <v>tmlys</v>
          </cell>
          <cell r="C9275" t="str">
            <v>N6,N6,N6-Trimethyl-L-lysine</v>
          </cell>
        </row>
        <row r="9276">
          <cell r="A9276" t="str">
            <v>tststeroneglc_r</v>
          </cell>
          <cell r="B9276" t="str">
            <v>tststeroneglc</v>
          </cell>
          <cell r="C9276" t="str">
            <v>Testosterone 3-glucosiduronic acid</v>
          </cell>
        </row>
        <row r="9277">
          <cell r="A9277" t="str">
            <v>txa2_r</v>
          </cell>
          <cell r="B9277" t="str">
            <v>txa2</v>
          </cell>
          <cell r="C9277" t="str">
            <v>Thromboxane A2</v>
          </cell>
        </row>
        <row r="9278">
          <cell r="A9278" t="str">
            <v>udp_r</v>
          </cell>
          <cell r="B9278" t="str">
            <v>udp</v>
          </cell>
          <cell r="C9278" t="str">
            <v>UDP C9H11N2O12P2</v>
          </cell>
        </row>
        <row r="9279">
          <cell r="A9279" t="str">
            <v>udpacgal_r</v>
          </cell>
          <cell r="B9279" t="str">
            <v>udpacgal</v>
          </cell>
          <cell r="C9279" t="str">
            <v>UDP-N-acetyl-D-galactosamine</v>
          </cell>
        </row>
        <row r="9280">
          <cell r="A9280" t="str">
            <v>udpg_r</v>
          </cell>
          <cell r="B9280" t="str">
            <v>udpg</v>
          </cell>
          <cell r="C9280" t="str">
            <v>UDPglucose</v>
          </cell>
        </row>
        <row r="9281">
          <cell r="A9281" t="str">
            <v>udpxyl_r</v>
          </cell>
          <cell r="B9281" t="str">
            <v>udpxyl</v>
          </cell>
          <cell r="C9281" t="str">
            <v>UDP-D-xylose</v>
          </cell>
        </row>
        <row r="9282">
          <cell r="A9282" t="str">
            <v>whtststerone_r</v>
          </cell>
          <cell r="B9282" t="str">
            <v>whtststerone</v>
          </cell>
          <cell r="C9282" t="str">
            <v>W hydroxy testosterone; 19-Hydroxytestosterone</v>
          </cell>
        </row>
        <row r="9283">
          <cell r="A9283" t="str">
            <v>xol7aone_r</v>
          </cell>
          <cell r="B9283" t="str">
            <v>xol7aone</v>
          </cell>
          <cell r="C9283" t="str">
            <v>7alpha-Hydroxycholest-4-en-3-one</v>
          </cell>
        </row>
        <row r="9284">
          <cell r="A9284" t="str">
            <v>xoldiolone_r</v>
          </cell>
          <cell r="B9284" t="str">
            <v>xoldiolone</v>
          </cell>
          <cell r="C9284" t="str">
            <v>7alpha,12alpha-Dihydroxycholest-4-en-3-one</v>
          </cell>
        </row>
        <row r="9285">
          <cell r="A9285" t="str">
            <v>xolest_hs_r</v>
          </cell>
          <cell r="B9285" t="str">
            <v>xolest_hs</v>
          </cell>
          <cell r="C9285" t="str">
            <v>Cholesterol ester</v>
          </cell>
        </row>
        <row r="9286">
          <cell r="A9286" t="str">
            <v>xoltriol_r</v>
          </cell>
          <cell r="B9286" t="str">
            <v>xoltriol</v>
          </cell>
          <cell r="C9286" t="str">
            <v>3alpha,7alpha,12alpha-Trihydroxy-5beta-cholestane</v>
          </cell>
        </row>
        <row r="9287">
          <cell r="A9287" t="str">
            <v>zym_int2_r</v>
          </cell>
          <cell r="B9287" t="str">
            <v>zym_int2</v>
          </cell>
          <cell r="C9287" t="str">
            <v>Zymosterol intermediate 2 C27H42O</v>
          </cell>
        </row>
        <row r="9288">
          <cell r="A9288" t="str">
            <v>1p2cbxl_x</v>
          </cell>
          <cell r="B9288" t="str">
            <v>1p2cbxl</v>
          </cell>
          <cell r="C9288" t="str">
            <v>1-Pyrroline-2-carboxylate</v>
          </cell>
        </row>
        <row r="9289">
          <cell r="A9289" t="str">
            <v>1pipdn2c_x</v>
          </cell>
          <cell r="B9289" t="str">
            <v>1pipdn2c</v>
          </cell>
          <cell r="C9289" t="str">
            <v>Delta1-Piperideine-2-carboxylate</v>
          </cell>
        </row>
        <row r="9290">
          <cell r="A9290" t="str">
            <v>3hbcoa_x</v>
          </cell>
          <cell r="B9290" t="str">
            <v>3hbcoa</v>
          </cell>
          <cell r="C9290" t="str">
            <v>(S)-3-Hydroxybutanoyl-CoA</v>
          </cell>
        </row>
        <row r="9291">
          <cell r="A9291" t="str">
            <v>Rtotal_x</v>
          </cell>
          <cell r="B9291" t="str">
            <v>Rtotal</v>
          </cell>
          <cell r="C9291" t="str">
            <v>Rtotal c</v>
          </cell>
        </row>
        <row r="9292">
          <cell r="A9292" t="str">
            <v>aacoa_x</v>
          </cell>
          <cell r="B9292" t="str">
            <v>aacoa</v>
          </cell>
          <cell r="C9292" t="str">
            <v>Acetoacetyl-CoA</v>
          </cell>
        </row>
        <row r="9293">
          <cell r="A9293" t="str">
            <v>adhap_hs_x</v>
          </cell>
          <cell r="B9293" t="str">
            <v>adhap_hs</v>
          </cell>
          <cell r="C9293" t="str">
            <v>Acyl-dihydroxyacetone phosphate</v>
          </cell>
        </row>
        <row r="9294">
          <cell r="A9294" t="str">
            <v>adrncoa_x</v>
          </cell>
          <cell r="B9294" t="str">
            <v>adrncoa</v>
          </cell>
          <cell r="C9294" t="str">
            <v>Adrenyl coenzyme A</v>
          </cell>
        </row>
        <row r="9295">
          <cell r="A9295" t="str">
            <v>b2coa_x</v>
          </cell>
          <cell r="B9295" t="str">
            <v>b2coa</v>
          </cell>
          <cell r="C9295" t="str">
            <v>Crotonoyl-CoA</v>
          </cell>
        </row>
        <row r="9296">
          <cell r="A9296" t="str">
            <v>c226coa_x</v>
          </cell>
          <cell r="B9296" t="str">
            <v>c226coa</v>
          </cell>
          <cell r="C9296" t="str">
            <v>Cervonyl coenzyme A</v>
          </cell>
        </row>
        <row r="9297">
          <cell r="A9297" t="str">
            <v>c2m26dcoa_x</v>
          </cell>
          <cell r="B9297" t="str">
            <v>c2m26dcoa</v>
          </cell>
          <cell r="C9297" t="str">
            <v>Cis-2-Methyl-5-isopropylhexa-2,5-dienoyl-CoA</v>
          </cell>
        </row>
        <row r="9298">
          <cell r="A9298" t="str">
            <v>cholcoads_x</v>
          </cell>
          <cell r="B9298" t="str">
            <v>cholcoads</v>
          </cell>
          <cell r="C9298" t="str">
            <v>3alpha,7alpha,12alpha-Trihydroxy-5beta-cholest-24-enoyl-CoA</v>
          </cell>
        </row>
        <row r="9299">
          <cell r="A9299" t="str">
            <v>cholcoas_x</v>
          </cell>
          <cell r="B9299" t="str">
            <v>cholcoas</v>
          </cell>
          <cell r="C9299" t="str">
            <v>3alpha,7alpha,12alpha-Trihydroxy-5beta-cholestanoyl-CoA(S)</v>
          </cell>
        </row>
        <row r="9300">
          <cell r="A9300" t="str">
            <v>clpndcoa_x</v>
          </cell>
          <cell r="B9300" t="str">
            <v>clpndcoa</v>
          </cell>
          <cell r="C9300" t="str">
            <v>Clupanodonyl CoA</v>
          </cell>
        </row>
        <row r="9301">
          <cell r="A9301" t="str">
            <v>dgchol_x</v>
          </cell>
          <cell r="B9301" t="str">
            <v>dgchol</v>
          </cell>
          <cell r="C9301" t="str">
            <v>Chenodeoxyglycocholate</v>
          </cell>
        </row>
        <row r="9302">
          <cell r="A9302" t="str">
            <v>dgcholcoa_x</v>
          </cell>
          <cell r="B9302" t="str">
            <v>dgcholcoa</v>
          </cell>
          <cell r="C9302" t="str">
            <v>Chenodeoxyglycocholoyl-CoA</v>
          </cell>
        </row>
        <row r="9303">
          <cell r="A9303" t="str">
            <v>dhocholoylcoa_x</v>
          </cell>
          <cell r="B9303" t="str">
            <v>dhocholoylcoa</v>
          </cell>
          <cell r="C9303" t="str">
            <v>3alpha,7alpha,12alpha,26-Tetrahydroxy-5beta-cholestane</v>
          </cell>
        </row>
        <row r="9304">
          <cell r="A9304" t="str">
            <v>etoh_x</v>
          </cell>
          <cell r="B9304" t="str">
            <v>etoh</v>
          </cell>
          <cell r="C9304" t="str">
            <v>Ethanol</v>
          </cell>
        </row>
        <row r="9305">
          <cell r="A9305" t="str">
            <v>fadh2_x</v>
          </cell>
          <cell r="B9305" t="str">
            <v>fadh2</v>
          </cell>
          <cell r="C9305" t="str">
            <v>Flavin adenine dinucleotide reduced</v>
          </cell>
        </row>
        <row r="9306">
          <cell r="A9306" t="str">
            <v>fald_x</v>
          </cell>
          <cell r="B9306" t="str">
            <v>fald</v>
          </cell>
          <cell r="C9306" t="str">
            <v>Formaldehyde</v>
          </cell>
        </row>
        <row r="9307">
          <cell r="A9307" t="str">
            <v>mev__R_x</v>
          </cell>
          <cell r="B9307" t="str">
            <v>mev__R</v>
          </cell>
          <cell r="C9307" t="str">
            <v xml:space="preserve"> R  Mevalonate C6H11O4</v>
          </cell>
        </row>
        <row r="9308">
          <cell r="A9308" t="str">
            <v>o2s_x</v>
          </cell>
          <cell r="B9308" t="str">
            <v>o2s</v>
          </cell>
          <cell r="C9308" t="str">
            <v>Superoxide anion</v>
          </cell>
        </row>
        <row r="9309">
          <cell r="A9309" t="str">
            <v>oxa_x</v>
          </cell>
          <cell r="B9309" t="str">
            <v>oxa</v>
          </cell>
          <cell r="C9309" t="str">
            <v>Oxalate</v>
          </cell>
        </row>
        <row r="9310">
          <cell r="A9310" t="str">
            <v>pristcoa_x</v>
          </cell>
          <cell r="B9310" t="str">
            <v>pristcoa</v>
          </cell>
          <cell r="C9310" t="str">
            <v>Pristanoyl-CoA; 2,6,10,14-tetramethylpentadecanoyl-CoA</v>
          </cell>
        </row>
        <row r="9311">
          <cell r="A9311" t="str">
            <v>ser__L_x</v>
          </cell>
          <cell r="B9311" t="str">
            <v>ser__L</v>
          </cell>
          <cell r="C9311" t="str">
            <v>L-Serine</v>
          </cell>
        </row>
        <row r="9312">
          <cell r="A9312" t="str">
            <v>taur_x</v>
          </cell>
          <cell r="B9312" t="str">
            <v>taur</v>
          </cell>
          <cell r="C9312" t="str">
            <v>Taurine C2H7NO3S</v>
          </cell>
        </row>
        <row r="9313">
          <cell r="A9313" t="str">
            <v>tdchola_x</v>
          </cell>
          <cell r="B9313" t="str">
            <v>tdchola</v>
          </cell>
          <cell r="C9313" t="str">
            <v>Taurochenodeoxycholate</v>
          </cell>
        </row>
        <row r="9314">
          <cell r="A9314" t="str">
            <v>tettet6coa_x</v>
          </cell>
          <cell r="B9314" t="str">
            <v>tettet6coa</v>
          </cell>
          <cell r="C9314" t="str">
            <v>Tetracosatetraenoyl coenzyme A</v>
          </cell>
        </row>
        <row r="9315">
          <cell r="A9315" t="str">
            <v>2plac__L_c</v>
          </cell>
          <cell r="B9315" t="str">
            <v>2plac__L</v>
          </cell>
          <cell r="C9315" t="str">
            <v>2-phospho-L-lactate</v>
          </cell>
        </row>
        <row r="9316">
          <cell r="A9316" t="str">
            <v>4kfbp_c</v>
          </cell>
          <cell r="B9316" t="str">
            <v>4kfbp</v>
          </cell>
          <cell r="C9316" t="str">
            <v>4-ketofructose 1,6-bisphosphate</v>
          </cell>
        </row>
        <row r="9317">
          <cell r="A9317" t="str">
            <v>7mhp_c</v>
          </cell>
          <cell r="B9317" t="str">
            <v>7mhp</v>
          </cell>
          <cell r="C9317" t="str">
            <v>7-mercaptoheptanoic acid</v>
          </cell>
        </row>
        <row r="9318">
          <cell r="A9318" t="str">
            <v>7mht_c</v>
          </cell>
          <cell r="B9318" t="str">
            <v>7mht</v>
          </cell>
          <cell r="C9318" t="str">
            <v>7-mercaptoheptanoylthreonine</v>
          </cell>
        </row>
        <row r="9319">
          <cell r="A9319" t="str">
            <v>agdpgpi_c</v>
          </cell>
          <cell r="B9319" t="str">
            <v>agdpgpi</v>
          </cell>
          <cell r="C9319" t="str">
            <v>N-Acetyl-D-glucosaminyl archaetidylinositol</v>
          </cell>
        </row>
        <row r="9320">
          <cell r="A9320" t="str">
            <v>dpgpi_c</v>
          </cell>
          <cell r="B9320" t="str">
            <v>dpgpi</v>
          </cell>
          <cell r="C9320" t="str">
            <v>2,3-O-phytanyl-sn-glycero-1-phospho-myo-inositol</v>
          </cell>
        </row>
        <row r="9321">
          <cell r="A9321" t="str">
            <v>6ax_c</v>
          </cell>
          <cell r="B9321" t="str">
            <v>6ax</v>
          </cell>
          <cell r="C9321" t="str">
            <v>6-Aminohexanoate</v>
          </cell>
        </row>
        <row r="9322">
          <cell r="A9322" t="str">
            <v>ohexa_c</v>
          </cell>
          <cell r="B9322" t="str">
            <v>ohexa</v>
          </cell>
          <cell r="C9322" t="str">
            <v>2-oxohexanedioic acid</v>
          </cell>
        </row>
        <row r="9323">
          <cell r="A9323" t="str">
            <v>ohepa_c</v>
          </cell>
          <cell r="B9323" t="str">
            <v>ohepa</v>
          </cell>
          <cell r="C9323" t="str">
            <v>2-oxoheptanedioic acid</v>
          </cell>
        </row>
        <row r="9324">
          <cell r="A9324" t="str">
            <v>dpgpg_c</v>
          </cell>
          <cell r="B9324" t="str">
            <v>dpgpg</v>
          </cell>
          <cell r="C9324" t="str">
            <v>2,3-di-O-phytanyl-sn-glycerol-1-phospho-3'-sn-glycerol</v>
          </cell>
        </row>
        <row r="9325">
          <cell r="A9325" t="str">
            <v>hatrz_c</v>
          </cell>
          <cell r="B9325" t="str">
            <v>hatrz</v>
          </cell>
          <cell r="C9325" t="str">
            <v>Hydroxyatrazine</v>
          </cell>
        </row>
        <row r="9326">
          <cell r="A9326" t="str">
            <v>Brfap_c</v>
          </cell>
          <cell r="B9326" t="str">
            <v>Brfap</v>
          </cell>
          <cell r="C9326" t="str">
            <v>4-(B-D-ribofuranosyl)aminobenzene 5'-phosphate</v>
          </cell>
        </row>
        <row r="9327">
          <cell r="A9327" t="str">
            <v>cbl1hbi_c</v>
          </cell>
          <cell r="B9327" t="str">
            <v>cbl1hbi</v>
          </cell>
          <cell r="C9327" t="str">
            <v>Cob(I)alamin-HBI</v>
          </cell>
        </row>
        <row r="9328">
          <cell r="A9328" t="str">
            <v>unknown_cbl1deg_c</v>
          </cell>
          <cell r="B9328" t="str">
            <v>unknown_cbl1deg</v>
          </cell>
          <cell r="C9328" t="str">
            <v>Unknown degradation product of cbl1 for adocbl-HBI synthesis</v>
          </cell>
        </row>
        <row r="9329">
          <cell r="A9329" t="str">
            <v>3hdggpgp_c</v>
          </cell>
          <cell r="B9329" t="str">
            <v>3hdggpgp</v>
          </cell>
          <cell r="C9329" t="str">
            <v>2-O-(3'-hydroxy)geranyl-3-O-geranyl-sn-glycerol-1-phospho-3'-sn-glycerol phosphate</v>
          </cell>
        </row>
        <row r="9330">
          <cell r="A9330" t="str">
            <v>dgggp_c</v>
          </cell>
          <cell r="B9330" t="str">
            <v>dgggp</v>
          </cell>
          <cell r="C9330" t="str">
            <v>Digeranylgeranylglyceryl phosphate</v>
          </cell>
        </row>
        <row r="9331">
          <cell r="A9331" t="str">
            <v>3hdggpi_c</v>
          </cell>
          <cell r="B9331" t="str">
            <v>3hdggpi</v>
          </cell>
          <cell r="C9331" t="str">
            <v>2-O-(3'hydroxy)geranyl-3-O-geranyl-sn-glycero-1-phospho-myo-inositol</v>
          </cell>
        </row>
        <row r="9332">
          <cell r="A9332" t="str">
            <v>f390a_c</v>
          </cell>
          <cell r="B9332" t="str">
            <v>f390a</v>
          </cell>
          <cell r="C9332" t="str">
            <v>Coenzyme F390 (adenosine)</v>
          </cell>
        </row>
        <row r="9333">
          <cell r="A9333" t="str">
            <v>f420_2_c</v>
          </cell>
          <cell r="B9333" t="str">
            <v>f420_2</v>
          </cell>
          <cell r="C9333" t="str">
            <v>Coenzyme ferredoxin 420-2 (oxidized)</v>
          </cell>
        </row>
        <row r="9334">
          <cell r="A9334" t="str">
            <v>f390g_c</v>
          </cell>
          <cell r="B9334" t="str">
            <v>f390g</v>
          </cell>
          <cell r="C9334" t="str">
            <v>Coenzyme F390 (guanosine)</v>
          </cell>
        </row>
        <row r="9335">
          <cell r="A9335" t="str">
            <v>tih2cit_c</v>
          </cell>
          <cell r="B9335" t="str">
            <v>tih2cit</v>
          </cell>
          <cell r="C9335" t="str">
            <v>(-)threo-iso(homo)2citrate</v>
          </cell>
        </row>
        <row r="9336">
          <cell r="A9336" t="str">
            <v>h2acon_C_c</v>
          </cell>
          <cell r="B9336" t="str">
            <v>h2acon_C</v>
          </cell>
          <cell r="C9336" t="str">
            <v>Cis-(homo)2aconitate</v>
          </cell>
        </row>
        <row r="9337">
          <cell r="A9337" t="str">
            <v>hacon_C_c</v>
          </cell>
          <cell r="B9337" t="str">
            <v>hacon_C</v>
          </cell>
          <cell r="C9337" t="str">
            <v>Cis-homoaconitate</v>
          </cell>
        </row>
        <row r="9338">
          <cell r="A9338" t="str">
            <v>cob_c</v>
          </cell>
          <cell r="B9338" t="str">
            <v>cob</v>
          </cell>
          <cell r="C9338" t="str">
            <v>Coenzyme b</v>
          </cell>
        </row>
        <row r="9339">
          <cell r="A9339" t="str">
            <v>sec_c</v>
          </cell>
          <cell r="B9339" t="str">
            <v>sec</v>
          </cell>
          <cell r="C9339" t="str">
            <v>Sulfoethylcysteine</v>
          </cell>
        </row>
        <row r="9340">
          <cell r="A9340" t="str">
            <v>f420_2h2_c</v>
          </cell>
          <cell r="B9340" t="str">
            <v>f420_2h2</v>
          </cell>
          <cell r="C9340" t="str">
            <v>Coenzyme ferredoxin 420-2 (reduced)</v>
          </cell>
        </row>
        <row r="9341">
          <cell r="A9341" t="str">
            <v>dhp23cp_c</v>
          </cell>
          <cell r="B9341" t="str">
            <v>dhp23cp</v>
          </cell>
          <cell r="C9341" t="str">
            <v>7,8-dihydronepterin 2' :3'-cyclicphosphate</v>
          </cell>
        </row>
        <row r="9342">
          <cell r="A9342" t="str">
            <v>dohdu_c</v>
          </cell>
          <cell r="B9342" t="str">
            <v>dohdu</v>
          </cell>
          <cell r="C9342" t="str">
            <v>3,7-dideoxy-D-threo-hepto-2,6-diulosonate</v>
          </cell>
        </row>
        <row r="9343">
          <cell r="A9343" t="str">
            <v>dohau_c</v>
          </cell>
          <cell r="B9343" t="str">
            <v>dohau</v>
          </cell>
          <cell r="C9343" t="str">
            <v>3,7-dideoxy-D-threo-hepto-2-amino-6-ulosonate</v>
          </cell>
        </row>
        <row r="9344">
          <cell r="A9344" t="str">
            <v>m3hdp_c</v>
          </cell>
          <cell r="B9344" t="str">
            <v>m3hdp</v>
          </cell>
          <cell r="C9344" t="str">
            <v>Methyl-3-hydroxyl diphosphate</v>
          </cell>
        </row>
        <row r="9345">
          <cell r="A9345" t="str">
            <v>f430_c</v>
          </cell>
          <cell r="B9345" t="str">
            <v>f430</v>
          </cell>
          <cell r="C9345" t="str">
            <v>Coenzyme F430</v>
          </cell>
        </row>
        <row r="9346">
          <cell r="A9346" t="str">
            <v>mphen_c</v>
          </cell>
          <cell r="B9346" t="str">
            <v>mphen</v>
          </cell>
          <cell r="C9346" t="str">
            <v>Methanophenazine (oxidized)</v>
          </cell>
        </row>
        <row r="9347">
          <cell r="A9347" t="str">
            <v>f420_0_c</v>
          </cell>
          <cell r="B9347" t="str">
            <v>f420_0</v>
          </cell>
          <cell r="C9347" t="str">
            <v>Coenzyme ferredoxin 420-0</v>
          </cell>
        </row>
        <row r="9348">
          <cell r="A9348" t="str">
            <v>f420_5_c</v>
          </cell>
          <cell r="B9348" t="str">
            <v>f420_5</v>
          </cell>
          <cell r="C9348" t="str">
            <v>Coenzyme ferredoxin 420-5</v>
          </cell>
        </row>
        <row r="9349">
          <cell r="A9349" t="str">
            <v>h4mpt_c</v>
          </cell>
          <cell r="B9349" t="str">
            <v>h4mpt</v>
          </cell>
          <cell r="C9349" t="str">
            <v>5,6,7,8-tetrahydromethanopterin</v>
          </cell>
        </row>
        <row r="9350">
          <cell r="A9350" t="str">
            <v>dhadrtpr_c</v>
          </cell>
          <cell r="B9350" t="str">
            <v>dhadrtpr</v>
          </cell>
          <cell r="C9350" t="str">
            <v>7,8-dihydropterin-6-ylmethyl-1-(4-aminophenyl)-1-deoxy-5-[1-A-D-ribofuranosyl 5'-triphosphate]-D-ribitol</v>
          </cell>
        </row>
        <row r="9351">
          <cell r="A9351" t="str">
            <v>3hdpgps_c</v>
          </cell>
          <cell r="B9351" t="str">
            <v>3hdpgps</v>
          </cell>
          <cell r="C9351" t="str">
            <v>2-O-(3'-hydroxy)phytanyl-3-O-phytanyl-sn-glycero-l-phosphoserine</v>
          </cell>
        </row>
        <row r="9352">
          <cell r="A9352" t="str">
            <v>3hdpgpe_c</v>
          </cell>
          <cell r="B9352" t="str">
            <v>3hdpgpe</v>
          </cell>
          <cell r="C9352" t="str">
            <v>2-O-(3'-hydroxy)phytanyl-3-O-phytanyl-sn-glycero-l-phosphoethanolamine</v>
          </cell>
        </row>
        <row r="9353">
          <cell r="A9353" t="str">
            <v>3hdpgpg_c</v>
          </cell>
          <cell r="B9353" t="str">
            <v>3hdpgpg</v>
          </cell>
          <cell r="C9353" t="str">
            <v>2-O-(3'-hydroxy)phytanyl-3-O-phytanyl-sn-glycerol-1-phospho-3'-sn-glycerol</v>
          </cell>
        </row>
        <row r="9354">
          <cell r="A9354" t="str">
            <v>5pr5hbz_c</v>
          </cell>
          <cell r="B9354" t="str">
            <v>5pr5hbz</v>
          </cell>
          <cell r="C9354" t="str">
            <v>N1-(5-Phospho-alpha-D-ribosyl)-5-hydroxybenzimidazole</v>
          </cell>
        </row>
        <row r="9355">
          <cell r="A9355" t="str">
            <v>2tcc_c</v>
          </cell>
          <cell r="B9355" t="str">
            <v>2tcc</v>
          </cell>
          <cell r="C9355" t="str">
            <v>2-(sulfomethyl)thiazolidine-4-carboxylic acid</v>
          </cell>
        </row>
        <row r="9356">
          <cell r="A9356" t="str">
            <v>TM_GL1_c</v>
          </cell>
          <cell r="B9356" t="str">
            <v>TM_GL1</v>
          </cell>
          <cell r="C9356" t="str">
            <v>Thermotoga maritima glycolipid 1</v>
          </cell>
        </row>
        <row r="9357">
          <cell r="A9357" t="str">
            <v>TM_GL2_c</v>
          </cell>
          <cell r="B9357" t="str">
            <v>TM_GL2</v>
          </cell>
          <cell r="C9357" t="str">
            <v>Thermotoga maritima glycolipid 2</v>
          </cell>
        </row>
        <row r="9358">
          <cell r="A9358" t="str">
            <v>asptrna_asn_c</v>
          </cell>
          <cell r="B9358" t="str">
            <v>asptrna_asn</v>
          </cell>
          <cell r="C9358" t="str">
            <v>L-Aspartyl-tRNA(Asn)</v>
          </cell>
        </row>
        <row r="9359">
          <cell r="A9359" t="str">
            <v>cell6_c</v>
          </cell>
          <cell r="B9359" t="str">
            <v>cell6</v>
          </cell>
          <cell r="C9359" t="str">
            <v>Cellulose (n=6 repeating units)</v>
          </cell>
        </row>
        <row r="9360">
          <cell r="A9360" t="str">
            <v>ksi_deg1_c</v>
          </cell>
          <cell r="B9360" t="str">
            <v>ksi_deg1</v>
          </cell>
          <cell r="C9360" t="str">
            <v>Keratan sulfate I, degradation product 1</v>
          </cell>
        </row>
        <row r="9361">
          <cell r="A9361" t="str">
            <v>lgnACP_c</v>
          </cell>
          <cell r="B9361" t="str">
            <v>lgnACP</v>
          </cell>
          <cell r="C9361" t="str">
            <v>Tetracosanoyl-ACP (n-C24:0)</v>
          </cell>
        </row>
        <row r="9362">
          <cell r="A9362" t="str">
            <v>mnl_c</v>
          </cell>
          <cell r="B9362" t="str">
            <v>mnl</v>
          </cell>
          <cell r="C9362" t="str">
            <v>D-Mannitol</v>
          </cell>
        </row>
        <row r="9363">
          <cell r="A9363" t="str">
            <v>amylose300_e</v>
          </cell>
          <cell r="B9363" t="str">
            <v>amylose300</v>
          </cell>
          <cell r="C9363" t="str">
            <v>Amylose (n=300 repeat units, alpha-1,4-glc)</v>
          </cell>
        </row>
        <row r="9364">
          <cell r="A9364" t="str">
            <v>cell4_e</v>
          </cell>
          <cell r="B9364" t="str">
            <v>cell4</v>
          </cell>
          <cell r="C9364" t="str">
            <v>Cellulose (n=4 repeating units)</v>
          </cell>
        </row>
        <row r="9365">
          <cell r="A9365" t="str">
            <v>galman6_e</v>
          </cell>
          <cell r="B9365" t="str">
            <v>galman6</v>
          </cell>
          <cell r="C9365" t="str">
            <v>Galactomannan(n=6 repeat units mannose, alpha-1,4 man)</v>
          </cell>
        </row>
        <row r="9366">
          <cell r="A9366" t="str">
            <v>lmn2_e</v>
          </cell>
          <cell r="B9366" t="str">
            <v>lmn2</v>
          </cell>
          <cell r="C9366" t="str">
            <v>Laminaribiose</v>
          </cell>
        </row>
        <row r="9367">
          <cell r="A9367" t="str">
            <v>mantr_e</v>
          </cell>
          <cell r="B9367" t="str">
            <v>mantr</v>
          </cell>
          <cell r="C9367" t="str">
            <v>Mannotriose (beta-1,4)</v>
          </cell>
        </row>
        <row r="9368">
          <cell r="A9368" t="str">
            <v>manttr_e</v>
          </cell>
          <cell r="B9368" t="str">
            <v>manttr</v>
          </cell>
          <cell r="C9368" t="str">
            <v>Mannotetraose</v>
          </cell>
        </row>
        <row r="9369">
          <cell r="A9369" t="str">
            <v>xylan12_e</v>
          </cell>
          <cell r="B9369" t="str">
            <v>xylan12</v>
          </cell>
          <cell r="C9369" t="str">
            <v>Xylan (12 backbone units, 3 glcur side chain)</v>
          </cell>
        </row>
        <row r="9370">
          <cell r="A9370" t="str">
            <v>xylan8_e</v>
          </cell>
          <cell r="B9370" t="str">
            <v>xylan8</v>
          </cell>
          <cell r="C9370" t="str">
            <v>Xylan (8 backbone units, 2 glcur side chain)</v>
          </cell>
        </row>
        <row r="9371">
          <cell r="A9371" t="str">
            <v>clpn181_c</v>
          </cell>
          <cell r="B9371" t="str">
            <v>clpn181</v>
          </cell>
          <cell r="C9371" t="str">
            <v>Cardiolipin (tetraoctadec-11-enoyl, n-C18:1)</v>
          </cell>
        </row>
        <row r="9372">
          <cell r="A9372" t="str">
            <v>mecfsp_c</v>
          </cell>
          <cell r="B9372" t="str">
            <v>mecfsp</v>
          </cell>
          <cell r="C9372" t="str">
            <v>Methylcorrinoid iron sulfur protein</v>
          </cell>
        </row>
        <row r="9373">
          <cell r="A9373" t="str">
            <v>teca_CL_c</v>
          </cell>
          <cell r="B9373" t="str">
            <v>teca_CL</v>
          </cell>
          <cell r="C9373" t="str">
            <v>Glycerol teichoic acid (n=25), unlinked, D-ala (specific CL)</v>
          </cell>
        </row>
        <row r="9374">
          <cell r="A9374" t="str">
            <v>murein5p5p5p_e</v>
          </cell>
          <cell r="B9374" t="str">
            <v>murein5p5p5p</v>
          </cell>
          <cell r="C9374" t="str">
            <v>Three linked disacharide pentapeptide murein units (uncrosslinked, middle of chain)</v>
          </cell>
        </row>
        <row r="9375">
          <cell r="A9375" t="str">
            <v>murein5px4px4p_e</v>
          </cell>
          <cell r="B9375" t="str">
            <v>murein5px4px4p</v>
          </cell>
          <cell r="C9375" t="str">
            <v>Three disacharide linked murein units (pentapeptide crosslinked tetrapeptide (A2pm-&gt;D-ala) tetrapeptide corsslinked tetrapeptide (A2pm-&gt;D-ala)) (middle of chain)</v>
          </cell>
        </row>
        <row r="9376">
          <cell r="A9376" t="str">
            <v>udcpdp_e</v>
          </cell>
          <cell r="B9376" t="str">
            <v>udcpdp</v>
          </cell>
          <cell r="C9376" t="str">
            <v>Undecaprenyl diphosphate</v>
          </cell>
        </row>
        <row r="9377">
          <cell r="A9377" t="str">
            <v>10fthf_x</v>
          </cell>
          <cell r="B9377" t="str">
            <v>10fthf</v>
          </cell>
          <cell r="C9377" t="str">
            <v>10-Formyltetrahydrofolate</v>
          </cell>
        </row>
        <row r="9378">
          <cell r="A9378" t="str">
            <v>10fthfglu__L_m</v>
          </cell>
          <cell r="B9378" t="str">
            <v>10fthfglu__L</v>
          </cell>
          <cell r="C9378" t="str">
            <v>10-Formyltetrahydrofolyl L-glutamate</v>
          </cell>
        </row>
        <row r="9379">
          <cell r="A9379" t="str">
            <v>12dgr16018111Z_c</v>
          </cell>
          <cell r="B9379" t="str">
            <v>12dgr16018111Z</v>
          </cell>
          <cell r="C9379" t="str">
            <v>1,2-Diacyl-sn-glycerol (1-hexadecanoyl,2-(11Z)-octadecenoyl, 16:0/18:1(11Z))</v>
          </cell>
        </row>
        <row r="9380">
          <cell r="A9380" t="str">
            <v>12dgr1801819Z_c</v>
          </cell>
          <cell r="B9380" t="str">
            <v>12dgr1801819Z</v>
          </cell>
          <cell r="C9380" t="str">
            <v>1,2-Diacyl-sn-glycerol (1-octadecanoyl,2-(9Z)-octadecenoyl, 18:0/18:1(9Z))</v>
          </cell>
        </row>
        <row r="9381">
          <cell r="A9381" t="str">
            <v>13dampp_h</v>
          </cell>
          <cell r="B9381" t="str">
            <v>13dampp</v>
          </cell>
          <cell r="C9381" t="str">
            <v>1 3 Diaminopropane C3H12N2</v>
          </cell>
        </row>
        <row r="9382">
          <cell r="A9382" t="str">
            <v>13dpg_f</v>
          </cell>
          <cell r="B9382" t="str">
            <v>13dpg</v>
          </cell>
          <cell r="C9382" t="str">
            <v>3-Phospho-D-glyceroyl phosphate</v>
          </cell>
        </row>
        <row r="9383">
          <cell r="A9383" t="str">
            <v>13dpg_h</v>
          </cell>
          <cell r="B9383" t="str">
            <v>13dpg</v>
          </cell>
          <cell r="C9383" t="str">
            <v>3-Phospho-D-glyceroyl phosphate</v>
          </cell>
        </row>
        <row r="9384">
          <cell r="A9384" t="str">
            <v>13dpg_m</v>
          </cell>
          <cell r="B9384" t="str">
            <v>13dpg</v>
          </cell>
          <cell r="C9384" t="str">
            <v>3-Phospho-D-glyceroyl phosphate</v>
          </cell>
        </row>
        <row r="9385">
          <cell r="A9385" t="str">
            <v>13oocdcy1829Z11Ea_c</v>
          </cell>
          <cell r="B9385" t="str">
            <v>13oocdcy1829Z11Ea</v>
          </cell>
          <cell r="C9385" t="str">
            <v>(9Z,11E)-13-Oxooctadeca-9,11-dienoic acid</v>
          </cell>
        </row>
        <row r="9386">
          <cell r="A9386" t="str">
            <v>1acpc_h</v>
          </cell>
          <cell r="B9386" t="str">
            <v>1acpc</v>
          </cell>
          <cell r="C9386" t="str">
            <v>1-Aminocyclopropane-1-carboxylate</v>
          </cell>
        </row>
        <row r="9387">
          <cell r="A9387" t="str">
            <v>1acpc_m</v>
          </cell>
          <cell r="B9387" t="str">
            <v>1acpc</v>
          </cell>
          <cell r="C9387" t="str">
            <v>1-Aminocyclopropane-1-carboxylate</v>
          </cell>
        </row>
        <row r="9388">
          <cell r="A9388" t="str">
            <v>1agpe1819Z_c</v>
          </cell>
          <cell r="B9388" t="str">
            <v>1agpe1819Z</v>
          </cell>
          <cell r="C9388" t="str">
            <v>1-Acyl-sn-glycero-3-phosphoethanolamine (18:1(9Z))</v>
          </cell>
        </row>
        <row r="9389">
          <cell r="A9389" t="str">
            <v>1odec9eg3p_h</v>
          </cell>
          <cell r="B9389" t="str">
            <v>1odec9eg3p</v>
          </cell>
          <cell r="C9389" t="str">
            <v>1-octadec-9-enoyl-sn-glycerol 3-phosphate</v>
          </cell>
        </row>
        <row r="9390">
          <cell r="A9390" t="str">
            <v>23dhmp_h</v>
          </cell>
          <cell r="B9390" t="str">
            <v>23dhmp</v>
          </cell>
          <cell r="C9390" t="str">
            <v>(R)-2,3-Dihydroxy-3-methylpentanoate</v>
          </cell>
        </row>
        <row r="9391">
          <cell r="A9391" t="str">
            <v>25aics_h</v>
          </cell>
          <cell r="B9391" t="str">
            <v>25aics</v>
          </cell>
          <cell r="C9391" t="str">
            <v>(S)-2-[5-Amino-1-(5-phospho-D-ribosyl)imidazole-4-carboxamido]succinate</v>
          </cell>
        </row>
        <row r="9392">
          <cell r="A9392" t="str">
            <v>2ahbut_h</v>
          </cell>
          <cell r="B9392" t="str">
            <v>2ahbut</v>
          </cell>
          <cell r="C9392" t="str">
            <v>(S)-2-Aceto-2-hydroxybutanoate</v>
          </cell>
        </row>
        <row r="9393">
          <cell r="A9393" t="str">
            <v>2dda7p_h</v>
          </cell>
          <cell r="B9393" t="str">
            <v>2dda7p</v>
          </cell>
          <cell r="C9393" t="str">
            <v>2-Dehydro-3-deoxy-D-arabino-heptonate 7-phosphate</v>
          </cell>
        </row>
        <row r="9394">
          <cell r="A9394" t="str">
            <v>2me4p_h</v>
          </cell>
          <cell r="B9394" t="str">
            <v>2me4p</v>
          </cell>
          <cell r="C9394" t="str">
            <v>2-C-methyl-D-erythritol 4-phosphate</v>
          </cell>
        </row>
        <row r="9395">
          <cell r="A9395" t="str">
            <v>2mecdp_h</v>
          </cell>
          <cell r="B9395" t="str">
            <v>2mecdp</v>
          </cell>
          <cell r="C9395" t="str">
            <v>2-C-methyl-D-erythritol 2,4-cyclodiphosphate</v>
          </cell>
        </row>
        <row r="9396">
          <cell r="A9396" t="str">
            <v>2mhob_m</v>
          </cell>
          <cell r="B9396" t="str">
            <v>2mhob</v>
          </cell>
          <cell r="C9396" t="str">
            <v>2-Methyl-1-hydroxybutyl-ThPP</v>
          </cell>
        </row>
        <row r="9397">
          <cell r="A9397" t="str">
            <v>2mpdhl_m</v>
          </cell>
          <cell r="B9397" t="str">
            <v>2mpdhl</v>
          </cell>
          <cell r="C9397" t="str">
            <v>S-(2-Methylpropanoyl)-dihydrolipoamide</v>
          </cell>
        </row>
        <row r="9398">
          <cell r="A9398" t="str">
            <v>3dhsk_h</v>
          </cell>
          <cell r="B9398" t="str">
            <v>3dhsk</v>
          </cell>
          <cell r="C9398" t="str">
            <v>3-Dehydroshikimate</v>
          </cell>
        </row>
        <row r="9399">
          <cell r="A9399" t="str">
            <v>3hcvac11eACP_h</v>
          </cell>
          <cell r="B9399" t="str">
            <v>3hcvac11eACP</v>
          </cell>
          <cell r="C9399" t="str">
            <v>(R)-3-hydroxy-cis-vacc-11-enoyl-[acyl-carrier protein]</v>
          </cell>
        </row>
        <row r="9400">
          <cell r="A9400" t="str">
            <v>3hddecACP_h</v>
          </cell>
          <cell r="B9400" t="str">
            <v>3hddecACP</v>
          </cell>
          <cell r="C9400" t="str">
            <v>(R)-3-Hydroxydodecanoyl-[acyl-carrier protein]</v>
          </cell>
        </row>
        <row r="9401">
          <cell r="A9401" t="str">
            <v>3hhcoa_x</v>
          </cell>
          <cell r="B9401" t="str">
            <v>3hhcoa</v>
          </cell>
          <cell r="C9401" t="str">
            <v>(S)-3-Hydroxyhexanoyl-CoA</v>
          </cell>
        </row>
        <row r="9402">
          <cell r="A9402" t="str">
            <v>3hib_m</v>
          </cell>
          <cell r="B9402" t="str">
            <v>3hib</v>
          </cell>
          <cell r="C9402" t="str">
            <v>(S)-3-Hydroxyisobutyrate</v>
          </cell>
        </row>
        <row r="9403">
          <cell r="A9403" t="str">
            <v>3hoctACP_h</v>
          </cell>
          <cell r="B9403" t="str">
            <v>3hoctACP</v>
          </cell>
          <cell r="C9403" t="str">
            <v>(R)-3-Hydroxyoctanoyl-[acyl-carrier protein]</v>
          </cell>
        </row>
        <row r="9404">
          <cell r="A9404" t="str">
            <v>3hpalmACP_h</v>
          </cell>
          <cell r="B9404" t="str">
            <v>3hpalmACP</v>
          </cell>
          <cell r="C9404" t="str">
            <v>R-3-hydroxypalmitoyl-[acyl-carrier protein]</v>
          </cell>
        </row>
        <row r="9405">
          <cell r="A9405" t="str">
            <v>3htdcoa_m</v>
          </cell>
          <cell r="B9405" t="str">
            <v>3htdcoa</v>
          </cell>
          <cell r="C9405" t="str">
            <v>(S)-3-Hydroxytetradecanoyl-CoA</v>
          </cell>
        </row>
        <row r="9406">
          <cell r="A9406" t="str">
            <v>3ig3p_h</v>
          </cell>
          <cell r="B9406" t="str">
            <v>3ig3p</v>
          </cell>
          <cell r="C9406" t="str">
            <v>C'-(3-Indolyl)-glycerol 3-phosphate</v>
          </cell>
        </row>
        <row r="9407">
          <cell r="A9407" t="str">
            <v>3mob_h</v>
          </cell>
          <cell r="B9407" t="str">
            <v>3mob</v>
          </cell>
          <cell r="C9407" t="str">
            <v>3-Methyl-2-oxobutanoate</v>
          </cell>
        </row>
        <row r="9408">
          <cell r="A9408" t="str">
            <v>3oddecACP_h</v>
          </cell>
          <cell r="B9408" t="str">
            <v>3oddecACP</v>
          </cell>
          <cell r="C9408" t="str">
            <v>3-Oxododecanoyl-[acyl-carrier protein]</v>
          </cell>
        </row>
        <row r="9409">
          <cell r="A9409" t="str">
            <v>3ohexACP_h</v>
          </cell>
          <cell r="B9409" t="str">
            <v>3ohexACP</v>
          </cell>
          <cell r="C9409" t="str">
            <v>3-Oxohexanoyl-[acyl-carrier protein]</v>
          </cell>
        </row>
        <row r="9410">
          <cell r="A9410" t="str">
            <v>3ooctdACP_h</v>
          </cell>
          <cell r="B9410" t="str">
            <v>3ooctdACP</v>
          </cell>
          <cell r="C9410" t="str">
            <v>3-Oxooctadecanoyl-[acyl-carrier protein]</v>
          </cell>
        </row>
        <row r="9411">
          <cell r="A9411" t="str">
            <v>4abutn_h</v>
          </cell>
          <cell r="B9411" t="str">
            <v>4abutn</v>
          </cell>
          <cell r="C9411" t="str">
            <v>4-Aminobutanal</v>
          </cell>
        </row>
        <row r="9412">
          <cell r="A9412" t="str">
            <v>4fumacac_n</v>
          </cell>
          <cell r="B9412" t="str">
            <v>4fumacac</v>
          </cell>
          <cell r="C9412" t="str">
            <v>4 Fumarylacetoacetate C8H6O6</v>
          </cell>
        </row>
        <row r="9413">
          <cell r="A9413" t="str">
            <v>4hproaraara_gal_megal_g</v>
          </cell>
          <cell r="B9413" t="str">
            <v>4hproaraara_gal_megal</v>
          </cell>
          <cell r="C9413" t="str">
            <v>Hyp(4-b1)Ara(2-b1)Ara[(2-a1)Gal](3-a1)MeGal</v>
          </cell>
        </row>
        <row r="9414">
          <cell r="A9414" t="str">
            <v>4hproaraaramegal_g</v>
          </cell>
          <cell r="B9414" t="str">
            <v>4hproaraaramegal</v>
          </cell>
          <cell r="C9414" t="str">
            <v>Hyp(4-b1)Ara(2-b1)Ara(2-a1)MeGal</v>
          </cell>
        </row>
        <row r="9415">
          <cell r="A9415" t="str">
            <v>4hproaragal_g</v>
          </cell>
          <cell r="B9415" t="str">
            <v>4hproaragal</v>
          </cell>
          <cell r="C9415" t="str">
            <v>Hyp(4-b1)Ara(2-a1)Gal</v>
          </cell>
        </row>
        <row r="9416">
          <cell r="A9416" t="str">
            <v>4hproara_aragal_gal_g</v>
          </cell>
          <cell r="B9416" t="str">
            <v>4hproara_aragal_gal</v>
          </cell>
          <cell r="C9416" t="str">
            <v>Hyp(4-b1)Ara[(2-b1)Ara(2-a1)Gal](3-a1)Gal</v>
          </cell>
        </row>
        <row r="9417">
          <cell r="A9417" t="str">
            <v>4pasp_h</v>
          </cell>
          <cell r="B9417" t="str">
            <v>4pasp</v>
          </cell>
          <cell r="C9417" t="str">
            <v>4-Phospho-L-aspartate</v>
          </cell>
        </row>
        <row r="9418">
          <cell r="A9418" t="str">
            <v>5aprbu_h</v>
          </cell>
          <cell r="B9418" t="str">
            <v>5aprbu</v>
          </cell>
          <cell r="C9418" t="str">
            <v>5-Amino-6-(5'-phosphoribitylamino)uracil</v>
          </cell>
        </row>
        <row r="9419">
          <cell r="A9419" t="str">
            <v>5flurimp_c</v>
          </cell>
          <cell r="B9419" t="str">
            <v>5flurimp</v>
          </cell>
          <cell r="C9419" t="str">
            <v>5-Fluorouridine monophosphate</v>
          </cell>
        </row>
        <row r="9420">
          <cell r="A9420" t="str">
            <v>6tgsnmp_c</v>
          </cell>
          <cell r="B9420" t="str">
            <v>6tgsnmp</v>
          </cell>
          <cell r="C9420" t="str">
            <v>6-Thioguanosine monophosphate</v>
          </cell>
        </row>
        <row r="9421">
          <cell r="A9421" t="str">
            <v>6tins5mp_c</v>
          </cell>
          <cell r="B9421" t="str">
            <v>6tins5mp</v>
          </cell>
          <cell r="C9421" t="str">
            <v>6-Thioinosine-5'-monophosphate</v>
          </cell>
        </row>
        <row r="9422">
          <cell r="A9422" t="str">
            <v>ac_h</v>
          </cell>
          <cell r="B9422" t="str">
            <v>ac</v>
          </cell>
          <cell r="C9422" t="str">
            <v>Acetate</v>
          </cell>
        </row>
        <row r="9423">
          <cell r="A9423" t="str">
            <v>acaro_u</v>
          </cell>
          <cell r="B9423" t="str">
            <v>acaro</v>
          </cell>
          <cell r="C9423" t="str">
            <v>Alpha-Carotene</v>
          </cell>
        </row>
        <row r="9424">
          <cell r="A9424" t="str">
            <v>adhlam_h</v>
          </cell>
          <cell r="B9424" t="str">
            <v>adhlam</v>
          </cell>
          <cell r="C9424" t="str">
            <v>S-Acetyldihydrolipoamide</v>
          </cell>
        </row>
        <row r="9425">
          <cell r="A9425" t="str">
            <v>adhlam_m</v>
          </cell>
          <cell r="B9425" t="str">
            <v>adhlam</v>
          </cell>
          <cell r="C9425" t="str">
            <v>S-Acetyldihydrolipoamide</v>
          </cell>
        </row>
        <row r="9426">
          <cell r="A9426" t="str">
            <v>aflburppa_c</v>
          </cell>
          <cell r="B9426" t="str">
            <v>aflburppa</v>
          </cell>
          <cell r="C9426" t="str">
            <v>Alpha-Fluoro-beta-ureidopropionic acid</v>
          </cell>
        </row>
        <row r="9427">
          <cell r="A9427" t="str">
            <v>ahcys_h</v>
          </cell>
          <cell r="B9427" t="str">
            <v>ahcys</v>
          </cell>
          <cell r="C9427" t="str">
            <v>S-Adenosyl-L-homocysteine</v>
          </cell>
        </row>
        <row r="9428">
          <cell r="A9428" t="str">
            <v>apoACP_h</v>
          </cell>
          <cell r="B9428" t="str">
            <v>apoACP</v>
          </cell>
          <cell r="C9428" t="str">
            <v>Apoprotein [acyl carrier protein]</v>
          </cell>
        </row>
        <row r="9429">
          <cell r="A9429" t="str">
            <v>aps_n</v>
          </cell>
          <cell r="B9429" t="str">
            <v>aps</v>
          </cell>
          <cell r="C9429" t="str">
            <v>Adenosine 5'-phosphosulfate</v>
          </cell>
        </row>
        <row r="9430">
          <cell r="A9430" t="str">
            <v>asnglcnacglcnacman_man_manman_manman_manmanmanglcglc_c</v>
          </cell>
          <cell r="B9430" t="str">
            <v>asnglcnacglcnacman_man_manman_manman_manmanmanglcglc</v>
          </cell>
          <cell r="C9430" t="str">
            <v>Asn(-b1)GlcNAc(4-b1)GlcNAc(4-b1)Man[(6-a1)Man[(6-a1)Man(2-a1)Man](3-a1)Man(2-a1)Man](3-a1)Man(2-a1)Man(2-a1)Man(3-a1)Glc(3-a1)Glc</v>
          </cell>
        </row>
        <row r="9431">
          <cell r="A9431" t="str">
            <v>asnglcnacglcnacman_man_man_c</v>
          </cell>
          <cell r="B9431" t="str">
            <v>asnglcnacglcnacman_man_man</v>
          </cell>
          <cell r="C9431" t="str">
            <v>Asn(-b1)GlcNAc(4-b1)GlcNAc(4-b1)Man[(6-a1)Man](3-a1)Man</v>
          </cell>
        </row>
        <row r="9432">
          <cell r="A9432" t="str">
            <v>asqdca1829Z12Z160_c</v>
          </cell>
          <cell r="B9432" t="str">
            <v>asqdca1829Z12Z160</v>
          </cell>
          <cell r="C9432" t="str">
            <v>2'-O-all-cis-5,9,12,15-octadecatetraenoyl-sulfoquinovosyldiacylglycerol (2'-18:4(5,9,12,15)/18:2(9Z,12Z)/16:0)</v>
          </cell>
        </row>
        <row r="9433">
          <cell r="A9433" t="str">
            <v>asqdpa1829Z12Z160_c</v>
          </cell>
          <cell r="B9433" t="str">
            <v>asqdpa1829Z12Z160</v>
          </cell>
          <cell r="C9433" t="str">
            <v>2'-O-all-cis-5,9,12-octadecatrienoyl-sulfoquinovosyldiacylglycerol (2'-18:3(5,9,12)/18:2(9Z,12Z)/16:0)</v>
          </cell>
        </row>
        <row r="9434">
          <cell r="A9434" t="str">
            <v>atp_f</v>
          </cell>
          <cell r="B9434" t="str">
            <v>atp</v>
          </cell>
          <cell r="C9434" t="str">
            <v>ATP C10H12N5O13P3</v>
          </cell>
        </row>
        <row r="9435">
          <cell r="A9435" t="str">
            <v>atp_h</v>
          </cell>
          <cell r="B9435" t="str">
            <v>atp</v>
          </cell>
          <cell r="C9435" t="str">
            <v>ATP C10H12N5O13P3</v>
          </cell>
        </row>
        <row r="9436">
          <cell r="A9436" t="str">
            <v>avite1_h</v>
          </cell>
          <cell r="B9436" t="str">
            <v>avite1</v>
          </cell>
          <cell r="C9436" t="str">
            <v>Alpha-Tocopherol</v>
          </cell>
        </row>
        <row r="9437">
          <cell r="A9437" t="str">
            <v>bamppald_h</v>
          </cell>
          <cell r="B9437" t="str">
            <v>bamppald</v>
          </cell>
          <cell r="C9437" t="str">
            <v>Beta-Aminopropion aldehyde</v>
          </cell>
        </row>
        <row r="9438">
          <cell r="A9438" t="str">
            <v>bilirub_h</v>
          </cell>
          <cell r="B9438" t="str">
            <v>bilirub</v>
          </cell>
          <cell r="C9438" t="str">
            <v>Bilirubin cytosol</v>
          </cell>
        </row>
        <row r="9439">
          <cell r="A9439" t="str">
            <v>caro_u</v>
          </cell>
          <cell r="B9439" t="str">
            <v>caro</v>
          </cell>
          <cell r="C9439" t="str">
            <v>Beta-Carotene</v>
          </cell>
        </row>
        <row r="9440">
          <cell r="A9440" t="str">
            <v>cdp12dgr1819Z160_c</v>
          </cell>
          <cell r="B9440" t="str">
            <v>cdp12dgr1819Z160</v>
          </cell>
          <cell r="C9440" t="str">
            <v>CDP-1-(11Z)-octadecenoyl,2-hexadecanoyl-sn-glycerol</v>
          </cell>
        </row>
        <row r="9441">
          <cell r="A9441" t="str">
            <v>chldb_h</v>
          </cell>
          <cell r="B9441" t="str">
            <v>chldb</v>
          </cell>
          <cell r="C9441" t="str">
            <v>Chlorophyllide b</v>
          </cell>
        </row>
        <row r="9442">
          <cell r="A9442" t="str">
            <v>chor_h</v>
          </cell>
          <cell r="B9442" t="str">
            <v>chor</v>
          </cell>
          <cell r="C9442" t="str">
            <v>Chorismate</v>
          </cell>
        </row>
        <row r="9443">
          <cell r="A9443" t="str">
            <v>cital_e</v>
          </cell>
          <cell r="B9443" t="str">
            <v>cital</v>
          </cell>
          <cell r="C9443" t="str">
            <v>Citalopram</v>
          </cell>
        </row>
        <row r="9444">
          <cell r="A9444" t="str">
            <v>citalald_c</v>
          </cell>
          <cell r="B9444" t="str">
            <v>citalald</v>
          </cell>
          <cell r="C9444" t="str">
            <v>Citalopram aldehyde</v>
          </cell>
        </row>
        <row r="9445">
          <cell r="A9445" t="str">
            <v>citalo_c</v>
          </cell>
          <cell r="B9445" t="str">
            <v>citalo</v>
          </cell>
          <cell r="C9445" t="str">
            <v>Citalopram N-oxide</v>
          </cell>
        </row>
        <row r="9446">
          <cell r="A9446" t="str">
            <v>citalppa_c</v>
          </cell>
          <cell r="B9446" t="str">
            <v>citalppa</v>
          </cell>
          <cell r="C9446" t="str">
            <v>Citalopram propionic acid</v>
          </cell>
        </row>
        <row r="9447">
          <cell r="A9447" t="str">
            <v>cpp1_h</v>
          </cell>
          <cell r="B9447" t="str">
            <v>cpp1</v>
          </cell>
          <cell r="C9447" t="str">
            <v>Coproporphyrin I</v>
          </cell>
        </row>
        <row r="9448">
          <cell r="A9448" t="str">
            <v>cytP450r_c</v>
          </cell>
          <cell r="B9448" t="str">
            <v>cytP450r</v>
          </cell>
          <cell r="C9448" t="str">
            <v>Reduced flavoprotein (cytochrome P-450)</v>
          </cell>
        </row>
        <row r="9449">
          <cell r="A9449" t="str">
            <v>dadp_h</v>
          </cell>
          <cell r="B9449" t="str">
            <v>dadp</v>
          </cell>
          <cell r="C9449" t="str">
            <v>DADP C10H12N5O9P2</v>
          </cell>
        </row>
        <row r="9450">
          <cell r="A9450" t="str">
            <v>damp_h</v>
          </cell>
          <cell r="B9450" t="str">
            <v>damp</v>
          </cell>
          <cell r="C9450" t="str">
            <v>DAMP C10H12N5O6P</v>
          </cell>
        </row>
        <row r="9451">
          <cell r="A9451" t="str">
            <v>damp_m</v>
          </cell>
          <cell r="B9451" t="str">
            <v>damp</v>
          </cell>
          <cell r="C9451" t="str">
            <v>DAMP C10H12N5O6P</v>
          </cell>
        </row>
        <row r="9452">
          <cell r="A9452" t="str">
            <v>dc2coa_m</v>
          </cell>
          <cell r="B9452" t="str">
            <v>dc2coa</v>
          </cell>
          <cell r="C9452" t="str">
            <v>Trans-Dec-2-enoyl-CoA</v>
          </cell>
        </row>
        <row r="9453">
          <cell r="A9453" t="str">
            <v>dca_h</v>
          </cell>
          <cell r="B9453" t="str">
            <v>dca</v>
          </cell>
          <cell r="C9453" t="str">
            <v>Decanoate (n-C10:0)</v>
          </cell>
        </row>
        <row r="9454">
          <cell r="A9454" t="str">
            <v>dcacoa_m</v>
          </cell>
          <cell r="B9454" t="str">
            <v>dcacoa</v>
          </cell>
          <cell r="C9454" t="str">
            <v>Decanoyl-CoA (n-C10:0CoA)</v>
          </cell>
        </row>
        <row r="9455">
          <cell r="A9455" t="str">
            <v>ddmcital_c</v>
          </cell>
          <cell r="B9455" t="str">
            <v>ddmcital</v>
          </cell>
          <cell r="C9455" t="str">
            <v>Didemethylcitalopram</v>
          </cell>
        </row>
        <row r="9456">
          <cell r="A9456" t="str">
            <v>dedoldp_c</v>
          </cell>
          <cell r="B9456" t="str">
            <v>dedoldp</v>
          </cell>
          <cell r="C9456" t="str">
            <v>Dehydrodolichol diphosphate</v>
          </cell>
        </row>
        <row r="9457">
          <cell r="A9457" t="str">
            <v>degly_e</v>
          </cell>
          <cell r="B9457" t="str">
            <v>degly</v>
          </cell>
          <cell r="C9457" t="str">
            <v>N,N-Diethylglycine</v>
          </cell>
        </row>
        <row r="9458">
          <cell r="A9458" t="str">
            <v>dgdg1819Z1627Z10Z_h</v>
          </cell>
          <cell r="B9458" t="str">
            <v>dgdg1819Z1627Z10Z</v>
          </cell>
          <cell r="C9458" t="str">
            <v>Digalactosyldiacylglycerol (1-(9Z)-octadecenoyl,2-(7Z,10Z)-hexadecadienoyl, 18:1(9Z)/16:2(7Z,10Z))</v>
          </cell>
        </row>
        <row r="9459">
          <cell r="A9459" t="str">
            <v>dghs18111Z18111Z_c</v>
          </cell>
          <cell r="B9459" t="str">
            <v>dghs18111Z18111Z</v>
          </cell>
          <cell r="C9459" t="str">
            <v>Diacylglycerolhomoserine (18:1(11Z)/18:1(11Z))</v>
          </cell>
        </row>
        <row r="9460">
          <cell r="A9460" t="str">
            <v>dghs1819Z18111Z_c</v>
          </cell>
          <cell r="B9460" t="str">
            <v>dghs1819Z18111Z</v>
          </cell>
          <cell r="C9460" t="str">
            <v>Diacylglycerolhomoserine (18:1(9Z)/18:1(11Z))</v>
          </cell>
        </row>
        <row r="9461">
          <cell r="A9461" t="str">
            <v>dgts1601819Z_c</v>
          </cell>
          <cell r="B9461" t="str">
            <v>dgts1601819Z</v>
          </cell>
          <cell r="C9461" t="str">
            <v>Diacylglyceryl-N,N,N-trimethylhomoserine (16:0/18:1(9Z))</v>
          </cell>
        </row>
        <row r="9462">
          <cell r="A9462" t="str">
            <v>dgts1601835Z9Z12Z_c</v>
          </cell>
          <cell r="B9462" t="str">
            <v>dgts1601835Z9Z12Z</v>
          </cell>
          <cell r="C9462" t="str">
            <v>Diacylglyceryl-N,N,N-trimethylhomoserine (16:0/18:3(5Z,9Z,12Z))</v>
          </cell>
        </row>
        <row r="9463">
          <cell r="A9463" t="str">
            <v>dgts18111Z1819Z_c</v>
          </cell>
          <cell r="B9463" t="str">
            <v>dgts18111Z1819Z</v>
          </cell>
          <cell r="C9463" t="str">
            <v>Diacylglyceryl-N,N,N-trimethylhomoserine (18:1(11Z)/18:1(9Z))</v>
          </cell>
        </row>
        <row r="9464">
          <cell r="A9464" t="str">
            <v>dgts1819Z1835Z9Z12Z_c</v>
          </cell>
          <cell r="B9464" t="str">
            <v>dgts1819Z1835Z9Z12Z</v>
          </cell>
          <cell r="C9464" t="str">
            <v>Diacylglyceryl-N,N,N-trimethylhomoserine (18:1(9Z)/18:3(5Z,9Z,12Z))</v>
          </cell>
        </row>
        <row r="9465">
          <cell r="A9465" t="str">
            <v>dhap_f</v>
          </cell>
          <cell r="B9465" t="str">
            <v>dhap</v>
          </cell>
          <cell r="C9465" t="str">
            <v>Dihydroxyacetone phosphate</v>
          </cell>
        </row>
        <row r="9466">
          <cell r="A9466" t="str">
            <v>dhap_h</v>
          </cell>
          <cell r="B9466" t="str">
            <v>dhap</v>
          </cell>
          <cell r="C9466" t="str">
            <v>Dihydroxyacetone phosphate</v>
          </cell>
        </row>
        <row r="9467">
          <cell r="A9467" t="str">
            <v>dhor__S_m</v>
          </cell>
          <cell r="B9467" t="str">
            <v>dhor__S</v>
          </cell>
          <cell r="C9467" t="str">
            <v>(S)-Dihydroorotate</v>
          </cell>
        </row>
        <row r="9468">
          <cell r="A9468" t="str">
            <v>23dmphol_h</v>
          </cell>
          <cell r="B9468" t="str">
            <v>23dmphol</v>
          </cell>
          <cell r="C9468" t="str">
            <v>2,3-Dimethyl-5-phytylquinol</v>
          </cell>
        </row>
        <row r="9469">
          <cell r="A9469" t="str">
            <v>doldpglcnacglcnacman_c</v>
          </cell>
          <cell r="B9469" t="str">
            <v>doldpglcnacglcnacman</v>
          </cell>
          <cell r="C9469" t="str">
            <v>PP-Dol(-a1)GlcNAc(4-b1)GlcNAc(4-b1)Man</v>
          </cell>
        </row>
        <row r="9470">
          <cell r="A9470" t="str">
            <v>doldpglcnacglcnacman_man_manman_c</v>
          </cell>
          <cell r="B9470" t="str">
            <v>doldpglcnacglcnacman_man_manman</v>
          </cell>
          <cell r="C9470" t="str">
            <v>PP-Dol(-a1)GlcNAc(4-b1)GlcNAc(4-b1)Man[(6-a1)Man](3-a1)Man(2-a1)Man</v>
          </cell>
        </row>
        <row r="9471">
          <cell r="A9471" t="str">
            <v>dolmanp_c</v>
          </cell>
          <cell r="B9471" t="str">
            <v>dolmanp</v>
          </cell>
          <cell r="C9471" t="str">
            <v>Dolichyl phosphate D mannose C21H38O9P</v>
          </cell>
        </row>
        <row r="9472">
          <cell r="A9472" t="str">
            <v>dscl_h</v>
          </cell>
          <cell r="B9472" t="str">
            <v>dscl</v>
          </cell>
          <cell r="C9472" t="str">
            <v>Dihydrosirohydrochlorin</v>
          </cell>
        </row>
        <row r="9473">
          <cell r="A9473" t="str">
            <v>e4p_h</v>
          </cell>
          <cell r="B9473" t="str">
            <v>e4p</v>
          </cell>
          <cell r="C9473" t="str">
            <v>D-Erythrose 4-phosphate</v>
          </cell>
        </row>
        <row r="9474">
          <cell r="A9474" t="str">
            <v>ecaro_h</v>
          </cell>
          <cell r="B9474" t="str">
            <v>ecaro</v>
          </cell>
          <cell r="C9474" t="str">
            <v>Epsilon-Carotene</v>
          </cell>
        </row>
        <row r="9475">
          <cell r="A9475" t="str">
            <v>fdp_B_f</v>
          </cell>
          <cell r="B9475" t="str">
            <v>fdp_B</v>
          </cell>
          <cell r="C9475" t="str">
            <v>Beta-D-Fructose 1,6-bisphosphate</v>
          </cell>
        </row>
        <row r="9476">
          <cell r="A9476" t="str">
            <v>fdp_B_h</v>
          </cell>
          <cell r="B9476" t="str">
            <v>fdp_B</v>
          </cell>
          <cell r="C9476" t="str">
            <v>Beta-D-Fructose 1,6-bisphosphate</v>
          </cell>
        </row>
        <row r="9477">
          <cell r="A9477" t="str">
            <v>fdp_B_m</v>
          </cell>
          <cell r="B9477" t="str">
            <v>fdp_B</v>
          </cell>
          <cell r="C9477" t="str">
            <v>Beta-D-Fructose 1,6-bisphosphate</v>
          </cell>
        </row>
        <row r="9478">
          <cell r="A9478" t="str">
            <v>fdxox_u</v>
          </cell>
          <cell r="B9478" t="str">
            <v>fdxox</v>
          </cell>
          <cell r="C9478" t="str">
            <v>Oxidized ferredoxin</v>
          </cell>
        </row>
        <row r="9479">
          <cell r="A9479" t="str">
            <v>ficytc_x</v>
          </cell>
          <cell r="B9479" t="str">
            <v>ficytc</v>
          </cell>
          <cell r="C9479" t="str">
            <v>Ferricytochrome c C42H52FeN8O6S2</v>
          </cell>
        </row>
        <row r="9480">
          <cell r="A9480" t="str">
            <v>for_h</v>
          </cell>
          <cell r="B9480" t="str">
            <v>for</v>
          </cell>
          <cell r="C9480" t="str">
            <v>Formate</v>
          </cell>
        </row>
        <row r="9481">
          <cell r="A9481" t="str">
            <v>fru_B_c</v>
          </cell>
          <cell r="B9481" t="str">
            <v>fru_B</v>
          </cell>
          <cell r="C9481" t="str">
            <v>Beta-D-fructose</v>
          </cell>
        </row>
        <row r="9482">
          <cell r="A9482" t="str">
            <v>fum_h</v>
          </cell>
          <cell r="B9482" t="str">
            <v>fum</v>
          </cell>
          <cell r="C9482" t="str">
            <v>Fumarate</v>
          </cell>
        </row>
        <row r="9483">
          <cell r="A9483" t="str">
            <v>g6p_A_c</v>
          </cell>
          <cell r="B9483" t="str">
            <v>g6p_A</v>
          </cell>
          <cell r="C9483" t="str">
            <v>Alpha-D-glucose 6 phosphate</v>
          </cell>
        </row>
        <row r="9484">
          <cell r="A9484" t="str">
            <v>gal_h</v>
          </cell>
          <cell r="B9484" t="str">
            <v>gal</v>
          </cell>
          <cell r="C9484" t="str">
            <v>D-Galactose</v>
          </cell>
        </row>
        <row r="9485">
          <cell r="A9485" t="str">
            <v>gal1p_h</v>
          </cell>
          <cell r="B9485" t="str">
            <v>gal1p</v>
          </cell>
          <cell r="C9485" t="str">
            <v>Alpha-D-Galactose 1-phosphate</v>
          </cell>
        </row>
        <row r="9486">
          <cell r="A9486" t="str">
            <v>ggl_h</v>
          </cell>
          <cell r="B9486" t="str">
            <v>ggl</v>
          </cell>
          <cell r="C9486" t="str">
            <v>Galactosylglycerol C9H18O8</v>
          </cell>
        </row>
        <row r="9487">
          <cell r="A9487" t="str">
            <v>Glc_aD_h</v>
          </cell>
          <cell r="B9487" t="str">
            <v>Glc_aD</v>
          </cell>
          <cell r="C9487" t="str">
            <v>Alpha-D-glucose</v>
          </cell>
        </row>
        <row r="9488">
          <cell r="A9488" t="str">
            <v>glc__bD_h</v>
          </cell>
          <cell r="B9488" t="str">
            <v>glc__bD</v>
          </cell>
          <cell r="C9488" t="str">
            <v>D-Glucose</v>
          </cell>
        </row>
        <row r="9489">
          <cell r="A9489" t="str">
            <v>glu5p_x</v>
          </cell>
          <cell r="B9489" t="str">
            <v>glu5p</v>
          </cell>
          <cell r="C9489" t="str">
            <v>L-Glutamate 5-phosphate</v>
          </cell>
        </row>
        <row r="9490">
          <cell r="A9490" t="str">
            <v>glutrna_h</v>
          </cell>
          <cell r="B9490" t="str">
            <v>glutrna</v>
          </cell>
          <cell r="C9490" t="str">
            <v>L-Glutamyl-tRNA(Glu)</v>
          </cell>
        </row>
        <row r="9491">
          <cell r="A9491" t="str">
            <v>glx_h</v>
          </cell>
          <cell r="B9491" t="str">
            <v>glx</v>
          </cell>
          <cell r="C9491" t="str">
            <v>Glyoxylate</v>
          </cell>
        </row>
        <row r="9492">
          <cell r="A9492" t="str">
            <v>gtp_h</v>
          </cell>
          <cell r="B9492" t="str">
            <v>gtp</v>
          </cell>
          <cell r="C9492" t="str">
            <v>GTP C10H12N5O14P3</v>
          </cell>
        </row>
        <row r="9493">
          <cell r="A9493" t="str">
            <v>h_s</v>
          </cell>
          <cell r="B9493" t="str">
            <v>h</v>
          </cell>
          <cell r="C9493" t="str">
            <v>H+</v>
          </cell>
        </row>
        <row r="9494">
          <cell r="A9494" t="str">
            <v>h2mb4p_h</v>
          </cell>
          <cell r="B9494" t="str">
            <v>h2mb4p</v>
          </cell>
          <cell r="C9494" t="str">
            <v>1-hydroxy-2-methyl-2-(E)-butenyl 4-diphosphate</v>
          </cell>
        </row>
        <row r="9495">
          <cell r="A9495" t="str">
            <v>h2o_s</v>
          </cell>
          <cell r="B9495" t="str">
            <v>h2o</v>
          </cell>
          <cell r="C9495" t="str">
            <v>H2O H2O</v>
          </cell>
        </row>
        <row r="9496">
          <cell r="A9496" t="str">
            <v>h2o2_h</v>
          </cell>
          <cell r="B9496" t="str">
            <v>h2o2</v>
          </cell>
          <cell r="C9496" t="str">
            <v>Hydrogen peroxide</v>
          </cell>
        </row>
        <row r="9497">
          <cell r="A9497" t="str">
            <v>h2s_h</v>
          </cell>
          <cell r="B9497" t="str">
            <v>h2s</v>
          </cell>
          <cell r="C9497" t="str">
            <v>Hydrogen sulfide</v>
          </cell>
        </row>
        <row r="9498">
          <cell r="A9498" t="str">
            <v>hco3_h</v>
          </cell>
          <cell r="B9498" t="str">
            <v>hco3</v>
          </cell>
          <cell r="C9498" t="str">
            <v>Bicarbonate</v>
          </cell>
        </row>
        <row r="9499">
          <cell r="A9499" t="str">
            <v>hdca_s</v>
          </cell>
          <cell r="B9499" t="str">
            <v>hdca</v>
          </cell>
          <cell r="C9499" t="str">
            <v>Hexadecanoate (n-C16:0)</v>
          </cell>
        </row>
        <row r="9500">
          <cell r="A9500" t="str">
            <v>hdeACP_h</v>
          </cell>
          <cell r="B9500" t="str">
            <v>hdeACP</v>
          </cell>
          <cell r="C9500" t="str">
            <v>Cis-hexadec-9-enoyl-[acyl-carrier protein] (n-C16:1)</v>
          </cell>
        </row>
        <row r="9501">
          <cell r="A9501" t="str">
            <v>hmbil_h</v>
          </cell>
          <cell r="B9501" t="str">
            <v>hmbil</v>
          </cell>
          <cell r="C9501" t="str">
            <v>Hydroxymethylbilane</v>
          </cell>
        </row>
        <row r="9502">
          <cell r="A9502" t="str">
            <v>hx2coa_m</v>
          </cell>
          <cell r="B9502" t="str">
            <v>hx2coa</v>
          </cell>
          <cell r="C9502" t="str">
            <v>Trans-Hex-2-enoyl-CoA</v>
          </cell>
        </row>
        <row r="9503">
          <cell r="A9503" t="str">
            <v>hxcoa_x</v>
          </cell>
          <cell r="B9503" t="str">
            <v>hxcoa</v>
          </cell>
          <cell r="C9503" t="str">
            <v>Hexanoyl-CoA (n-C6:0CoA)</v>
          </cell>
        </row>
        <row r="9504">
          <cell r="A9504" t="str">
            <v>lac__L_h</v>
          </cell>
          <cell r="B9504" t="str">
            <v>lac__L</v>
          </cell>
          <cell r="C9504" t="str">
            <v>L-Lactate</v>
          </cell>
        </row>
        <row r="9505">
          <cell r="A9505" t="str">
            <v>cysi__L_h</v>
          </cell>
          <cell r="B9505" t="str">
            <v>cysi__L</v>
          </cell>
          <cell r="C9505" t="str">
            <v>L Cystine C6H12N2O4S2</v>
          </cell>
        </row>
        <row r="9506">
          <cell r="A9506" t="str">
            <v>lpam_h</v>
          </cell>
          <cell r="B9506" t="str">
            <v>lpam</v>
          </cell>
          <cell r="C9506" t="str">
            <v>Lipoamide C8H15NOS2</v>
          </cell>
        </row>
        <row r="9507">
          <cell r="A9507" t="str">
            <v>mal__L_f</v>
          </cell>
          <cell r="B9507" t="str">
            <v>mal__L</v>
          </cell>
          <cell r="C9507" t="str">
            <v>L-Malate</v>
          </cell>
        </row>
        <row r="9508">
          <cell r="A9508" t="str">
            <v>mal__L_h</v>
          </cell>
          <cell r="B9508" t="str">
            <v>mal__L</v>
          </cell>
          <cell r="C9508" t="str">
            <v>L-Malate</v>
          </cell>
        </row>
        <row r="9509">
          <cell r="A9509" t="str">
            <v>man6p_h</v>
          </cell>
          <cell r="B9509" t="str">
            <v>man6p</v>
          </cell>
          <cell r="C9509" t="str">
            <v>D-Mannose 6-phosphate</v>
          </cell>
        </row>
        <row r="9510">
          <cell r="A9510" t="str">
            <v>melt_h</v>
          </cell>
          <cell r="B9510" t="str">
            <v>melt</v>
          </cell>
          <cell r="C9510" t="str">
            <v>Melibiitol C12H24O11</v>
          </cell>
        </row>
        <row r="9511">
          <cell r="A9511" t="str">
            <v>metarhodopsin_s</v>
          </cell>
          <cell r="B9511" t="str">
            <v>metarhodopsin</v>
          </cell>
          <cell r="C9511" t="str">
            <v>Metarhodopsin</v>
          </cell>
        </row>
        <row r="9512">
          <cell r="A9512" t="str">
            <v>methf_x</v>
          </cell>
          <cell r="B9512" t="str">
            <v>methf</v>
          </cell>
          <cell r="C9512" t="str">
            <v>5,10-Methenyltetrahydrofolate</v>
          </cell>
        </row>
        <row r="9513">
          <cell r="A9513" t="str">
            <v>mgdg1819Z160_h</v>
          </cell>
          <cell r="B9513" t="str">
            <v>mgdg1819Z160</v>
          </cell>
          <cell r="C9513" t="str">
            <v>Monogalactosyldiacylglycerol (1-(9Z)-octadecenoyl,2-hexadecanoyl, 18:1(9Z)/16:0)</v>
          </cell>
        </row>
        <row r="9514">
          <cell r="A9514" t="str">
            <v>mgdg1819Z1627Z10Z_h</v>
          </cell>
          <cell r="B9514" t="str">
            <v>mgdg1819Z1627Z10Z</v>
          </cell>
          <cell r="C9514" t="str">
            <v>Monogalactosyldiacylglycerol (1-(9Z)-octadecenoyl,2-(7Z,10Z)-hexadecadienoyl, 18:1(9Z)/16:2(7Z,10Z))</v>
          </cell>
        </row>
        <row r="9515">
          <cell r="A9515" t="str">
            <v>mgdg1839Z12Z15Z1644Z7Z10Z13Z_h</v>
          </cell>
          <cell r="B9515" t="str">
            <v>mgdg1839Z12Z15Z1644Z7Z10Z13Z</v>
          </cell>
          <cell r="C9515" t="str">
            <v>Monogalactosyldiacylglycerol (1-(9Z,12Z,15Z)-octadecatrienoyl,2-(4Z,7Z,10Z,13Z)-hexadecatetraenoyl, 18:3(9Z,12Z,15Z)/16:4(4Z,7Z,10Z,13Z))</v>
          </cell>
        </row>
        <row r="9516">
          <cell r="A9516" t="str">
            <v>mi12356p_c</v>
          </cell>
          <cell r="B9516" t="str">
            <v>mi12356p</v>
          </cell>
          <cell r="C9516" t="str">
            <v>Inositol 1,2,3,5,6-pentakisphosphate</v>
          </cell>
        </row>
        <row r="9517">
          <cell r="A9517" t="str">
            <v>mppp9me_h</v>
          </cell>
          <cell r="B9517" t="str">
            <v>mppp9me</v>
          </cell>
          <cell r="C9517" t="str">
            <v>Magnesium protoporphyrin IX monomethyl ester</v>
          </cell>
        </row>
        <row r="9518">
          <cell r="A9518" t="str">
            <v>na1_h</v>
          </cell>
          <cell r="B9518" t="str">
            <v>na1</v>
          </cell>
          <cell r="C9518" t="str">
            <v>Sodium</v>
          </cell>
        </row>
        <row r="9519">
          <cell r="A9519" t="str">
            <v>na1_m</v>
          </cell>
          <cell r="B9519" t="str">
            <v>na1</v>
          </cell>
          <cell r="C9519" t="str">
            <v>Sodium</v>
          </cell>
        </row>
        <row r="9520">
          <cell r="A9520" t="str">
            <v>nad_s</v>
          </cell>
          <cell r="B9520" t="str">
            <v>nad</v>
          </cell>
          <cell r="C9520" t="str">
            <v>Nicotinamide adenine dinucleotide</v>
          </cell>
        </row>
        <row r="9521">
          <cell r="A9521" t="str">
            <v>nadph_f</v>
          </cell>
          <cell r="B9521" t="str">
            <v>nadph</v>
          </cell>
          <cell r="C9521" t="str">
            <v>Nicotinamide adenine dinucleotide phosphate - reduced</v>
          </cell>
        </row>
        <row r="9522">
          <cell r="A9522" t="str">
            <v>nadph_h</v>
          </cell>
          <cell r="B9522" t="str">
            <v>nadph</v>
          </cell>
          <cell r="C9522" t="str">
            <v>Nicotinamide adenine dinucleotide phosphate - reduced</v>
          </cell>
        </row>
        <row r="9523">
          <cell r="A9523" t="str">
            <v>o2D_u</v>
          </cell>
          <cell r="B9523" t="str">
            <v>o2D</v>
          </cell>
          <cell r="C9523" t="str">
            <v>O2 (Dummy metabolite to resolve Type IV path)</v>
          </cell>
        </row>
        <row r="9524">
          <cell r="A9524" t="str">
            <v>obfool_c</v>
          </cell>
          <cell r="B9524" t="str">
            <v>obfool</v>
          </cell>
          <cell r="C9524" t="str">
            <v>Obtusifoliol</v>
          </cell>
        </row>
        <row r="9525">
          <cell r="A9525" t="str">
            <v>oc2coa_x</v>
          </cell>
          <cell r="B9525" t="str">
            <v>oc2coa</v>
          </cell>
          <cell r="C9525" t="str">
            <v>Trans-Oct-2-enoyl-CoA</v>
          </cell>
        </row>
        <row r="9526">
          <cell r="A9526" t="str">
            <v>ocdce9a_c</v>
          </cell>
          <cell r="B9526" t="str">
            <v>ocdce9a</v>
          </cell>
          <cell r="C9526" t="str">
            <v>Octadecenoate (18:1(9Z))</v>
          </cell>
        </row>
        <row r="9527">
          <cell r="A9527" t="str">
            <v>octa_h</v>
          </cell>
          <cell r="B9527" t="str">
            <v>octa</v>
          </cell>
          <cell r="C9527" t="str">
            <v>Octanoate (n-C8:0)</v>
          </cell>
        </row>
        <row r="9528">
          <cell r="A9528" t="str">
            <v>octeACP_h</v>
          </cell>
          <cell r="B9528" t="str">
            <v>octeACP</v>
          </cell>
          <cell r="C9528" t="str">
            <v>Cis-octadec-11-enoyl-[acyl-carrier protein] (n-C18:1)</v>
          </cell>
        </row>
        <row r="9529">
          <cell r="A9529" t="str">
            <v>omppp9_h</v>
          </cell>
          <cell r="B9529" t="str">
            <v>omppp9</v>
          </cell>
          <cell r="C9529" t="str">
            <v>13(1)-Oxo-magnesium-protoporphyrin IX 13-monomethyl ester</v>
          </cell>
        </row>
        <row r="9530">
          <cell r="A9530" t="str">
            <v>orot_m</v>
          </cell>
          <cell r="B9530" t="str">
            <v>orot</v>
          </cell>
          <cell r="C9530" t="str">
            <v>Orotate C5H3N2O4</v>
          </cell>
        </row>
        <row r="9531">
          <cell r="A9531" t="str">
            <v>pa1801819Z_h</v>
          </cell>
          <cell r="B9531" t="str">
            <v>pa1801819Z</v>
          </cell>
          <cell r="C9531" t="str">
            <v>1-octadecanoyl,2-(9Z)-octadecenoyl-sn-glycerol 3-phosphate</v>
          </cell>
        </row>
        <row r="9532">
          <cell r="A9532" t="str">
            <v>pa1801829Z12Z_c</v>
          </cell>
          <cell r="B9532" t="str">
            <v>pa1801829Z12Z</v>
          </cell>
          <cell r="C9532" t="str">
            <v>1-octadecanoyl,2-(9Z,12Z)-octadecadienoyl-sn-glycerol 3-phosphate</v>
          </cell>
        </row>
        <row r="9533">
          <cell r="A9533" t="str">
            <v>pa18111Z160_h</v>
          </cell>
          <cell r="B9533" t="str">
            <v>pa18111Z160</v>
          </cell>
          <cell r="C9533" t="str">
            <v>1-(11Z)-octadecenoyl,2-hexadecanoyl-sn-glycerol 3-phosphate</v>
          </cell>
        </row>
        <row r="9534">
          <cell r="A9534" t="str">
            <v>pa18111Z18111Z_c</v>
          </cell>
          <cell r="B9534" t="str">
            <v>pa18111Z18111Z</v>
          </cell>
          <cell r="C9534" t="str">
            <v>1-(11Z)-octadecenoyl,2-(11Z)-octadecenoyl-sn-glycerol 3-phosphate</v>
          </cell>
        </row>
        <row r="9535">
          <cell r="A9535" t="str">
            <v>pa1819Z1835Z9Z12Z_c</v>
          </cell>
          <cell r="B9535" t="str">
            <v>pa1819Z1835Z9Z12Z</v>
          </cell>
          <cell r="C9535" t="str">
            <v>1-(9Z)-octadecenoyl,2-(5Z,9Z,12Z)-octadecatrienoyl-sn-glycerol 3-phosphate</v>
          </cell>
        </row>
        <row r="9536">
          <cell r="A9536" t="str">
            <v>pail1819Z160_e</v>
          </cell>
          <cell r="B9536" t="str">
            <v>pail1819Z160</v>
          </cell>
          <cell r="C9536" t="str">
            <v>1-Phosphatidyl-D-myo-inositol (1-(9Z)-octadecenoyl,2-hexadecanoyl, 18:1(9Z)/16:0)</v>
          </cell>
        </row>
        <row r="9537">
          <cell r="A9537" t="str">
            <v>phdp_u</v>
          </cell>
          <cell r="B9537" t="str">
            <v>phdp</v>
          </cell>
          <cell r="C9537" t="str">
            <v>Phytyl diphosphate</v>
          </cell>
        </row>
        <row r="9538">
          <cell r="A9538" t="str">
            <v>pe1801819Z_c</v>
          </cell>
          <cell r="B9538" t="str">
            <v>pe1801819Z</v>
          </cell>
          <cell r="C9538" t="str">
            <v>Phosphatidylethanolamine (18:0/18:1(9Z))</v>
          </cell>
        </row>
        <row r="9539">
          <cell r="A9539" t="str">
            <v>pe1801829Z12Z_c</v>
          </cell>
          <cell r="B9539" t="str">
            <v>pe1801829Z12Z</v>
          </cell>
          <cell r="C9539" t="str">
            <v>Phosphatidylethanolamine (18:0/18:2(9Z,12Z))</v>
          </cell>
        </row>
        <row r="9540">
          <cell r="A9540" t="str">
            <v>pe1801845Z9Z12Z15Z_c</v>
          </cell>
          <cell r="B9540" t="str">
            <v>pe1801845Z9Z12Z15Z</v>
          </cell>
          <cell r="C9540" t="str">
            <v>Phosphatidylethanolamine (18:0/18:4(5Z,9Z,12Z,15Z))</v>
          </cell>
        </row>
        <row r="9541">
          <cell r="A9541" t="str">
            <v>pe18111Z1819Z_c</v>
          </cell>
          <cell r="B9541" t="str">
            <v>pe18111Z1819Z</v>
          </cell>
          <cell r="C9541" t="str">
            <v>Phosphatidylethanolamine (18:1(11Z)/18:1(9Z))</v>
          </cell>
        </row>
        <row r="9542">
          <cell r="A9542" t="str">
            <v>pe1819Z1819Z_c</v>
          </cell>
          <cell r="B9542" t="str">
            <v>pe1819Z1819Z</v>
          </cell>
          <cell r="C9542" t="str">
            <v>Phosphatidylethanolamine (18:1(9Z)/18:1(9Z))</v>
          </cell>
        </row>
        <row r="9543">
          <cell r="A9543" t="str">
            <v>pe1819Z1829Z12Z_c</v>
          </cell>
          <cell r="B9543" t="str">
            <v>pe1819Z1829Z12Z</v>
          </cell>
          <cell r="C9543" t="str">
            <v>Phosphatidylethanolamine (18:1(9Z)/18:2(9Z,12Z))</v>
          </cell>
        </row>
        <row r="9544">
          <cell r="A9544" t="str">
            <v>pe1819Z1835Z9Z12Z_e</v>
          </cell>
          <cell r="B9544" t="str">
            <v>pe1819Z1835Z9Z12Z</v>
          </cell>
          <cell r="C9544" t="str">
            <v>Phosphatidylethanolamine (18:1(9Z)/18:3(5Z,9Z,12Z))</v>
          </cell>
        </row>
        <row r="9545">
          <cell r="A9545" t="str">
            <v>pg18111Z160_h</v>
          </cell>
          <cell r="B9545" t="str">
            <v>pg18111Z160</v>
          </cell>
          <cell r="C9545" t="str">
            <v>Phosphatidylglycerol (1-(11Z)-octadecenoyl,2-hexadecanoyl, 18:1(11Z)/16:0)</v>
          </cell>
        </row>
        <row r="9546">
          <cell r="A9546" t="str">
            <v>pg1819Z160_h</v>
          </cell>
          <cell r="B9546" t="str">
            <v>pg1819Z160</v>
          </cell>
          <cell r="C9546" t="str">
            <v>Phosphatidylglycerol (1-(9Z)-octadecenoyl,2-hexadecanoyl, 18:1(9Z)/16:0)</v>
          </cell>
        </row>
        <row r="9547">
          <cell r="A9547" t="str">
            <v>pg1819Z1613E_h</v>
          </cell>
          <cell r="B9547" t="str">
            <v>pg1819Z1613E</v>
          </cell>
          <cell r="C9547" t="str">
            <v>Phosphatidylglycerol (1-(9Z)-octadecenoyl,2-(3E)-hexadecenoyl, 18:1(9Z)/16:1(3E))</v>
          </cell>
        </row>
        <row r="9548">
          <cell r="A9548" t="str">
            <v>pgp1819Z160_c</v>
          </cell>
          <cell r="B9548" t="str">
            <v>pgp1819Z160</v>
          </cell>
          <cell r="C9548" t="str">
            <v>Phosphatidylglycerophosphate (1-(9Z)-octadecenoyl,2-hexadecanoyl, 18:1(9Z)/16:0)</v>
          </cell>
        </row>
        <row r="9549">
          <cell r="A9549" t="str">
            <v>photon490_s</v>
          </cell>
          <cell r="B9549" t="str">
            <v>photon490</v>
          </cell>
          <cell r="C9549" t="str">
            <v>Photon (451 to 526 nm, blue/green)</v>
          </cell>
        </row>
        <row r="9550">
          <cell r="A9550" t="str">
            <v>photonVis_e</v>
          </cell>
          <cell r="B9550" t="str">
            <v>photonVis</v>
          </cell>
          <cell r="C9550" t="str">
            <v>Photon (380 to 750 nm, visible spectrum)</v>
          </cell>
        </row>
        <row r="9551">
          <cell r="A9551" t="str">
            <v>phphbda_h</v>
          </cell>
          <cell r="B9551" t="str">
            <v>phphbda</v>
          </cell>
          <cell r="C9551" t="str">
            <v>Pheophorbide a</v>
          </cell>
        </row>
        <row r="9552">
          <cell r="A9552" t="str">
            <v>pi_f</v>
          </cell>
          <cell r="B9552" t="str">
            <v>pi</v>
          </cell>
          <cell r="C9552" t="str">
            <v>Phosphate</v>
          </cell>
        </row>
        <row r="9553">
          <cell r="A9553" t="str">
            <v>pi_h</v>
          </cell>
          <cell r="B9553" t="str">
            <v>pi</v>
          </cell>
          <cell r="C9553" t="str">
            <v>Phosphate</v>
          </cell>
        </row>
        <row r="9554">
          <cell r="A9554" t="str">
            <v>ppcoa_n</v>
          </cell>
          <cell r="B9554" t="str">
            <v>ppcoa</v>
          </cell>
          <cell r="C9554" t="str">
            <v>Propanoyl-CoA</v>
          </cell>
        </row>
        <row r="9555">
          <cell r="A9555" t="str">
            <v>ppi_h</v>
          </cell>
          <cell r="B9555" t="str">
            <v>ppi</v>
          </cell>
          <cell r="C9555" t="str">
            <v>Diphosphate</v>
          </cell>
        </row>
        <row r="9556">
          <cell r="A9556" t="str">
            <v>pqqox_x</v>
          </cell>
          <cell r="B9556" t="str">
            <v>pqqox</v>
          </cell>
          <cell r="C9556" t="str">
            <v>PQQ (Pyrroloquinoline-quinone) oxidized form</v>
          </cell>
        </row>
        <row r="9557">
          <cell r="A9557" t="str">
            <v>pqqrd_x</v>
          </cell>
          <cell r="B9557" t="str">
            <v>pqqrd</v>
          </cell>
          <cell r="C9557" t="str">
            <v>PQQ (pyrroloquinoline-quinone) reduced form</v>
          </cell>
        </row>
        <row r="9558">
          <cell r="A9558" t="str">
            <v>q8_m</v>
          </cell>
          <cell r="B9558" t="str">
            <v>q8</v>
          </cell>
          <cell r="C9558" t="str">
            <v>Ubiquinone-8</v>
          </cell>
        </row>
        <row r="9559">
          <cell r="A9559" t="str">
            <v>retinol_cis_11_s</v>
          </cell>
          <cell r="B9559" t="str">
            <v>retinol_cis_11</v>
          </cell>
          <cell r="C9559" t="str">
            <v>11-cis-Retinol</v>
          </cell>
        </row>
        <row r="9560">
          <cell r="A9560" t="str">
            <v>retpalm_11_cis_s</v>
          </cell>
          <cell r="B9560" t="str">
            <v>retpalm_11_cis</v>
          </cell>
          <cell r="C9560" t="str">
            <v>11-cis-Retinyl palmitate</v>
          </cell>
        </row>
        <row r="9561">
          <cell r="A9561" t="str">
            <v>s17bp_h</v>
          </cell>
          <cell r="B9561" t="str">
            <v>s17bp</v>
          </cell>
          <cell r="C9561" t="str">
            <v>Sedoheptulose 1,7-bisphosphate</v>
          </cell>
        </row>
        <row r="9562">
          <cell r="A9562" t="str">
            <v>sertrna_sec_m</v>
          </cell>
          <cell r="B9562" t="str">
            <v>sertrna_sec</v>
          </cell>
          <cell r="C9562" t="str">
            <v>L-Seryl-tRNA(Sec)</v>
          </cell>
        </row>
        <row r="9563">
          <cell r="A9563" t="str">
            <v>skm5p_h</v>
          </cell>
          <cell r="B9563" t="str">
            <v>skm5p</v>
          </cell>
          <cell r="C9563" t="str">
            <v>Shikimate 5-phosphate</v>
          </cell>
        </row>
        <row r="9564">
          <cell r="A9564" t="str">
            <v>sprm_h</v>
          </cell>
          <cell r="B9564" t="str">
            <v>sprm</v>
          </cell>
          <cell r="C9564" t="str">
            <v>Spermine C10H30N4</v>
          </cell>
        </row>
        <row r="9565">
          <cell r="A9565" t="str">
            <v>sqdg18111Z160_c</v>
          </cell>
          <cell r="B9565" t="str">
            <v>sqdg18111Z160</v>
          </cell>
          <cell r="C9565" t="str">
            <v>Sulfoquinovosyldiacylglycerol (1-(11Z)-octadecenoyl,2-hexadecanoyl, 18:1(11Z)/16:0)</v>
          </cell>
        </row>
        <row r="9566">
          <cell r="A9566" t="str">
            <v>sucald_c</v>
          </cell>
          <cell r="B9566" t="str">
            <v>sucald</v>
          </cell>
          <cell r="C9566" t="str">
            <v>Succinic aldehyde</v>
          </cell>
        </row>
        <row r="9567">
          <cell r="A9567" t="str">
            <v>sucsal_h</v>
          </cell>
          <cell r="B9567" t="str">
            <v>sucsal</v>
          </cell>
          <cell r="C9567" t="str">
            <v>Succinic semialdehyde</v>
          </cell>
        </row>
        <row r="9568">
          <cell r="A9568" t="str">
            <v>tag1601819Z18111Z_c</v>
          </cell>
          <cell r="B9568" t="str">
            <v>tag1601819Z18111Z</v>
          </cell>
          <cell r="C9568" t="str">
            <v>Triacylglycerol (16:0/18:1(9Z)/18:1(11Z))</v>
          </cell>
        </row>
        <row r="9569">
          <cell r="A9569" t="str">
            <v>tag1801819Z180_c</v>
          </cell>
          <cell r="B9569" t="str">
            <v>tag1801819Z180</v>
          </cell>
          <cell r="C9569" t="str">
            <v>Triacylglycerol (18:0/18:1(9Z)/18:0)</v>
          </cell>
        </row>
        <row r="9570">
          <cell r="A9570" t="str">
            <v>tag1801819Z1835Z9Z12Z_c</v>
          </cell>
          <cell r="B9570" t="str">
            <v>tag1801819Z1835Z9Z12Z</v>
          </cell>
          <cell r="C9570" t="str">
            <v>Triacylglycerol (18:0/18:1(9Z)/18:3(5Z,9Z,12Z))</v>
          </cell>
        </row>
        <row r="9571">
          <cell r="A9571" t="str">
            <v>tag1801819Z1845Z9Z12Z15Z_c</v>
          </cell>
          <cell r="B9571" t="str">
            <v>tag1801819Z1845Z9Z12Z15Z</v>
          </cell>
          <cell r="C9571" t="str">
            <v>Triacylglycerol (18:0/18:1(9Z)/18:4(5Z,9Z,12Z,15Z))</v>
          </cell>
        </row>
        <row r="9572">
          <cell r="A9572" t="str">
            <v>tag18111Z18111Z160_c</v>
          </cell>
          <cell r="B9572" t="str">
            <v>tag18111Z18111Z160</v>
          </cell>
          <cell r="C9572" t="str">
            <v>Triacylglycerol (18:1(11Z)/18:1(11Z)/16:0)</v>
          </cell>
        </row>
        <row r="9573">
          <cell r="A9573" t="str">
            <v>tag18111Z18111Z1835Z9Z12Z_c</v>
          </cell>
          <cell r="B9573" t="str">
            <v>tag18111Z18111Z1835Z9Z12Z</v>
          </cell>
          <cell r="C9573" t="str">
            <v>Triacylglycerol (18:1(11Z)/18:1(11Z)/18:3(5Z,9Z,12Z))</v>
          </cell>
        </row>
        <row r="9574">
          <cell r="A9574" t="str">
            <v>tag18111Z18111Z1845Z9Z12Z15Z_c</v>
          </cell>
          <cell r="B9574" t="str">
            <v>tag18111Z18111Z1845Z9Z12Z15Z</v>
          </cell>
          <cell r="C9574" t="str">
            <v>Triacylglycerol (18:1(11Z)/18:1(11Z)/18:4(5Z,9Z,12Z,15Z))</v>
          </cell>
        </row>
        <row r="9575">
          <cell r="A9575" t="str">
            <v>tag18111Z1819Z160_c</v>
          </cell>
          <cell r="B9575" t="str">
            <v>tag18111Z1819Z160</v>
          </cell>
          <cell r="C9575" t="str">
            <v>Triacylglycerol (18:1(11Z)/18:1(9Z)/16:0)</v>
          </cell>
        </row>
        <row r="9576">
          <cell r="A9576" t="str">
            <v>tag18111Z1819Z1845Z9Z12Z15Z_c</v>
          </cell>
          <cell r="B9576" t="str">
            <v>tag18111Z1819Z1845Z9Z12Z15Z</v>
          </cell>
          <cell r="C9576" t="str">
            <v>Triacylglycerol (18:1(11Z)/18:1(9Z)/18:4(5Z,9Z,12Z,15Z))</v>
          </cell>
        </row>
        <row r="9577">
          <cell r="A9577" t="str">
            <v>tag1819Z18111Z180_c</v>
          </cell>
          <cell r="B9577" t="str">
            <v>tag1819Z18111Z180</v>
          </cell>
          <cell r="C9577" t="str">
            <v>Triacylglycerol (18:1(9Z)/18:1(11Z)/18:0)</v>
          </cell>
        </row>
        <row r="9578">
          <cell r="A9578" t="str">
            <v>tag1819Z18111Z1819Z_c</v>
          </cell>
          <cell r="B9578" t="str">
            <v>tag1819Z18111Z1819Z</v>
          </cell>
          <cell r="C9578" t="str">
            <v>Triacylglycerol (18:1(9Z)/18:1(11Z)/18:1(9Z))</v>
          </cell>
        </row>
        <row r="9579">
          <cell r="A9579" t="str">
            <v>tag1819Z1819Z180_c</v>
          </cell>
          <cell r="B9579" t="str">
            <v>tag1819Z1819Z180</v>
          </cell>
          <cell r="C9579" t="str">
            <v>Triacylglycerol (18:1(9Z)/18:1(9Z)/18:0)</v>
          </cell>
        </row>
        <row r="9580">
          <cell r="A9580" t="str">
            <v>tddec2eACP_h</v>
          </cell>
          <cell r="B9580" t="str">
            <v>tddec2eACP</v>
          </cell>
          <cell r="C9580" t="str">
            <v>Trans-Dodec-2-enoyl-[acyl-carrier protein]</v>
          </cell>
        </row>
        <row r="9581">
          <cell r="A9581" t="str">
            <v>tdec2eACP_h</v>
          </cell>
          <cell r="B9581" t="str">
            <v>tdec2eACP</v>
          </cell>
          <cell r="C9581" t="str">
            <v>Trans-Dec-2-enoyl-[acyl-carrier protein]</v>
          </cell>
        </row>
        <row r="9582">
          <cell r="A9582" t="str">
            <v>tgua_c</v>
          </cell>
          <cell r="B9582" t="str">
            <v>tgua</v>
          </cell>
          <cell r="C9582" t="str">
            <v>Thioguanine</v>
          </cell>
        </row>
        <row r="9583">
          <cell r="A9583" t="str">
            <v>thex2eACP_h</v>
          </cell>
          <cell r="B9583" t="str">
            <v>thex2eACP</v>
          </cell>
          <cell r="C9583" t="str">
            <v>Trans-Hex-2-enoyl-[acyl-carrier protein]</v>
          </cell>
        </row>
        <row r="9584">
          <cell r="A9584" t="str">
            <v>trnasecys_m</v>
          </cell>
          <cell r="B9584" t="str">
            <v>trnasecys</v>
          </cell>
          <cell r="C9584" t="str">
            <v>TRNA(SeCys)</v>
          </cell>
        </row>
        <row r="9585">
          <cell r="A9585" t="str">
            <v>trnaval_h</v>
          </cell>
          <cell r="B9585" t="str">
            <v>trnaval</v>
          </cell>
          <cell r="C9585" t="str">
            <v>TRNA(Val)</v>
          </cell>
        </row>
        <row r="9586">
          <cell r="A9586" t="str">
            <v>trp__L_h</v>
          </cell>
          <cell r="B9586" t="str">
            <v>trp__L</v>
          </cell>
          <cell r="C9586" t="str">
            <v>L-Tryptophan</v>
          </cell>
        </row>
        <row r="9587">
          <cell r="A9587" t="str">
            <v>ttdca_h</v>
          </cell>
          <cell r="B9587" t="str">
            <v>ttdca</v>
          </cell>
          <cell r="C9587" t="str">
            <v>Tetradecanoate (n-C14:0)</v>
          </cell>
        </row>
        <row r="9588">
          <cell r="A9588" t="str">
            <v>tyr__L_h</v>
          </cell>
          <cell r="B9588" t="str">
            <v>tyr__L</v>
          </cell>
          <cell r="C9588" t="str">
            <v>L-Tyrosine</v>
          </cell>
        </row>
        <row r="9589">
          <cell r="A9589" t="str">
            <v>udpgal_h</v>
          </cell>
          <cell r="B9589" t="str">
            <v>udpgal</v>
          </cell>
          <cell r="C9589" t="str">
            <v>UDPgalactose</v>
          </cell>
        </row>
        <row r="9590">
          <cell r="A9590" t="str">
            <v>upp3_h</v>
          </cell>
          <cell r="B9590" t="str">
            <v>upp3</v>
          </cell>
          <cell r="C9590" t="str">
            <v>Uroporphyrin III</v>
          </cell>
        </row>
        <row r="9591">
          <cell r="A9591" t="str">
            <v>urate_m</v>
          </cell>
          <cell r="B9591" t="str">
            <v>urate</v>
          </cell>
          <cell r="C9591" t="str">
            <v>Urate C5H4N4O3</v>
          </cell>
        </row>
        <row r="9592">
          <cell r="A9592" t="str">
            <v>urdglyc_m</v>
          </cell>
          <cell r="B9592" t="str">
            <v>urdglyc</v>
          </cell>
          <cell r="C9592" t="str">
            <v>(-)-Ureidoglycolate</v>
          </cell>
        </row>
        <row r="9593">
          <cell r="A9593" t="str">
            <v>val__L_h</v>
          </cell>
          <cell r="B9593" t="str">
            <v>val__L</v>
          </cell>
          <cell r="C9593" t="str">
            <v>L-Valine</v>
          </cell>
        </row>
        <row r="9594">
          <cell r="A9594" t="str">
            <v>valtrna_h</v>
          </cell>
          <cell r="B9594" t="str">
            <v>valtrna</v>
          </cell>
          <cell r="C9594" t="str">
            <v>L-Valyl-tRNA(Val)</v>
          </cell>
        </row>
        <row r="9595">
          <cell r="A9595" t="str">
            <v>xu5p__D_h</v>
          </cell>
          <cell r="B9595" t="str">
            <v>xu5p__D</v>
          </cell>
          <cell r="C9595" t="str">
            <v>D-Xylulose 5-phosphate</v>
          </cell>
        </row>
        <row r="9596">
          <cell r="A9596" t="str">
            <v>gtocophe_h</v>
          </cell>
          <cell r="B9596" t="str">
            <v>gtocophe</v>
          </cell>
          <cell r="C9596" t="str">
            <v>Gamma-Tocopherol</v>
          </cell>
        </row>
        <row r="9597">
          <cell r="A9597" t="str">
            <v>zcarote_h</v>
          </cell>
          <cell r="B9597" t="str">
            <v>zcarote</v>
          </cell>
          <cell r="C9597" t="str">
            <v>Zeta-Carotene</v>
          </cell>
        </row>
        <row r="9598">
          <cell r="A9598" t="str">
            <v>zxan_u</v>
          </cell>
          <cell r="B9598" t="str">
            <v>zxan</v>
          </cell>
          <cell r="C9598" t="str">
            <v>Zeinoxanthin</v>
          </cell>
        </row>
        <row r="9599">
          <cell r="A9599" t="str">
            <v>12dag3p_BS_c</v>
          </cell>
          <cell r="B9599" t="str">
            <v>12dag3p_BS</v>
          </cell>
          <cell r="C9599" t="str">
            <v>1 2 diacyl sn glycerol 3 phosphate C3436H6572O800P100</v>
          </cell>
        </row>
        <row r="9600">
          <cell r="A9600" t="str">
            <v>14bxyl_c</v>
          </cell>
          <cell r="B9600" t="str">
            <v>14bxyl</v>
          </cell>
          <cell r="C9600" t="str">
            <v>1 4 beta D Xylan C5H8O4</v>
          </cell>
        </row>
        <row r="9601">
          <cell r="A9601" t="str">
            <v>2dmmq7_c</v>
          </cell>
          <cell r="B9601" t="str">
            <v>2dmmq7</v>
          </cell>
          <cell r="C9601" t="str">
            <v>2 Demethylmenaquinone 7 C45H62O2</v>
          </cell>
        </row>
        <row r="9602">
          <cell r="A9602" t="str">
            <v>2h3k5m_c</v>
          </cell>
          <cell r="B9602" t="str">
            <v>2h3k5m</v>
          </cell>
          <cell r="C9602" t="str">
            <v>2 hydroxy 3 keto 5 methylthiopentenyl 1 phosphate C6H8O6PS</v>
          </cell>
        </row>
        <row r="9603">
          <cell r="A9603" t="str">
            <v>2h3opp_c</v>
          </cell>
          <cell r="B9603" t="str">
            <v>2h3opp</v>
          </cell>
          <cell r="C9603" t="str">
            <v>2 Hydroxy 3 oxopropanoate C3H3O4</v>
          </cell>
        </row>
        <row r="9604">
          <cell r="A9604" t="str">
            <v>2hxmp_e</v>
          </cell>
          <cell r="B9604" t="str">
            <v>2hxmp</v>
          </cell>
          <cell r="C9604" t="str">
            <v>2  Hydroxymethyl phenol C7H8O2</v>
          </cell>
        </row>
        <row r="9605">
          <cell r="A9605" t="str">
            <v>2pglyc_e</v>
          </cell>
          <cell r="B9605" t="str">
            <v>2pglyc</v>
          </cell>
          <cell r="C9605" t="str">
            <v>2-Phosphoglycolate</v>
          </cell>
        </row>
        <row r="9606">
          <cell r="A9606" t="str">
            <v>3amba_e</v>
          </cell>
          <cell r="B9606" t="str">
            <v>3amba</v>
          </cell>
          <cell r="C9606" t="str">
            <v>3 aminobutanoic acid C4H9NO2</v>
          </cell>
        </row>
        <row r="9607">
          <cell r="A9607" t="str">
            <v>3hbycoa_c</v>
          </cell>
          <cell r="B9607" t="str">
            <v>3hbycoa</v>
          </cell>
          <cell r="C9607" t="str">
            <v xml:space="preserve"> S  3 Hydroxybutyryl CoA C25H38N7O18P3S</v>
          </cell>
        </row>
        <row r="9608">
          <cell r="A9608" t="str">
            <v>3mtp_c</v>
          </cell>
          <cell r="B9608" t="str">
            <v>3mtp</v>
          </cell>
          <cell r="C9608" t="str">
            <v>3 Methylthiopropionate C4H7O2S</v>
          </cell>
        </row>
        <row r="9609">
          <cell r="A9609" t="str">
            <v>6ampenc_c</v>
          </cell>
          <cell r="B9609" t="str">
            <v>6ampenc</v>
          </cell>
          <cell r="C9609" t="str">
            <v>6 Aminopenicillanate C8H13N2O3S</v>
          </cell>
        </row>
        <row r="9610">
          <cell r="A9610" t="str">
            <v>6pgc_e</v>
          </cell>
          <cell r="B9610" t="str">
            <v>6pgc</v>
          </cell>
          <cell r="C9610" t="str">
            <v>6-Phospho-D-gluconate</v>
          </cell>
        </row>
        <row r="9611">
          <cell r="A9611" t="str">
            <v>L_alagly_c</v>
          </cell>
          <cell r="B9611" t="str">
            <v>L_alagly</v>
          </cell>
          <cell r="C9611" t="str">
            <v>L alanylglycine C5H10N2O3</v>
          </cell>
        </row>
        <row r="9612">
          <cell r="A9612" t="str">
            <v>L_thrgly_c</v>
          </cell>
          <cell r="B9612" t="str">
            <v>L_thrgly</v>
          </cell>
          <cell r="C9612" t="str">
            <v>Thr Gly C6H12N2O4</v>
          </cell>
        </row>
        <row r="9613">
          <cell r="A9613" t="str">
            <v>Larab_e</v>
          </cell>
          <cell r="B9613" t="str">
            <v>Larab</v>
          </cell>
          <cell r="C9613" t="str">
            <v>Alpha L Arabinan C15H24O12</v>
          </cell>
        </row>
        <row r="9614">
          <cell r="A9614" t="str">
            <v>abt__L_c</v>
          </cell>
          <cell r="B9614" t="str">
            <v>abt__L</v>
          </cell>
          <cell r="C9614" t="str">
            <v>L Arabinitol C5H12O5</v>
          </cell>
        </row>
        <row r="9615">
          <cell r="A9615" t="str">
            <v>ala_L_Thr__L_c</v>
          </cell>
          <cell r="B9615" t="str">
            <v>ala_L_Thr__L</v>
          </cell>
          <cell r="C9615" t="str">
            <v>Ala L Thr L C7H14N2O4</v>
          </cell>
        </row>
        <row r="9616">
          <cell r="A9616" t="str">
            <v>ala_L_gln__L_e</v>
          </cell>
          <cell r="B9616" t="str">
            <v>ala_L_gln__L</v>
          </cell>
          <cell r="C9616" t="str">
            <v>Ala Gln C8H15N3O4</v>
          </cell>
        </row>
        <row r="9617">
          <cell r="A9617" t="str">
            <v>ala_L_glu__L_e</v>
          </cell>
          <cell r="B9617" t="str">
            <v>ala_L_glu__L</v>
          </cell>
          <cell r="C9617" t="str">
            <v>Ala L glu L C8H13N2O5</v>
          </cell>
        </row>
        <row r="9618">
          <cell r="A9618" t="str">
            <v>ala_L_met__L_c</v>
          </cell>
          <cell r="B9618" t="str">
            <v>ala_L_met__L</v>
          </cell>
          <cell r="C9618" t="str">
            <v>Ala Met C8H16N2O3S</v>
          </cell>
        </row>
        <row r="9619">
          <cell r="A9619" t="str">
            <v>ala_L_phe__L_c</v>
          </cell>
          <cell r="B9619" t="str">
            <v>ala_L_phe__L</v>
          </cell>
          <cell r="C9619" t="str">
            <v>Ala Phe C12H16N2O3</v>
          </cell>
        </row>
        <row r="9620">
          <cell r="A9620" t="str">
            <v>ala_L_val__L_c</v>
          </cell>
          <cell r="B9620" t="str">
            <v>ala_L_val__L</v>
          </cell>
          <cell r="C9620" t="str">
            <v>Ala Val C8H16N2O3</v>
          </cell>
        </row>
        <row r="9621">
          <cell r="A9621" t="str">
            <v>antim_c</v>
          </cell>
          <cell r="B9621" t="str">
            <v>antim</v>
          </cell>
          <cell r="C9621" t="str">
            <v>Antimonite Sb</v>
          </cell>
        </row>
        <row r="9622">
          <cell r="A9622" t="str">
            <v>arsenb_c</v>
          </cell>
          <cell r="B9622" t="str">
            <v>arsenb</v>
          </cell>
          <cell r="C9622" t="str">
            <v>ARSENOBETAINE C5H11AsO2</v>
          </cell>
        </row>
        <row r="9623">
          <cell r="A9623" t="str">
            <v>cdpdag_BS_c</v>
          </cell>
          <cell r="B9623" t="str">
            <v>cdpdag_BS</v>
          </cell>
          <cell r="C9623" t="str">
            <v>CDPdiacylglycerol  B subtilis  C4336H7772N300O1500P200</v>
          </cell>
        </row>
        <row r="9624">
          <cell r="A9624" t="str">
            <v>cyst__L_e</v>
          </cell>
          <cell r="B9624" t="str">
            <v>cyst__L</v>
          </cell>
          <cell r="C9624" t="str">
            <v>L-Cystathionine</v>
          </cell>
        </row>
        <row r="9625">
          <cell r="A9625" t="str">
            <v>dcal_c</v>
          </cell>
          <cell r="B9625" t="str">
            <v>dcal</v>
          </cell>
          <cell r="C9625" t="str">
            <v>Decanal C10H20O</v>
          </cell>
        </row>
        <row r="9626">
          <cell r="A9626" t="str">
            <v>dccoa_c</v>
          </cell>
          <cell r="B9626" t="str">
            <v>dccoa</v>
          </cell>
          <cell r="C9626" t="str">
            <v>Decanoyl CoA C31H50N7O17P3S</v>
          </cell>
        </row>
        <row r="9627">
          <cell r="A9627" t="str">
            <v>fa11coa_c</v>
          </cell>
          <cell r="B9627" t="str">
            <v>fa11coa</v>
          </cell>
          <cell r="C9627" t="str">
            <v>Iso C170 CoA C38H64N7O17P3S1</v>
          </cell>
        </row>
        <row r="9628">
          <cell r="A9628" t="str">
            <v>fa1coa_c</v>
          </cell>
          <cell r="B9628" t="str">
            <v>fa1coa</v>
          </cell>
          <cell r="C9628" t="str">
            <v>Iso C140 CoA C35H58N7O17P3S1</v>
          </cell>
        </row>
        <row r="9629">
          <cell r="A9629" t="str">
            <v>fa9coa_c</v>
          </cell>
          <cell r="B9629" t="str">
            <v>fa9coa</v>
          </cell>
          <cell r="C9629" t="str">
            <v>Iso C171 CoA C38H62N7O17P3S1</v>
          </cell>
        </row>
        <row r="9630">
          <cell r="A9630" t="str">
            <v>ferrich_c</v>
          </cell>
          <cell r="B9630" t="str">
            <v>ferrich</v>
          </cell>
          <cell r="C9630" t="str">
            <v>Ferrichrome C24H38FeN9O11</v>
          </cell>
        </row>
        <row r="9631">
          <cell r="A9631" t="str">
            <v>ferxa_c</v>
          </cell>
          <cell r="B9631" t="str">
            <v>ferxa</v>
          </cell>
          <cell r="C9631" t="str">
            <v>Ferroxamine C25H46FeN6O8</v>
          </cell>
        </row>
        <row r="9632">
          <cell r="A9632" t="str">
            <v>fmet_c</v>
          </cell>
          <cell r="B9632" t="str">
            <v>fmet</v>
          </cell>
          <cell r="C9632" t="str">
            <v>N Formyl L methionine C6H10NO3S</v>
          </cell>
        </row>
        <row r="9633">
          <cell r="A9633" t="str">
            <v>galctr__D_e</v>
          </cell>
          <cell r="B9633" t="str">
            <v>galctr__D</v>
          </cell>
          <cell r="C9633" t="str">
            <v>D Galactarate C6H8O8</v>
          </cell>
        </row>
        <row r="9634">
          <cell r="A9634" t="str">
            <v>galogs_c</v>
          </cell>
          <cell r="B9634" t="str">
            <v>galogs</v>
          </cell>
          <cell r="C9634" t="str">
            <v>Galactose oligosaccharide C6H10O5</v>
          </cell>
        </row>
        <row r="9635">
          <cell r="A9635" t="str">
            <v>glu__D_e</v>
          </cell>
          <cell r="B9635" t="str">
            <v>glu__D</v>
          </cell>
          <cell r="C9635" t="str">
            <v>D-Glutamate</v>
          </cell>
        </row>
        <row r="9636">
          <cell r="A9636" t="str">
            <v>gly_asn__L_e</v>
          </cell>
          <cell r="B9636" t="str">
            <v>gly_asn__L</v>
          </cell>
          <cell r="C9636" t="str">
            <v>Gly asn L C6H11N3O4</v>
          </cell>
        </row>
        <row r="9637">
          <cell r="A9637" t="str">
            <v>gly_gln__L_c</v>
          </cell>
          <cell r="B9637" t="str">
            <v>gly_gln__L</v>
          </cell>
          <cell r="C9637" t="str">
            <v>Gly Gln C7H13N3O4</v>
          </cell>
        </row>
        <row r="9638">
          <cell r="A9638" t="str">
            <v>gly_glu__L_c</v>
          </cell>
          <cell r="B9638" t="str">
            <v>gly_glu__L</v>
          </cell>
          <cell r="C9638" t="str">
            <v>Gly glu L C7H11N2O5</v>
          </cell>
        </row>
        <row r="9639">
          <cell r="A9639" t="str">
            <v>gly_leu__L_c</v>
          </cell>
          <cell r="B9639" t="str">
            <v>gly_leu__L</v>
          </cell>
          <cell r="C9639" t="str">
            <v>Gly Leu C8H16N2O3</v>
          </cell>
        </row>
        <row r="9640">
          <cell r="A9640" t="str">
            <v>hemeC_c</v>
          </cell>
          <cell r="B9640" t="str">
            <v>hemeC</v>
          </cell>
          <cell r="C9640" t="str">
            <v>Heme C C40H42FeN6O8S2</v>
          </cell>
        </row>
        <row r="9641">
          <cell r="A9641" t="str">
            <v>hexs_e</v>
          </cell>
          <cell r="B9641" t="str">
            <v>hexs</v>
          </cell>
          <cell r="C9641" t="str">
            <v>Hexanesulfonate C6H13O3S</v>
          </cell>
        </row>
        <row r="9642">
          <cell r="A9642" t="str">
            <v>hpdcal_c</v>
          </cell>
          <cell r="B9642" t="str">
            <v>hpdcal</v>
          </cell>
          <cell r="C9642" t="str">
            <v>Heptadecanal C17H34O</v>
          </cell>
        </row>
        <row r="9643">
          <cell r="A9643" t="str">
            <v>imzac_c</v>
          </cell>
          <cell r="B9643" t="str">
            <v>imzac</v>
          </cell>
          <cell r="C9643" t="str">
            <v>Imidazole 4 acetate C5H6N2O2</v>
          </cell>
        </row>
        <row r="9644">
          <cell r="A9644" t="str">
            <v>imzacd_c</v>
          </cell>
          <cell r="B9644" t="str">
            <v>imzacd</v>
          </cell>
          <cell r="C9644" t="str">
            <v>Imidazole 4 acetaldehyde C5H7N2O</v>
          </cell>
        </row>
        <row r="9645">
          <cell r="A9645" t="str">
            <v>inoshp_c</v>
          </cell>
          <cell r="B9645" t="str">
            <v>inoshp</v>
          </cell>
          <cell r="C9645" t="str">
            <v>Myo Inositol hexakisphosphate C6H6O24P6</v>
          </cell>
        </row>
        <row r="9646">
          <cell r="A9646" t="str">
            <v>isomal_c</v>
          </cell>
          <cell r="B9646" t="str">
            <v>isomal</v>
          </cell>
          <cell r="C9646" t="str">
            <v>Isomaltose C12H22O11</v>
          </cell>
        </row>
        <row r="9647">
          <cell r="A9647" t="str">
            <v>lanth_e</v>
          </cell>
          <cell r="B9647" t="str">
            <v>lanth</v>
          </cell>
          <cell r="C9647" t="str">
            <v>Lanthionine C6H12N2O4S</v>
          </cell>
        </row>
        <row r="9648">
          <cell r="A9648" t="str">
            <v>lipo1_24_BS_c</v>
          </cell>
          <cell r="B9648" t="str">
            <v>lipo1_24_BS</v>
          </cell>
          <cell r="C9648" t="str">
            <v>Lipoteichoic acid  n24   linked  glucose substituted C26236H47072O25500P2400</v>
          </cell>
        </row>
        <row r="9649">
          <cell r="A9649" t="str">
            <v>lipo3_24_BS_c</v>
          </cell>
          <cell r="B9649" t="str">
            <v>lipo3_24_BS</v>
          </cell>
          <cell r="C9649" t="str">
            <v>Lipoteichoic acid  n24   linked  D alanine substituted C19036H39872N2400O18300P2400</v>
          </cell>
        </row>
        <row r="9650">
          <cell r="A9650" t="str">
            <v>lipo4_24_BS_c</v>
          </cell>
          <cell r="B9650" t="str">
            <v>lipo4_24_BS</v>
          </cell>
          <cell r="C9650" t="str">
            <v>Lipoteichoic acid  n24   linked  unsubstituted C11836H23072O13500P2400</v>
          </cell>
        </row>
        <row r="9651">
          <cell r="A9651" t="str">
            <v>lysylpgly_BS_c</v>
          </cell>
          <cell r="B9651" t="str">
            <v>lysylpgly_BS</v>
          </cell>
          <cell r="C9651" t="str">
            <v>Lysylphophatidylglycerol C4336H8572N200O1100P100</v>
          </cell>
        </row>
        <row r="9652">
          <cell r="A9652" t="str">
            <v>met_L_tyr__L_c</v>
          </cell>
          <cell r="B9652" t="str">
            <v>met_L_tyr__L</v>
          </cell>
          <cell r="C9652" t="str">
            <v>Met Tyr C14H20N2O4S</v>
          </cell>
        </row>
        <row r="9653">
          <cell r="A9653" t="str">
            <v>nebari_c</v>
          </cell>
          <cell r="B9653" t="str">
            <v>nebari</v>
          </cell>
          <cell r="C9653" t="str">
            <v>Nebularine C10H12N4O4</v>
          </cell>
        </row>
        <row r="9654">
          <cell r="A9654" t="str">
            <v>nona_c</v>
          </cell>
          <cell r="B9654" t="str">
            <v>nona</v>
          </cell>
          <cell r="C9654" t="str">
            <v>Nonanoate C9H17O2</v>
          </cell>
        </row>
        <row r="9655">
          <cell r="A9655" t="str">
            <v>octal_c</v>
          </cell>
          <cell r="B9655" t="str">
            <v>octal</v>
          </cell>
          <cell r="C9655" t="str">
            <v>Octanal C8H16O</v>
          </cell>
        </row>
        <row r="9656">
          <cell r="A9656" t="str">
            <v>orn__L_c</v>
          </cell>
          <cell r="B9656" t="str">
            <v>orn__L</v>
          </cell>
          <cell r="C9656" t="str">
            <v>L Ornithine C5H13N2O2</v>
          </cell>
        </row>
        <row r="9657">
          <cell r="A9657" t="str">
            <v>pala_e</v>
          </cell>
          <cell r="B9657" t="str">
            <v>pala</v>
          </cell>
          <cell r="C9657" t="str">
            <v>Palatinose C12H22O11</v>
          </cell>
        </row>
        <row r="9658">
          <cell r="A9658" t="str">
            <v>pencil_c</v>
          </cell>
          <cell r="B9658" t="str">
            <v>pencil</v>
          </cell>
          <cell r="C9658" t="str">
            <v>Penicillin C9H11N2O4S</v>
          </cell>
        </row>
        <row r="9659">
          <cell r="A9659" t="str">
            <v>pencilca_c</v>
          </cell>
          <cell r="B9659" t="str">
            <v>pencilca</v>
          </cell>
          <cell r="C9659" t="str">
            <v>Penicilloic acid C9H12N2O5S</v>
          </cell>
        </row>
        <row r="9660">
          <cell r="A9660" t="str">
            <v>prolb_c</v>
          </cell>
          <cell r="B9660" t="str">
            <v>prolb</v>
          </cell>
          <cell r="C9660" t="str">
            <v>Proline betaine C7H13NO2</v>
          </cell>
        </row>
        <row r="9661">
          <cell r="A9661" t="str">
            <v>pur_e</v>
          </cell>
          <cell r="B9661" t="str">
            <v>pur</v>
          </cell>
          <cell r="C9661" t="str">
            <v>Puromycin C22H30N7O5</v>
          </cell>
        </row>
        <row r="9662">
          <cell r="A9662" t="str">
            <v>ser_L_gln__L_c</v>
          </cell>
          <cell r="B9662" t="str">
            <v>ser_L_gln__L</v>
          </cell>
          <cell r="C9662" t="str">
            <v>Ser Gln C8H15N3O5</v>
          </cell>
        </row>
        <row r="9663">
          <cell r="A9663" t="str">
            <v>ser_L_phe__L_c</v>
          </cell>
          <cell r="B9663" t="str">
            <v>ser_L_phe__L</v>
          </cell>
          <cell r="C9663" t="str">
            <v>Ser Phe C12H16N2O4</v>
          </cell>
        </row>
        <row r="9664">
          <cell r="A9664" t="str">
            <v>ser_L_ser__L_c</v>
          </cell>
          <cell r="B9664" t="str">
            <v>ser_L_ser__L</v>
          </cell>
          <cell r="C9664" t="str">
            <v>Ser Ser C6H12N2O5</v>
          </cell>
        </row>
        <row r="9665">
          <cell r="A9665" t="str">
            <v>ser_L_trp__L_c</v>
          </cell>
          <cell r="B9665" t="str">
            <v>ser_L_trp__L</v>
          </cell>
          <cell r="C9665" t="str">
            <v>Ser Trp C14H17N3O4</v>
          </cell>
        </row>
        <row r="9666">
          <cell r="A9666" t="str">
            <v>ser_L_tyr__L_c</v>
          </cell>
          <cell r="B9666" t="str">
            <v>ser_L_tyr__L</v>
          </cell>
          <cell r="C9666" t="str">
            <v>Ser Tyr C12H16N2O5</v>
          </cell>
        </row>
        <row r="9667">
          <cell r="A9667" t="str">
            <v>ser_L_val__L_c</v>
          </cell>
          <cell r="B9667" t="str">
            <v>ser_L_val__L</v>
          </cell>
          <cell r="C9667" t="str">
            <v>Ser Val C8H16N2O4</v>
          </cell>
        </row>
        <row r="9668">
          <cell r="A9668" t="str">
            <v>shcl_c</v>
          </cell>
          <cell r="B9668" t="str">
            <v>shcl</v>
          </cell>
          <cell r="C9668" t="str">
            <v>Dihydrosirohydrochlorin C42H40N4O16</v>
          </cell>
        </row>
        <row r="9669">
          <cell r="A9669" t="str">
            <v>stchs_c</v>
          </cell>
          <cell r="B9669" t="str">
            <v>stchs</v>
          </cell>
          <cell r="C9669" t="str">
            <v>Stachyose C24H42O21</v>
          </cell>
        </row>
        <row r="9670">
          <cell r="A9670" t="str">
            <v>tartr__M_c</v>
          </cell>
          <cell r="B9670" t="str">
            <v>tartr__M</v>
          </cell>
          <cell r="C9670" t="str">
            <v>Meso Tartaric acid C4H4O6</v>
          </cell>
        </row>
        <row r="9671">
          <cell r="A9671" t="str">
            <v>thiog_e</v>
          </cell>
          <cell r="B9671" t="str">
            <v>thiog</v>
          </cell>
          <cell r="C9671" t="str">
            <v>Thioglycolate C2H3O2S</v>
          </cell>
        </row>
        <row r="9672">
          <cell r="A9672" t="str">
            <v>trans_dd2coa_c</v>
          </cell>
          <cell r="B9672" t="str">
            <v>trans_dd2coa</v>
          </cell>
          <cell r="C9672" t="str">
            <v>Trans Dodec 2 enoyl CoA C33H52N7O17P3S</v>
          </cell>
        </row>
        <row r="9673">
          <cell r="A9673" t="str">
            <v>ttdcal_c</v>
          </cell>
          <cell r="B9673" t="str">
            <v>ttdcal</v>
          </cell>
          <cell r="C9673" t="str">
            <v>Tetradecanal C14H28O</v>
          </cell>
        </row>
        <row r="9674">
          <cell r="A9674" t="str">
            <v>udca_c</v>
          </cell>
          <cell r="B9674" t="str">
            <v>udca</v>
          </cell>
          <cell r="C9674" t="str">
            <v>Undecanoate C11H21O2</v>
          </cell>
        </row>
        <row r="9675">
          <cell r="A9675" t="str">
            <v>acgalfucgalacglcgalgluside_hs_g</v>
          </cell>
          <cell r="B9675" t="str">
            <v>acgalfucgalacglcgalgluside_hs</v>
          </cell>
          <cell r="C9675" t="str">
            <v>Type IA glycolipid</v>
          </cell>
        </row>
        <row r="9676">
          <cell r="A9676" t="str">
            <v>acngalacglcgalgluside_hs_g</v>
          </cell>
          <cell r="B9676" t="str">
            <v>acngalacglcgalgluside_hs</v>
          </cell>
          <cell r="C9676" t="str">
            <v>(Gal)3 (Glc)1 (GlcNAc)1 (Cer)1</v>
          </cell>
        </row>
        <row r="9677">
          <cell r="A9677" t="str">
            <v>so4_r</v>
          </cell>
          <cell r="B9677" t="str">
            <v>so4</v>
          </cell>
          <cell r="C9677" t="str">
            <v>Sulfate</v>
          </cell>
        </row>
        <row r="9678">
          <cell r="A9678" t="str">
            <v>pail45p_hs_18_2_18_2_c</v>
          </cell>
          <cell r="B9678" t="str">
            <v>pail45p_hs_18_2_18_2</v>
          </cell>
          <cell r="C9678" t="str">
            <v>Pail45p hs 18 2 18 2[c]</v>
          </cell>
        </row>
        <row r="9679">
          <cell r="A9679" t="str">
            <v>dag_hs_18_2_18_2_c</v>
          </cell>
          <cell r="B9679" t="str">
            <v>dag_hs_18_2_18_2</v>
          </cell>
          <cell r="C9679" t="str">
            <v>Dag hs 18 2 18 2[c]</v>
          </cell>
        </row>
        <row r="9680">
          <cell r="A9680" t="str">
            <v>cdpdag_hs_18_2_18_2_c</v>
          </cell>
          <cell r="B9680" t="str">
            <v>cdpdag_hs_18_2_18_2</v>
          </cell>
          <cell r="C9680" t="str">
            <v>Cdpdag hs 18 2 18 2[c]</v>
          </cell>
        </row>
        <row r="9681">
          <cell r="A9681" t="str">
            <v>mag_hs_18_2_c</v>
          </cell>
          <cell r="B9681" t="str">
            <v>mag_hs_18_2</v>
          </cell>
          <cell r="C9681" t="str">
            <v>Mag hs 18 2[c]</v>
          </cell>
        </row>
        <row r="9682">
          <cell r="A9682" t="str">
            <v>pchol_hs_18_2_18_2_c</v>
          </cell>
          <cell r="B9682" t="str">
            <v>pchol_hs_18_2_18_2</v>
          </cell>
          <cell r="C9682" t="str">
            <v>Pchol hs 18 2 18 2[c]</v>
          </cell>
        </row>
        <row r="9683">
          <cell r="A9683" t="str">
            <v>pail_hs_18_1_20_4_c</v>
          </cell>
          <cell r="B9683" t="str">
            <v>pail_hs_18_1_20_4</v>
          </cell>
          <cell r="C9683" t="str">
            <v>Pail hs 18 1 20 4[c]</v>
          </cell>
        </row>
        <row r="9684">
          <cell r="A9684" t="str">
            <v>mag_hs_18_1_c</v>
          </cell>
          <cell r="B9684" t="str">
            <v>mag_hs_18_1</v>
          </cell>
          <cell r="C9684" t="str">
            <v>Monoacylglycerol 2(homo sapiens C18:1) cytosol</v>
          </cell>
        </row>
        <row r="9685">
          <cell r="A9685" t="str">
            <v>alpha_hs_18_1_c</v>
          </cell>
          <cell r="B9685" t="str">
            <v>alpha_hs_18_1</v>
          </cell>
          <cell r="C9685" t="str">
            <v>Alpha hs 18 1[c]</v>
          </cell>
        </row>
        <row r="9686">
          <cell r="A9686" t="str">
            <v>pail4p_hs_18_1_18_2_c</v>
          </cell>
          <cell r="B9686" t="str">
            <v>pail4p_hs_18_1_18_2</v>
          </cell>
          <cell r="C9686" t="str">
            <v>1-Phosphatidyl-1D-myo-inositol 4-phosphate (homo sapiens, C18:1, C18:2)</v>
          </cell>
        </row>
        <row r="9687">
          <cell r="A9687" t="str">
            <v>pa_hs_18_1_18_2_c</v>
          </cell>
          <cell r="B9687" t="str">
            <v>pa_hs_18_1_18_2</v>
          </cell>
          <cell r="C9687" t="str">
            <v>Phosphatidic acid (homo sapiens, C18:1, C18:2)</v>
          </cell>
        </row>
        <row r="9688">
          <cell r="A9688" t="str">
            <v>ps_hs_18_1_18_2_c</v>
          </cell>
          <cell r="B9688" t="str">
            <v>ps_hs_18_1_18_2</v>
          </cell>
          <cell r="C9688" t="str">
            <v>Ps hs 18 1 18 2[c]</v>
          </cell>
        </row>
        <row r="9689">
          <cell r="A9689" t="str">
            <v>dag_hs_18_1_18_1_c</v>
          </cell>
          <cell r="B9689" t="str">
            <v>dag_hs_18_1_18_1</v>
          </cell>
          <cell r="C9689" t="str">
            <v>Diacylglycerol (homo sapiens, C18:1, C18:1)</v>
          </cell>
        </row>
        <row r="9690">
          <cell r="A9690" t="str">
            <v>pail345p_hs_18_1_18_1_c</v>
          </cell>
          <cell r="B9690" t="str">
            <v>pail345p_hs_18_1_18_1</v>
          </cell>
          <cell r="C9690" t="str">
            <v>Pail345p hs 18 1 18 1[c]</v>
          </cell>
        </row>
        <row r="9691">
          <cell r="A9691" t="str">
            <v>pail34p_hs_18_1_18_1_c</v>
          </cell>
          <cell r="B9691" t="str">
            <v>pail34p_hs_18_1_18_1</v>
          </cell>
          <cell r="C9691" t="str">
            <v>Pail34p hs 18 1 18 1[c]</v>
          </cell>
        </row>
        <row r="9692">
          <cell r="A9692" t="str">
            <v>pe_hs_18_1_18_1_c</v>
          </cell>
          <cell r="B9692" t="str">
            <v>pe_hs_18_1_18_1</v>
          </cell>
          <cell r="C9692" t="str">
            <v>Phosphatidylethanolamine (homo sapiens, C18:1, C18:1)</v>
          </cell>
        </row>
        <row r="9693">
          <cell r="A9693" t="str">
            <v>pail45p_hs_18_0_20_4_c</v>
          </cell>
          <cell r="B9693" t="str">
            <v>pail45p_hs_18_0_20_4</v>
          </cell>
          <cell r="C9693" t="str">
            <v>Phosphatidylinositol 4,5-bisphosphate (homo sapiens, C18:0, C20:4) cytosol</v>
          </cell>
        </row>
        <row r="9694">
          <cell r="A9694" t="str">
            <v>pail4p_hs_18_0_20_4_c</v>
          </cell>
          <cell r="B9694" t="str">
            <v>pail4p_hs_18_0_20_4</v>
          </cell>
          <cell r="C9694" t="str">
            <v>1-Phosphatidyl-1D-myo-inositol 4-phosphate (homo sapiens, C18:0, C20:4) cytosol</v>
          </cell>
        </row>
        <row r="9695">
          <cell r="A9695" t="str">
            <v>cdpdag_hs_18_0_20_4_c</v>
          </cell>
          <cell r="B9695" t="str">
            <v>cdpdag_hs_18_0_20_4</v>
          </cell>
          <cell r="C9695" t="str">
            <v>CDP diacylglycerol (homo sapiens, C18:0, C20:4) cytosol</v>
          </cell>
        </row>
        <row r="9696">
          <cell r="A9696" t="str">
            <v>mag_hs_18_0_c</v>
          </cell>
          <cell r="B9696" t="str">
            <v>mag_hs_18_0</v>
          </cell>
          <cell r="C9696" t="str">
            <v>Monoacylglycerol 2 (homo sapiens C18:0) cytosol</v>
          </cell>
        </row>
        <row r="9697">
          <cell r="A9697" t="str">
            <v>lpchol_hs_18_0_c</v>
          </cell>
          <cell r="B9697" t="str">
            <v>lpchol_hs_18_0</v>
          </cell>
          <cell r="C9697" t="str">
            <v>Lysophosphatidylcholine (homo sapiens, C18:0) cytosol</v>
          </cell>
        </row>
        <row r="9698">
          <cell r="A9698" t="str">
            <v>pchol_hs_18_0_18_2_c</v>
          </cell>
          <cell r="B9698" t="str">
            <v>pchol_hs_18_0_18_2</v>
          </cell>
          <cell r="C9698" t="str">
            <v>Pchol hs 18 0 18 2[c]</v>
          </cell>
        </row>
        <row r="9699">
          <cell r="A9699" t="str">
            <v>ps_hs_18_0_18_2_c</v>
          </cell>
          <cell r="B9699" t="str">
            <v>ps_hs_18_0_18_2</v>
          </cell>
          <cell r="C9699" t="str">
            <v>Ps hs 18 0 18 2[c]</v>
          </cell>
        </row>
        <row r="9700">
          <cell r="A9700" t="str">
            <v>pail45p_hs_18_0_18_1_c</v>
          </cell>
          <cell r="B9700" t="str">
            <v>pail45p_hs_18_0_18_1</v>
          </cell>
          <cell r="C9700" t="str">
            <v>Pail45p hs 18 0 18 1[c]</v>
          </cell>
        </row>
        <row r="9701">
          <cell r="A9701" t="str">
            <v>pail345p_hs_18_0_18_1_c</v>
          </cell>
          <cell r="B9701" t="str">
            <v>pail345p_hs_18_0_18_1</v>
          </cell>
          <cell r="C9701" t="str">
            <v>Pail345p hs 18 0 18 1[c]</v>
          </cell>
        </row>
        <row r="9702">
          <cell r="A9702" t="str">
            <v>cdpdag_hs_18_0_18_1_c</v>
          </cell>
          <cell r="B9702" t="str">
            <v>cdpdag_hs_18_0_18_1</v>
          </cell>
          <cell r="C9702" t="str">
            <v>Cdpdag hs 18 0 18 1[c]</v>
          </cell>
        </row>
        <row r="9703">
          <cell r="A9703" t="str">
            <v>pail45p_hs_18_0_18_0_c</v>
          </cell>
          <cell r="B9703" t="str">
            <v>pail45p_hs_18_0_18_0</v>
          </cell>
          <cell r="C9703" t="str">
            <v>Pail45p hs 18 0 18 0[c]</v>
          </cell>
        </row>
        <row r="9704">
          <cell r="A9704" t="str">
            <v>pail34p_hs_18_0_18_0_c</v>
          </cell>
          <cell r="B9704" t="str">
            <v>pail34p_hs_18_0_18_0</v>
          </cell>
          <cell r="C9704" t="str">
            <v>Pail34p hs 18 0 18 0[c]</v>
          </cell>
        </row>
        <row r="9705">
          <cell r="A9705" t="str">
            <v>pchol_hs_18_0_18_0_c</v>
          </cell>
          <cell r="B9705" t="str">
            <v>pchol_hs_18_0_18_0</v>
          </cell>
          <cell r="C9705" t="str">
            <v>Pchol hs 18 0 18 0[c]</v>
          </cell>
        </row>
        <row r="9706">
          <cell r="A9706" t="str">
            <v>ps_hs_18_0_18_0_c</v>
          </cell>
          <cell r="B9706" t="str">
            <v>ps_hs_18_0_18_0</v>
          </cell>
          <cell r="C9706" t="str">
            <v>Ps hs 18 0 18 0[c]</v>
          </cell>
        </row>
        <row r="9707">
          <cell r="A9707" t="str">
            <v>pe_hs_18_0_18_0_c</v>
          </cell>
          <cell r="B9707" t="str">
            <v>pe_hs_18_0_18_0</v>
          </cell>
          <cell r="C9707" t="str">
            <v>Pe hs 18 0 18 0[c]</v>
          </cell>
        </row>
        <row r="9708">
          <cell r="A9708" t="str">
            <v>pail34p_hs_16_0_20_4_c</v>
          </cell>
          <cell r="B9708" t="str">
            <v>pail34p_hs_16_0_20_4</v>
          </cell>
          <cell r="C9708" t="str">
            <v>Pail34p hs 16 0 20 4[c]</v>
          </cell>
        </row>
        <row r="9709">
          <cell r="A9709" t="str">
            <v>mag_hs_16_0_c</v>
          </cell>
          <cell r="B9709" t="str">
            <v>mag_hs_16_0</v>
          </cell>
          <cell r="C9709" t="str">
            <v>Mag hs 16 0[c]</v>
          </cell>
        </row>
        <row r="9710">
          <cell r="A9710" t="str">
            <v>pchol_hs_16_0_20_4_c</v>
          </cell>
          <cell r="B9710" t="str">
            <v>pchol_hs_16_0_20_4</v>
          </cell>
          <cell r="C9710" t="str">
            <v>Pchol hs 16 0 20 4[c]</v>
          </cell>
        </row>
        <row r="9711">
          <cell r="A9711" t="str">
            <v>ps_hs_16_0_20_4_c</v>
          </cell>
          <cell r="B9711" t="str">
            <v>ps_hs_16_0_20_4</v>
          </cell>
          <cell r="C9711" t="str">
            <v>Ps hs 16 0 20 4[c]</v>
          </cell>
        </row>
        <row r="9712">
          <cell r="A9712" t="str">
            <v>pail45p_hs_16_0_18_2_c</v>
          </cell>
          <cell r="B9712" t="str">
            <v>pail45p_hs_16_0_18_2</v>
          </cell>
          <cell r="C9712" t="str">
            <v>Phosphatidylinositol 4,5-bisphosphate (homo sapiens, C16:0, C18:2)</v>
          </cell>
        </row>
        <row r="9713">
          <cell r="A9713" t="str">
            <v>cdpdag_hs_16_0_18_2_c</v>
          </cell>
          <cell r="B9713" t="str">
            <v>cdpdag_hs_16_0_18_2</v>
          </cell>
          <cell r="C9713" t="str">
            <v>CDP diacylglycerol (homo sapiens, C16:0, C18:2)</v>
          </cell>
        </row>
        <row r="9714">
          <cell r="A9714" t="str">
            <v>pail45p_hs_16_0_18_1_c</v>
          </cell>
          <cell r="B9714" t="str">
            <v>pail45p_hs_16_0_18_1</v>
          </cell>
          <cell r="C9714" t="str">
            <v>Phosphatidylinositol 4,5-bisphosphate (homo sapiens, C16:0, C18:1)</v>
          </cell>
        </row>
        <row r="9715">
          <cell r="A9715" t="str">
            <v>pail345p_hs_16_0_18_1_c</v>
          </cell>
          <cell r="B9715" t="str">
            <v>pail345p_hs_16_0_18_1</v>
          </cell>
          <cell r="C9715" t="str">
            <v>Pail345p hs 16 0 18 1[c]</v>
          </cell>
        </row>
        <row r="9716">
          <cell r="A9716" t="str">
            <v>ps_hs_16_0_18_1_c</v>
          </cell>
          <cell r="B9716" t="str">
            <v>ps_hs_16_0_18_1</v>
          </cell>
          <cell r="C9716" t="str">
            <v>Ps hs 16 0 18 1[c]</v>
          </cell>
        </row>
        <row r="9717">
          <cell r="A9717" t="str">
            <v>dag_hs_16_0_18_0_c</v>
          </cell>
          <cell r="B9717" t="str">
            <v>dag_hs_16_0_18_0</v>
          </cell>
          <cell r="C9717" t="str">
            <v>Diacylglycerol (homo sapiens, C16:0, C18:0) cytosol</v>
          </cell>
        </row>
        <row r="9718">
          <cell r="A9718" t="str">
            <v>pail34p_hs_16_0_18_0_c</v>
          </cell>
          <cell r="B9718" t="str">
            <v>pail34p_hs_16_0_18_0</v>
          </cell>
          <cell r="C9718" t="str">
            <v>Pail34p hs 16 0 18 0[c]</v>
          </cell>
        </row>
        <row r="9719">
          <cell r="A9719" t="str">
            <v>dag_hs_20_4_20_4_c</v>
          </cell>
          <cell r="B9719" t="str">
            <v>dag_hs_20_4_20_4</v>
          </cell>
          <cell r="C9719" t="str">
            <v>Dag hs 20 4 20 4[c]</v>
          </cell>
        </row>
        <row r="9720">
          <cell r="A9720" t="str">
            <v>pail345p_hs_20_4_20_4_c</v>
          </cell>
          <cell r="B9720" t="str">
            <v>pail345p_hs_20_4_20_4</v>
          </cell>
          <cell r="C9720" t="str">
            <v>Pail345p hs 20 4 20 4[c]</v>
          </cell>
        </row>
        <row r="9721">
          <cell r="A9721" t="str">
            <v>pchol_hs_20_4_20_4_c</v>
          </cell>
          <cell r="B9721" t="str">
            <v>pchol_hs_20_4_20_4</v>
          </cell>
          <cell r="C9721" t="str">
            <v>Pchol hs 20 4 20 4[c]</v>
          </cell>
        </row>
        <row r="9722">
          <cell r="A9722" t="str">
            <v>ps_hs_20_4_20_4_c</v>
          </cell>
          <cell r="B9722" t="str">
            <v>ps_hs_20_4_20_4</v>
          </cell>
          <cell r="C9722" t="str">
            <v>Ps hs 20 4 20 4[c]</v>
          </cell>
        </row>
        <row r="9723">
          <cell r="A9723" t="str">
            <v>ps_hs_18_2_20_4_c</v>
          </cell>
          <cell r="B9723" t="str">
            <v>ps_hs_18_2_20_4</v>
          </cell>
          <cell r="C9723" t="str">
            <v>Ps hs 18 2 20 4[c]</v>
          </cell>
        </row>
        <row r="9724">
          <cell r="A9724" t="str">
            <v>cdpdag_hs_16_0_18_0_c</v>
          </cell>
          <cell r="B9724" t="str">
            <v>cdpdag_hs_16_0_18_0</v>
          </cell>
          <cell r="C9724" t="str">
            <v>Cdpdag hs 16 0 18 0[c]</v>
          </cell>
        </row>
        <row r="9725">
          <cell r="A9725" t="str">
            <v>pa_hs_16_0_18_0_c</v>
          </cell>
          <cell r="B9725" t="str">
            <v>pa_hs_16_0_18_0</v>
          </cell>
          <cell r="C9725" t="str">
            <v>Pa hs 16 0 18 0[c]</v>
          </cell>
        </row>
        <row r="9726">
          <cell r="A9726" t="str">
            <v>pchol_hs_16_0_18_0_c</v>
          </cell>
          <cell r="B9726" t="str">
            <v>pchol_hs_16_0_18_0</v>
          </cell>
          <cell r="C9726" t="str">
            <v>Phosphatidylcholine (homo sapiens, C16:0, C18:0) cytosol</v>
          </cell>
        </row>
        <row r="9727">
          <cell r="A9727" t="str">
            <v>pail45p_hs_16_0_16_0_c</v>
          </cell>
          <cell r="B9727" t="str">
            <v>pail45p_hs_16_0_16_0</v>
          </cell>
          <cell r="C9727" t="str">
            <v>Phosphatidylinositol 4,5-bisphosphate (homo sapiens, C16:0, C16:0)</v>
          </cell>
        </row>
        <row r="9728">
          <cell r="A9728" t="str">
            <v>dag_hs_16_0_16_0_c</v>
          </cell>
          <cell r="B9728" t="str">
            <v>dag_hs_16_0_16_0</v>
          </cell>
          <cell r="C9728" t="str">
            <v>Diacylglycerol (homo sapiens, C16:0, C16:0)</v>
          </cell>
        </row>
        <row r="9729">
          <cell r="A9729" t="str">
            <v>pail_hs_16_0_16_0_c</v>
          </cell>
          <cell r="B9729" t="str">
            <v>pail_hs_16_0_16_0</v>
          </cell>
          <cell r="C9729" t="str">
            <v>Phosphatidylinositol (homo sapiens, C16:0, C16:0)</v>
          </cell>
        </row>
        <row r="9730">
          <cell r="A9730" t="str">
            <v>pa_hs_16_0_16_0_c</v>
          </cell>
          <cell r="B9730" t="str">
            <v>pa_hs_16_0_16_0</v>
          </cell>
          <cell r="C9730" t="str">
            <v>Phosphatidic acid (homo sapiens, C16:0, C16:0)</v>
          </cell>
        </row>
        <row r="9731">
          <cell r="A9731" t="str">
            <v>band_c</v>
          </cell>
          <cell r="B9731" t="str">
            <v>band</v>
          </cell>
          <cell r="C9731" t="str">
            <v>Band membrane protein (universal, erythrocyte -&gt; 2.1,3,4.1)</v>
          </cell>
        </row>
        <row r="9732">
          <cell r="A9732" t="str">
            <v>pail_hs_18_2_16_0_c</v>
          </cell>
          <cell r="B9732" t="str">
            <v>pail_hs_18_2_16_0</v>
          </cell>
          <cell r="C9732" t="str">
            <v>Phosphatidylinositol (homo sapiens, C18:2, C16:0)</v>
          </cell>
        </row>
        <row r="9733">
          <cell r="A9733" t="str">
            <v>hcys__L_e</v>
          </cell>
          <cell r="B9733" t="str">
            <v>hcys__L</v>
          </cell>
          <cell r="C9733" t="str">
            <v>L-Homocysteine</v>
          </cell>
        </row>
        <row r="9734">
          <cell r="A9734" t="str">
            <v>12HPET_m</v>
          </cell>
          <cell r="B9734" t="str">
            <v>12HPET</v>
          </cell>
          <cell r="C9734" t="str">
            <v>12-Hydroperoxyeicosa-5,8,10,14-tetraenoate</v>
          </cell>
        </row>
        <row r="9735">
          <cell r="A9735" t="str">
            <v>34dhmald_m</v>
          </cell>
          <cell r="B9735" t="str">
            <v>34dhmald</v>
          </cell>
          <cell r="C9735" t="str">
            <v>3,4-Dihydroxymandelaldehyde</v>
          </cell>
        </row>
        <row r="9736">
          <cell r="A9736" t="str">
            <v>3aap_c</v>
          </cell>
          <cell r="B9736" t="str">
            <v>3aap</v>
          </cell>
          <cell r="C9736" t="str">
            <v>3-acetamidopropanal</v>
          </cell>
        </row>
        <row r="9737">
          <cell r="A9737" t="str">
            <v>3aap_x</v>
          </cell>
          <cell r="B9737" t="str">
            <v>3aap</v>
          </cell>
          <cell r="C9737" t="str">
            <v>3-acetamidopropanal</v>
          </cell>
        </row>
        <row r="9738">
          <cell r="A9738" t="str">
            <v>3ddcrn_e</v>
          </cell>
          <cell r="B9738" t="str">
            <v>3ddcrn</v>
          </cell>
          <cell r="C9738" t="str">
            <v>3-hydroxydodecanoylcarnitine</v>
          </cell>
        </row>
        <row r="9739">
          <cell r="A9739" t="str">
            <v>3deccrn_e</v>
          </cell>
          <cell r="B9739" t="str">
            <v>3deccrn</v>
          </cell>
          <cell r="C9739" t="str">
            <v>3-hydroxydecanoylcarnitine</v>
          </cell>
        </row>
        <row r="9740">
          <cell r="A9740" t="str">
            <v>3hexdcoa_m</v>
          </cell>
          <cell r="B9740" t="str">
            <v>3hexdcoa</v>
          </cell>
          <cell r="C9740" t="str">
            <v>3-hydroxyhexadecanoylcoa</v>
          </cell>
        </row>
        <row r="9741">
          <cell r="A9741" t="str">
            <v>3hexdcrn_c</v>
          </cell>
          <cell r="B9741" t="str">
            <v>3hexdcrn</v>
          </cell>
          <cell r="C9741" t="str">
            <v>3-hydroxyhexadecanoylcarnitine</v>
          </cell>
        </row>
        <row r="9742">
          <cell r="A9742" t="str">
            <v>3mox4hpac_m</v>
          </cell>
          <cell r="B9742" t="str">
            <v>3mox4hpac</v>
          </cell>
          <cell r="C9742" t="str">
            <v>3-Methoxy-4-hydroxyphenylacetaldehyde</v>
          </cell>
        </row>
        <row r="9743">
          <cell r="A9743" t="str">
            <v>3ohodcoa_r</v>
          </cell>
          <cell r="B9743" t="str">
            <v>3ohodcoa</v>
          </cell>
          <cell r="C9743" t="str">
            <v>3-Oxooctadecanoyl-CoA</v>
          </cell>
        </row>
        <row r="9744">
          <cell r="A9744" t="str">
            <v>4abut_n</v>
          </cell>
          <cell r="B9744" t="str">
            <v>4abut</v>
          </cell>
          <cell r="C9744" t="str">
            <v>4-Aminobutanoate</v>
          </cell>
        </row>
        <row r="9745">
          <cell r="A9745" t="str">
            <v>4hpro_LT_e</v>
          </cell>
          <cell r="B9745" t="str">
            <v>4hpro_LT</v>
          </cell>
          <cell r="C9745" t="str">
            <v>Trans 4 Hydroxy L proline C5H9NO3</v>
          </cell>
        </row>
        <row r="9746">
          <cell r="A9746" t="str">
            <v>56iqcrbxlt_c</v>
          </cell>
          <cell r="B9746" t="str">
            <v>56iqcrbxlt</v>
          </cell>
          <cell r="C9746" t="str">
            <v>5,6-Indolequinone-2-carboxylic acid</v>
          </cell>
        </row>
        <row r="9747">
          <cell r="A9747" t="str">
            <v>5mta_e</v>
          </cell>
          <cell r="B9747" t="str">
            <v>5mta</v>
          </cell>
          <cell r="C9747" t="str">
            <v>5-Methylthioadenosine</v>
          </cell>
        </row>
        <row r="9748">
          <cell r="A9748" t="str">
            <v>5mthf_n</v>
          </cell>
          <cell r="B9748" t="str">
            <v>5mthf</v>
          </cell>
          <cell r="C9748" t="str">
            <v>5-Methyltetrahydrofolate</v>
          </cell>
        </row>
        <row r="9749">
          <cell r="A9749" t="str">
            <v>C02147_c</v>
          </cell>
          <cell r="B9749" t="str">
            <v>C02147</v>
          </cell>
          <cell r="C9749" t="str">
            <v>Dihydrolipoate</v>
          </cell>
        </row>
        <row r="9750">
          <cell r="A9750" t="str">
            <v>C02442_c</v>
          </cell>
          <cell r="B9750" t="str">
            <v>C02442</v>
          </cell>
          <cell r="C9750" t="str">
            <v>N-methyltyraminium</v>
          </cell>
        </row>
        <row r="9751">
          <cell r="A9751" t="str">
            <v>C02470_e</v>
          </cell>
          <cell r="B9751" t="str">
            <v>C02470</v>
          </cell>
          <cell r="C9751" t="str">
            <v>Xanthurenic acid</v>
          </cell>
        </row>
        <row r="9752">
          <cell r="A9752" t="str">
            <v>C02528_m</v>
          </cell>
          <cell r="B9752" t="str">
            <v>C02528</v>
          </cell>
          <cell r="C9752" t="str">
            <v>Chenodeoxycholate</v>
          </cell>
        </row>
        <row r="9753">
          <cell r="A9753" t="str">
            <v>C02744_c</v>
          </cell>
          <cell r="B9753" t="str">
            <v>C02744</v>
          </cell>
          <cell r="C9753" t="str">
            <v>Psychosine sulfate</v>
          </cell>
        </row>
        <row r="9754">
          <cell r="A9754" t="str">
            <v>C03405_g</v>
          </cell>
          <cell r="B9754" t="str">
            <v>C03405</v>
          </cell>
          <cell r="C9754" t="str">
            <v>Lactosylceramide sulfate</v>
          </cell>
        </row>
        <row r="9755">
          <cell r="A9755" t="str">
            <v>C03681_c</v>
          </cell>
          <cell r="B9755" t="str">
            <v>C03681</v>
          </cell>
          <cell r="C9755" t="str">
            <v>5alpha-Pregnane-3,20-dione</v>
          </cell>
        </row>
        <row r="9756">
          <cell r="A9756" t="str">
            <v>C04308_m</v>
          </cell>
          <cell r="B9756" t="str">
            <v>C04308</v>
          </cell>
          <cell r="C9756" t="str">
            <v>Phosphatidyl-N-dimethylethanolamine</v>
          </cell>
        </row>
        <row r="9757">
          <cell r="A9757" t="str">
            <v>C04717_c</v>
          </cell>
          <cell r="B9757" t="str">
            <v>C04717</v>
          </cell>
          <cell r="C9757" t="str">
            <v>13(S)-HPODE(1-)</v>
          </cell>
        </row>
        <row r="9758">
          <cell r="A9758" t="str">
            <v>C04805_c</v>
          </cell>
          <cell r="B9758" t="str">
            <v>C04805</v>
          </cell>
          <cell r="C9758" t="str">
            <v>5(S)-HETE</v>
          </cell>
        </row>
        <row r="9759">
          <cell r="A9759" t="str">
            <v>C04805_r</v>
          </cell>
          <cell r="B9759" t="str">
            <v>C04805</v>
          </cell>
          <cell r="C9759" t="str">
            <v>5(S)-HETE</v>
          </cell>
        </row>
        <row r="9760">
          <cell r="A9760" t="str">
            <v>C04805_x</v>
          </cell>
          <cell r="B9760" t="str">
            <v>C04805</v>
          </cell>
          <cell r="C9760" t="str">
            <v>5(S)-HETE</v>
          </cell>
        </row>
        <row r="9761">
          <cell r="A9761" t="str">
            <v>C04849_m</v>
          </cell>
          <cell r="B9761" t="str">
            <v>C04849</v>
          </cell>
          <cell r="C9761" t="str">
            <v>(5Z,9E,14Z)-(8xi,11R,12S)-11,12-epoxy-8-hydroxyicosa-5,9,14-trienoate</v>
          </cell>
        </row>
        <row r="9762">
          <cell r="A9762" t="str">
            <v>C05299_c</v>
          </cell>
          <cell r="B9762" t="str">
            <v>C05299</v>
          </cell>
          <cell r="C9762" t="str">
            <v>2-Methoxyestrone</v>
          </cell>
        </row>
        <row r="9763">
          <cell r="A9763" t="str">
            <v>C05299_r</v>
          </cell>
          <cell r="B9763" t="str">
            <v>C05299</v>
          </cell>
          <cell r="C9763" t="str">
            <v>2-Methoxyestrone</v>
          </cell>
        </row>
        <row r="9764">
          <cell r="A9764" t="str">
            <v>C05301_c</v>
          </cell>
          <cell r="B9764" t="str">
            <v>C05301</v>
          </cell>
          <cell r="C9764" t="str">
            <v>2-Hydroxyestradiol-17beta</v>
          </cell>
        </row>
        <row r="9765">
          <cell r="A9765" t="str">
            <v>C05301_r</v>
          </cell>
          <cell r="B9765" t="str">
            <v>C05301</v>
          </cell>
          <cell r="C9765" t="str">
            <v>2-Hydroxyestradiol-17beta</v>
          </cell>
        </row>
        <row r="9766">
          <cell r="A9766" t="str">
            <v>C06315_c</v>
          </cell>
          <cell r="B9766" t="str">
            <v>C06315</v>
          </cell>
          <cell r="C9766" t="str">
            <v>Lipoxin B4(1-)</v>
          </cell>
        </row>
        <row r="9767">
          <cell r="A9767" t="str">
            <v>C06315_r</v>
          </cell>
          <cell r="B9767" t="str">
            <v>C06315</v>
          </cell>
          <cell r="C9767" t="str">
            <v>Lipoxin B4(1-)</v>
          </cell>
        </row>
        <row r="9768">
          <cell r="A9768" t="str">
            <v>C06315_x</v>
          </cell>
          <cell r="B9768" t="str">
            <v>C06315</v>
          </cell>
          <cell r="C9768" t="str">
            <v>Lipoxin B4(1-)</v>
          </cell>
        </row>
        <row r="9769">
          <cell r="A9769" t="str">
            <v>C06350_c</v>
          </cell>
          <cell r="B9769" t="str">
            <v>C06350</v>
          </cell>
          <cell r="C9769" t="str">
            <v>(R,S)-Norlaudanosoline</v>
          </cell>
        </row>
        <row r="9770">
          <cell r="A9770" t="str">
            <v>C07535_c</v>
          </cell>
          <cell r="B9770" t="str">
            <v>C07535</v>
          </cell>
          <cell r="C9770" t="str">
            <v>Benzpyrene</v>
          </cell>
        </row>
        <row r="9771">
          <cell r="A9771" t="str">
            <v>C07535_r</v>
          </cell>
          <cell r="B9771" t="str">
            <v>C07535</v>
          </cell>
          <cell r="C9771" t="str">
            <v>Benzpyrene</v>
          </cell>
        </row>
        <row r="9772">
          <cell r="A9772" t="str">
            <v>C09209_c</v>
          </cell>
          <cell r="B9772" t="str">
            <v>C09209</v>
          </cell>
          <cell r="C9772" t="str">
            <v>Harman</v>
          </cell>
        </row>
        <row r="9773">
          <cell r="A9773" t="str">
            <v>C14769_c</v>
          </cell>
          <cell r="B9773" t="str">
            <v>C14769</v>
          </cell>
          <cell r="C9773" t="str">
            <v>8,9-EET</v>
          </cell>
        </row>
        <row r="9774">
          <cell r="A9774" t="str">
            <v>C14769_r</v>
          </cell>
          <cell r="B9774" t="str">
            <v>C14769</v>
          </cell>
          <cell r="C9774" t="str">
            <v>8,9-EET</v>
          </cell>
        </row>
        <row r="9775">
          <cell r="A9775" t="str">
            <v>C14770_c</v>
          </cell>
          <cell r="B9775" t="str">
            <v>C14770</v>
          </cell>
          <cell r="C9775" t="str">
            <v>11,12-EET</v>
          </cell>
        </row>
        <row r="9776">
          <cell r="A9776" t="str">
            <v>C14770_r</v>
          </cell>
          <cell r="B9776" t="str">
            <v>C14770</v>
          </cell>
          <cell r="C9776" t="str">
            <v>11,12-EET</v>
          </cell>
        </row>
        <row r="9777">
          <cell r="A9777" t="str">
            <v>C14825_c</v>
          </cell>
          <cell r="B9777" t="str">
            <v>C14825</v>
          </cell>
          <cell r="C9777" t="str">
            <v>9(10)-EpOME</v>
          </cell>
        </row>
        <row r="9778">
          <cell r="A9778" t="str">
            <v>C14825_r</v>
          </cell>
          <cell r="B9778" t="str">
            <v>C14825</v>
          </cell>
          <cell r="C9778" t="str">
            <v>9(10)-EpOME</v>
          </cell>
        </row>
        <row r="9779">
          <cell r="A9779" t="str">
            <v>CE0074_n</v>
          </cell>
          <cell r="B9779" t="str">
            <v>CE0074</v>
          </cell>
          <cell r="C9779" t="str">
            <v>Alloxan</v>
          </cell>
        </row>
        <row r="9780">
          <cell r="A9780" t="str">
            <v>CE0692_c</v>
          </cell>
          <cell r="B9780" t="str">
            <v>CE0692</v>
          </cell>
          <cell r="C9780" t="str">
            <v>3-oxolaur-cis-5-enoyl-CoA</v>
          </cell>
        </row>
        <row r="9781">
          <cell r="A9781" t="str">
            <v>CE0713_c</v>
          </cell>
          <cell r="B9781" t="str">
            <v>CE0713</v>
          </cell>
          <cell r="C9781" t="str">
            <v>3-oxolinoleoyl-CoA; 3-oxo-(9Z,12Z)-9,12-Octadecadienoyl CoA</v>
          </cell>
        </row>
        <row r="9782">
          <cell r="A9782" t="str">
            <v>CE0737_c</v>
          </cell>
          <cell r="B9782" t="str">
            <v>CE0737</v>
          </cell>
          <cell r="C9782" t="str">
            <v>Malonic dialdehyde</v>
          </cell>
        </row>
        <row r="9783">
          <cell r="A9783" t="str">
            <v>CE0853_c</v>
          </cell>
          <cell r="B9783" t="str">
            <v>CE0853</v>
          </cell>
          <cell r="C9783" t="str">
            <v>3-oxopalmitoleoyl-CoA</v>
          </cell>
        </row>
        <row r="9784">
          <cell r="A9784" t="str">
            <v>CE1162_c</v>
          </cell>
          <cell r="B9784" t="str">
            <v>CE1162</v>
          </cell>
          <cell r="C9784" t="str">
            <v>Vitamin A2; all-trans-3-dehydroretinol</v>
          </cell>
        </row>
        <row r="9785">
          <cell r="A9785" t="str">
            <v>CE1272_c</v>
          </cell>
          <cell r="B9785" t="str">
            <v>CE1272</v>
          </cell>
          <cell r="C9785" t="str">
            <v>5beta-cholestane-3alpha,7alpha,12alpha,25-tetrol</v>
          </cell>
        </row>
        <row r="9786">
          <cell r="A9786" t="str">
            <v>CE1272_r</v>
          </cell>
          <cell r="B9786" t="str">
            <v>CE1272</v>
          </cell>
          <cell r="C9786" t="str">
            <v>5beta-cholestane-3alpha,7alpha,12alpha,25-tetrol</v>
          </cell>
        </row>
        <row r="9787">
          <cell r="A9787" t="str">
            <v>CE1297_m</v>
          </cell>
          <cell r="B9787" t="str">
            <v>CE1297</v>
          </cell>
          <cell r="C9787" t="str">
            <v>8-dehydrocholesterol; 3beta-Cholesta-5,8-dien-3-ol</v>
          </cell>
        </row>
        <row r="9788">
          <cell r="A9788" t="str">
            <v>CE1447_c</v>
          </cell>
          <cell r="B9788" t="str">
            <v>CE1447</v>
          </cell>
          <cell r="C9788" t="str">
            <v>11-dehydrothromboxane B2</v>
          </cell>
        </row>
        <row r="9789">
          <cell r="A9789" t="str">
            <v>CE1617_c</v>
          </cell>
          <cell r="B9789" t="str">
            <v>CE1617</v>
          </cell>
          <cell r="C9789" t="str">
            <v>9-cis-retinoate</v>
          </cell>
        </row>
        <row r="9790">
          <cell r="A9790" t="str">
            <v>CE1617_r</v>
          </cell>
          <cell r="B9790" t="str">
            <v>CE1617</v>
          </cell>
          <cell r="C9790" t="str">
            <v>9-cis-retinoate</v>
          </cell>
        </row>
        <row r="9791">
          <cell r="A9791" t="str">
            <v>CE1761_c</v>
          </cell>
          <cell r="B9791" t="str">
            <v>CE1761</v>
          </cell>
          <cell r="C9791" t="str">
            <v>4-hydroxyvitamin A1</v>
          </cell>
        </row>
        <row r="9792">
          <cell r="A9792" t="str">
            <v>CE1761_r</v>
          </cell>
          <cell r="B9792" t="str">
            <v>CE1761</v>
          </cell>
          <cell r="C9792" t="str">
            <v>4-hydroxyvitamin A1</v>
          </cell>
        </row>
        <row r="9793">
          <cell r="A9793" t="str">
            <v>CE1925_l</v>
          </cell>
          <cell r="B9793" t="str">
            <v>CE1925</v>
          </cell>
          <cell r="C9793" t="str">
            <v>3'-carboxy-alpha-chromanol</v>
          </cell>
        </row>
        <row r="9794">
          <cell r="A9794" t="str">
            <v>CE1926_l</v>
          </cell>
          <cell r="B9794" t="str">
            <v>CE1926</v>
          </cell>
          <cell r="C9794" t="str">
            <v>Gama-carboxyethyl-hydroxychroman</v>
          </cell>
        </row>
        <row r="9795">
          <cell r="A9795" t="str">
            <v>CE1935_c</v>
          </cell>
          <cell r="B9795" t="str">
            <v>CE1935</v>
          </cell>
          <cell r="C9795" t="str">
            <v>Spermine monoaldehyde</v>
          </cell>
        </row>
        <row r="9796">
          <cell r="A9796" t="str">
            <v>CE1935_x</v>
          </cell>
          <cell r="B9796" t="str">
            <v>CE1935</v>
          </cell>
          <cell r="C9796" t="str">
            <v>Spermine monoaldehyde</v>
          </cell>
        </row>
        <row r="9797">
          <cell r="A9797" t="str">
            <v>CE1936_e</v>
          </cell>
          <cell r="B9797" t="str">
            <v>CE1936</v>
          </cell>
          <cell r="C9797" t="str">
            <v>Spermine dialdehyde</v>
          </cell>
        </row>
        <row r="9798">
          <cell r="A9798" t="str">
            <v>CE1939_e</v>
          </cell>
          <cell r="B9798" t="str">
            <v>CE1939</v>
          </cell>
          <cell r="C9798" t="str">
            <v>Spermidine monoaldehyde 1</v>
          </cell>
        </row>
        <row r="9799">
          <cell r="A9799" t="str">
            <v>CE2011_c</v>
          </cell>
          <cell r="B9799" t="str">
            <v>CE2011</v>
          </cell>
          <cell r="C9799" t="str">
            <v>Hypothiocyanite</v>
          </cell>
        </row>
        <row r="9800">
          <cell r="A9800" t="str">
            <v>CE2026_m</v>
          </cell>
          <cell r="B9800" t="str">
            <v>CE2026</v>
          </cell>
          <cell r="C9800" t="str">
            <v>3-methylcrotonoylglycine</v>
          </cell>
        </row>
        <row r="9801">
          <cell r="A9801" t="str">
            <v>CE2065_c</v>
          </cell>
          <cell r="B9801" t="str">
            <v>CE2065</v>
          </cell>
          <cell r="C9801" t="str">
            <v>Acetylcarnosine</v>
          </cell>
        </row>
        <row r="9802">
          <cell r="A9802" t="str">
            <v>CE2088_c</v>
          </cell>
          <cell r="B9802" t="str">
            <v>CE2088</v>
          </cell>
          <cell r="C9802" t="str">
            <v>N-acetyl-S-[2-carboxy-1-(1 H-imidazol-4-yl)ethyl]-L-cysteine</v>
          </cell>
        </row>
        <row r="9803">
          <cell r="A9803" t="str">
            <v>CE2089_c</v>
          </cell>
          <cell r="B9803" t="str">
            <v>CE2089</v>
          </cell>
          <cell r="C9803" t="str">
            <v>S-[2-carboxy-1-(1 H-imidazol-4-yl)ethyl]-L-cysteine</v>
          </cell>
        </row>
        <row r="9804">
          <cell r="A9804" t="str">
            <v>CE2095_m</v>
          </cell>
          <cell r="B9804" t="str">
            <v>CE2095</v>
          </cell>
          <cell r="C9804" t="str">
            <v>3-hydroxykynurenine-O-beta-D-glucoside</v>
          </cell>
        </row>
        <row r="9805">
          <cell r="A9805" t="str">
            <v>CE2102_c</v>
          </cell>
          <cell r="B9805" t="str">
            <v>CE2102</v>
          </cell>
          <cell r="C9805" t="str">
            <v>Lipoyllysine</v>
          </cell>
        </row>
        <row r="9806">
          <cell r="A9806" t="str">
            <v>CE2122_c</v>
          </cell>
          <cell r="B9806" t="str">
            <v>CE2122</v>
          </cell>
          <cell r="C9806" t="str">
            <v>Methyl indole-3-acetate</v>
          </cell>
        </row>
        <row r="9807">
          <cell r="A9807" t="str">
            <v>CE2153_c</v>
          </cell>
          <cell r="B9807" t="str">
            <v>CE2153</v>
          </cell>
          <cell r="C9807" t="str">
            <v>6-hydroxy-1,2,3,4-tetrahydro-beta-carboline</v>
          </cell>
        </row>
        <row r="9808">
          <cell r="A9808" t="str">
            <v>CE2172_c</v>
          </cell>
          <cell r="B9808" t="str">
            <v>CE2172</v>
          </cell>
          <cell r="C9808" t="str">
            <v>6,7-dihydroxy-1,2,3,4-tetrahydroisoquinoline</v>
          </cell>
        </row>
        <row r="9809">
          <cell r="A9809" t="str">
            <v>CE2173_c</v>
          </cell>
          <cell r="B9809" t="str">
            <v>CE2173</v>
          </cell>
          <cell r="C9809" t="str">
            <v>N-methyl-4,6,7-trihydroxy-1,2,3,4-tetrahydroisoquinoline</v>
          </cell>
        </row>
        <row r="9810">
          <cell r="A9810" t="str">
            <v>CE2189_c</v>
          </cell>
          <cell r="B9810" t="str">
            <v>CE2189</v>
          </cell>
          <cell r="C9810" t="str">
            <v>4-methoxyestrone</v>
          </cell>
        </row>
        <row r="9811">
          <cell r="A9811" t="str">
            <v>CE2203_m</v>
          </cell>
          <cell r="B9811" t="str">
            <v>CE2203</v>
          </cell>
          <cell r="C9811" t="str">
            <v>25-hydroxyvitamin D3-26,23-lactol</v>
          </cell>
        </row>
        <row r="9812">
          <cell r="A9812" t="str">
            <v>CE2211_c</v>
          </cell>
          <cell r="B9812" t="str">
            <v>CE2211</v>
          </cell>
          <cell r="C9812" t="str">
            <v>Allopregnanolone</v>
          </cell>
        </row>
        <row r="9813">
          <cell r="A9813" t="str">
            <v>CE2211_r</v>
          </cell>
          <cell r="B9813" t="str">
            <v>CE2211</v>
          </cell>
          <cell r="C9813" t="str">
            <v>Allopregnanolone</v>
          </cell>
        </row>
        <row r="9814">
          <cell r="A9814" t="str">
            <v>CE2242_c</v>
          </cell>
          <cell r="B9814" t="str">
            <v>CE2242</v>
          </cell>
          <cell r="C9814" t="str">
            <v>Trans-docos-2-enoyl-CoA</v>
          </cell>
        </row>
        <row r="9815">
          <cell r="A9815" t="str">
            <v>CE2246_c</v>
          </cell>
          <cell r="B9815" t="str">
            <v>CE2246</v>
          </cell>
          <cell r="C9815" t="str">
            <v>3-hydroxydocosanoyl-CoA (4-)</v>
          </cell>
        </row>
        <row r="9816">
          <cell r="A9816" t="str">
            <v>CE2253_n</v>
          </cell>
          <cell r="B9816" t="str">
            <v>CE2253</v>
          </cell>
          <cell r="C9816" t="str">
            <v>3-oxotetracosanoyl-CoA</v>
          </cell>
        </row>
        <row r="9817">
          <cell r="A9817" t="str">
            <v>CE2303_r</v>
          </cell>
          <cell r="B9817" t="str">
            <v>CE2303</v>
          </cell>
          <cell r="C9817" t="str">
            <v>9-hydroxy-10-O-D-glucuronoside-12Z-octadecenoate</v>
          </cell>
        </row>
        <row r="9818">
          <cell r="A9818" t="str">
            <v>CE2304_r</v>
          </cell>
          <cell r="B9818" t="str">
            <v>CE2304</v>
          </cell>
          <cell r="C9818" t="str">
            <v>10-hydroxy-octadec-12Z-enoate-9-beta-D-glucuronide</v>
          </cell>
        </row>
        <row r="9819">
          <cell r="A9819" t="str">
            <v>CE2305_r</v>
          </cell>
          <cell r="B9819" t="str">
            <v>CE2305</v>
          </cell>
          <cell r="C9819" t="str">
            <v>12-hydroxy-13-O-D-glucuronoside-octadec-9Z-enoate</v>
          </cell>
        </row>
        <row r="9820">
          <cell r="A9820" t="str">
            <v>CE2314_r</v>
          </cell>
          <cell r="B9820" t="str">
            <v>CE2314</v>
          </cell>
          <cell r="C9820" t="str">
            <v>4,4-dimethylcholesta-8(9)-en-3beta-ol</v>
          </cell>
        </row>
        <row r="9821">
          <cell r="A9821" t="str">
            <v>CE2345_c</v>
          </cell>
          <cell r="B9821" t="str">
            <v>CE2345</v>
          </cell>
          <cell r="C9821" t="str">
            <v>7alpha-hydroxy-3-oxo-4-cholestenoic acid anion</v>
          </cell>
        </row>
        <row r="9822">
          <cell r="A9822" t="str">
            <v>CE2416_c</v>
          </cell>
          <cell r="B9822" t="str">
            <v>CE2416</v>
          </cell>
          <cell r="C9822" t="str">
            <v>(2R,6S,10S)-pristanate</v>
          </cell>
        </row>
        <row r="9823">
          <cell r="A9823" t="str">
            <v>CE2417_c</v>
          </cell>
          <cell r="B9823" t="str">
            <v>CE2417</v>
          </cell>
          <cell r="C9823" t="str">
            <v>3(S)-hydroxy-5Z,8Z-tetradecadienoyl-CoA</v>
          </cell>
        </row>
        <row r="9824">
          <cell r="A9824" t="str">
            <v>CE2420_c</v>
          </cell>
          <cell r="B9824" t="str">
            <v>CE2420</v>
          </cell>
          <cell r="C9824" t="str">
            <v>(3S)-3-hydroxydodec-cis-6-enoyl-CoA</v>
          </cell>
        </row>
        <row r="9825">
          <cell r="A9825" t="str">
            <v>CE2446_m</v>
          </cell>
          <cell r="B9825" t="str">
            <v>CE2446</v>
          </cell>
          <cell r="C9825" t="str">
            <v>6E-12-epi-leukotriene B4</v>
          </cell>
        </row>
        <row r="9826">
          <cell r="A9826" t="str">
            <v>CE2615_r</v>
          </cell>
          <cell r="B9826" t="str">
            <v>CE2615</v>
          </cell>
          <cell r="C9826" t="str">
            <v>2-hydroxyamino-3,8-dimethylimidazo[4,5-f]quinoxaline</v>
          </cell>
        </row>
        <row r="9827">
          <cell r="A9827" t="str">
            <v>CE2705_n</v>
          </cell>
          <cell r="B9827" t="str">
            <v>CE2705</v>
          </cell>
          <cell r="C9827" t="str">
            <v>7,8-Dihydrobiopterin</v>
          </cell>
        </row>
        <row r="9828">
          <cell r="A9828" t="str">
            <v>CE2838_c</v>
          </cell>
          <cell r="B9828" t="str">
            <v>CE2838</v>
          </cell>
          <cell r="C9828" t="str">
            <v>Maltononaose</v>
          </cell>
        </row>
        <row r="9829">
          <cell r="A9829" t="str">
            <v>CE2839_e</v>
          </cell>
          <cell r="B9829" t="str">
            <v>CE2839</v>
          </cell>
          <cell r="C9829" t="str">
            <v>Maltodecaose</v>
          </cell>
        </row>
        <row r="9830">
          <cell r="A9830" t="str">
            <v>CE2848_c</v>
          </cell>
          <cell r="B9830" t="str">
            <v>CE2848</v>
          </cell>
          <cell r="C9830" t="str">
            <v>Fructoseglycine ketone 3-phosphate</v>
          </cell>
        </row>
        <row r="9831">
          <cell r="A9831" t="str">
            <v>CE2862_c</v>
          </cell>
          <cell r="B9831" t="str">
            <v>CE2862</v>
          </cell>
          <cell r="C9831" t="str">
            <v>Neurotensin 1-10; Pglu-Leu-Tyr-Glu-Asn-Lys-Pro-Arg-Arg-Pro</v>
          </cell>
        </row>
        <row r="9832">
          <cell r="A9832" t="str">
            <v>CE2874_c</v>
          </cell>
          <cell r="B9832" t="str">
            <v>CE2874</v>
          </cell>
          <cell r="C9832" t="str">
            <v>3'-monoiodo-L-thyronine</v>
          </cell>
        </row>
        <row r="9833">
          <cell r="A9833" t="str">
            <v>CE2877_r</v>
          </cell>
          <cell r="B9833" t="str">
            <v>CE2877</v>
          </cell>
          <cell r="C9833" t="str">
            <v>3,5,3',5'-tetraiodo-L-thyronine-beta-D-glucuronoside</v>
          </cell>
        </row>
        <row r="9834">
          <cell r="A9834" t="str">
            <v>CE2880_r</v>
          </cell>
          <cell r="B9834" t="str">
            <v>CE2880</v>
          </cell>
          <cell r="C9834" t="str">
            <v>3,3'-diiodo-L-thyronine-beta-D-glucuronoside</v>
          </cell>
        </row>
        <row r="9835">
          <cell r="A9835" t="str">
            <v>CE2884_r</v>
          </cell>
          <cell r="B9835" t="str">
            <v>CE2884</v>
          </cell>
          <cell r="C9835" t="str">
            <v>3',5'-diiodothyroacetate</v>
          </cell>
        </row>
        <row r="9836">
          <cell r="A9836" t="str">
            <v>CE2891_c</v>
          </cell>
          <cell r="B9836" t="str">
            <v>CE2891</v>
          </cell>
          <cell r="C9836" t="str">
            <v>Dynorphin B</v>
          </cell>
        </row>
        <row r="9837">
          <cell r="A9837" t="str">
            <v>CE2957_c</v>
          </cell>
          <cell r="B9837" t="str">
            <v>CE2957</v>
          </cell>
          <cell r="C9837" t="str">
            <v>18-hydroxy-all-trans-retinoate</v>
          </cell>
        </row>
        <row r="9838">
          <cell r="A9838" t="str">
            <v>CE2957_r</v>
          </cell>
          <cell r="B9838" t="str">
            <v>CE2957</v>
          </cell>
          <cell r="C9838" t="str">
            <v>18-hydroxy-all-trans-retinoate</v>
          </cell>
        </row>
        <row r="9839">
          <cell r="A9839" t="str">
            <v>CE2958_r</v>
          </cell>
          <cell r="B9839" t="str">
            <v>CE2958</v>
          </cell>
          <cell r="C9839" t="str">
            <v>Rac-5,6-epoxy-retinoyl-beta-D-glucuronide</v>
          </cell>
        </row>
        <row r="9840">
          <cell r="A9840" t="str">
            <v>CE2964_c</v>
          </cell>
          <cell r="B9840" t="str">
            <v>CE2964</v>
          </cell>
          <cell r="C9840" t="str">
            <v>5,8-epoxy-13-cis-retinoate</v>
          </cell>
        </row>
        <row r="9841">
          <cell r="A9841" t="str">
            <v>CE3038_c</v>
          </cell>
          <cell r="B9841" t="str">
            <v>CE3038</v>
          </cell>
          <cell r="C9841" t="str">
            <v>3beta,7alpha-dihydroxy-5-cholestenoate</v>
          </cell>
        </row>
        <row r="9842">
          <cell r="A9842" t="str">
            <v>CE3481_g</v>
          </cell>
          <cell r="B9842" t="str">
            <v>CE3481</v>
          </cell>
          <cell r="C9842" t="str">
            <v>1-lyso-2-arachidonoyl-phosphatidate</v>
          </cell>
        </row>
        <row r="9843">
          <cell r="A9843" t="str">
            <v>CE4633_e</v>
          </cell>
          <cell r="B9843" t="str">
            <v>CE4633</v>
          </cell>
          <cell r="C9843" t="str">
            <v>Hypochlorous acid</v>
          </cell>
        </row>
        <row r="9844">
          <cell r="A9844" t="str">
            <v>CE4723_c</v>
          </cell>
          <cell r="B9844" t="str">
            <v>CE4723</v>
          </cell>
          <cell r="C9844" t="str">
            <v>Neocasomorphin (1-5)</v>
          </cell>
        </row>
        <row r="9845">
          <cell r="A9845" t="str">
            <v>CE4811_c</v>
          </cell>
          <cell r="B9845" t="str">
            <v>CE4811</v>
          </cell>
          <cell r="C9845" t="str">
            <v>3-keto-eicosa-8,11,14,17-all-cis-tetraenoyl-CoA</v>
          </cell>
        </row>
        <row r="9846">
          <cell r="A9846" t="str">
            <v>CE4818_c</v>
          </cell>
          <cell r="B9846" t="str">
            <v>CE4818</v>
          </cell>
          <cell r="C9846" t="str">
            <v>3(S)-hydroxy-tetracosa-9,12,15,18,21-all-cis-pentaenoyl-CoA</v>
          </cell>
        </row>
        <row r="9847">
          <cell r="A9847" t="str">
            <v>CE4821_c</v>
          </cell>
          <cell r="B9847" t="str">
            <v>CE4821</v>
          </cell>
          <cell r="C9847" t="str">
            <v>2-trans-7,10,13,16,19-all-cis-docosahexaenoyl-CoA</v>
          </cell>
        </row>
        <row r="9848">
          <cell r="A9848" t="str">
            <v>CE4835_c</v>
          </cell>
          <cell r="B9848" t="str">
            <v>CE4835</v>
          </cell>
          <cell r="C9848" t="str">
            <v>2E,7Z,10Z,13Z,16Z-docosapentaenoyl-CoA</v>
          </cell>
        </row>
        <row r="9849">
          <cell r="A9849" t="str">
            <v>CE4837_c</v>
          </cell>
          <cell r="B9849" t="str">
            <v>CE4837</v>
          </cell>
          <cell r="C9849" t="str">
            <v>Tetracosa-9,12,15,18-all-cis-tetraenoyl-CoA</v>
          </cell>
        </row>
        <row r="9850">
          <cell r="A9850" t="str">
            <v>CE4837_r</v>
          </cell>
          <cell r="B9850" t="str">
            <v>CE4837</v>
          </cell>
          <cell r="C9850" t="str">
            <v>Tetracosa-9,12,15,18-all-cis-tetraenoyl-CoA</v>
          </cell>
        </row>
        <row r="9851">
          <cell r="A9851" t="str">
            <v>CE4842_c</v>
          </cell>
          <cell r="B9851" t="str">
            <v>CE4842</v>
          </cell>
          <cell r="C9851" t="str">
            <v>Trans,cis,cis-2,11,14-eicosatrienoyl-CoA</v>
          </cell>
        </row>
        <row r="9852">
          <cell r="A9852" t="str">
            <v>CE4843_c</v>
          </cell>
          <cell r="B9852" t="str">
            <v>CE4843</v>
          </cell>
          <cell r="C9852" t="str">
            <v>Cis,cis-11,14-eicosadienoyl-CoA</v>
          </cell>
        </row>
        <row r="9853">
          <cell r="A9853" t="str">
            <v>CE4847_c</v>
          </cell>
          <cell r="B9853" t="str">
            <v>CE4847</v>
          </cell>
          <cell r="C9853" t="str">
            <v>Cis,cis,cis-10,13,16-docosatrienoyl-CoA</v>
          </cell>
        </row>
        <row r="9854">
          <cell r="A9854" t="str">
            <v>CE4853_c</v>
          </cell>
          <cell r="B9854" t="str">
            <v>CE4853</v>
          </cell>
          <cell r="C9854" t="str">
            <v>Trans,cis,cis,cis,cis-2,12,15,18,21-tetracosapentaenoyl-CoA</v>
          </cell>
        </row>
        <row r="9855">
          <cell r="A9855" t="str">
            <v>CE4853_r</v>
          </cell>
          <cell r="B9855" t="str">
            <v>CE4853</v>
          </cell>
          <cell r="C9855" t="str">
            <v>Trans,cis,cis,cis,cis-2,12,15,18,21-tetracosapentaenoyl-CoA</v>
          </cell>
        </row>
        <row r="9856">
          <cell r="A9856" t="str">
            <v>CE4874_c</v>
          </cell>
          <cell r="B9856" t="str">
            <v>CE4874</v>
          </cell>
          <cell r="C9856" t="str">
            <v>5beta-cholestane-3alpha,7alpha,12alpha,27,27-pentaol</v>
          </cell>
        </row>
        <row r="9857">
          <cell r="A9857" t="str">
            <v>CE4876_m</v>
          </cell>
          <cell r="B9857" t="str">
            <v>CE4876</v>
          </cell>
          <cell r="C9857" t="str">
            <v>Delta12-Prostaglandin J2</v>
          </cell>
        </row>
        <row r="9858">
          <cell r="A9858" t="str">
            <v>CE4877_c</v>
          </cell>
          <cell r="B9858" t="str">
            <v>CE4877</v>
          </cell>
          <cell r="C9858" t="str">
            <v>15-deoxy-prostaglandin J2</v>
          </cell>
        </row>
        <row r="9859">
          <cell r="A9859" t="str">
            <v>CE4881_e</v>
          </cell>
          <cell r="B9859" t="str">
            <v>CE4881</v>
          </cell>
          <cell r="C9859" t="str">
            <v>Nitryl chloride</v>
          </cell>
        </row>
        <row r="9860">
          <cell r="A9860" t="str">
            <v>CE4890_c</v>
          </cell>
          <cell r="B9860" t="str">
            <v>CE4890</v>
          </cell>
          <cell r="C9860" t="str">
            <v>N-methylsalsolinol</v>
          </cell>
        </row>
        <row r="9861">
          <cell r="A9861" t="str">
            <v>CE4936_c</v>
          </cell>
          <cell r="B9861" t="str">
            <v>CE4936</v>
          </cell>
          <cell r="C9861" t="str">
            <v>N-acetyl-leukotriene E4</v>
          </cell>
        </row>
        <row r="9862">
          <cell r="A9862" t="str">
            <v>CE4968_m</v>
          </cell>
          <cell r="B9862" t="str">
            <v>CE4968</v>
          </cell>
          <cell r="C9862" t="str">
            <v>Isovalerylglycine</v>
          </cell>
        </row>
        <row r="9863">
          <cell r="A9863" t="str">
            <v>CE4980_c</v>
          </cell>
          <cell r="B9863" t="str">
            <v>CE4980</v>
          </cell>
          <cell r="C9863" t="str">
            <v>Prostaglandin PGE2 glyceryl ester</v>
          </cell>
        </row>
        <row r="9864">
          <cell r="A9864" t="str">
            <v>CE5013_c</v>
          </cell>
          <cell r="B9864" t="str">
            <v>CE5013</v>
          </cell>
          <cell r="C9864" t="str">
            <v>14-hydroxy-4,14-retro-retinol</v>
          </cell>
        </row>
        <row r="9865">
          <cell r="A9865" t="str">
            <v>CE5141_c</v>
          </cell>
          <cell r="B9865" t="str">
            <v>CE5141</v>
          </cell>
          <cell r="C9865" t="str">
            <v>12,20-dioxo-leukotriene B4</v>
          </cell>
        </row>
        <row r="9866">
          <cell r="A9866" t="str">
            <v>CE5158_c</v>
          </cell>
          <cell r="B9866" t="str">
            <v>CE5158</v>
          </cell>
          <cell r="C9866" t="str">
            <v>Trans,cis-2,15-tetracosadienoyl-CoA</v>
          </cell>
        </row>
        <row r="9867">
          <cell r="A9867" t="str">
            <v>CE5158_r</v>
          </cell>
          <cell r="B9867" t="str">
            <v>CE5158</v>
          </cell>
          <cell r="C9867" t="str">
            <v>Trans,cis-2,15-tetracosadienoyl-CoA</v>
          </cell>
        </row>
        <row r="9868">
          <cell r="A9868" t="str">
            <v>CE5161_c</v>
          </cell>
          <cell r="B9868" t="str">
            <v>CE5161</v>
          </cell>
          <cell r="C9868" t="str">
            <v>3(S)-hydroxy-cis-9-octadecenoyl-CoA</v>
          </cell>
        </row>
        <row r="9869">
          <cell r="A9869" t="str">
            <v>CE5161_r</v>
          </cell>
          <cell r="B9869" t="str">
            <v>CE5161</v>
          </cell>
          <cell r="C9869" t="str">
            <v>3(S)-hydroxy-cis-9-octadecenoyl-CoA</v>
          </cell>
        </row>
        <row r="9870">
          <cell r="A9870" t="str">
            <v>CE5168_c</v>
          </cell>
          <cell r="B9870" t="str">
            <v>CE5168</v>
          </cell>
          <cell r="C9870" t="str">
            <v>24(R),25(R)-varanoyl-CoA; (24R,25R)-3alpha,7alpha,12alpha,24-tetrahydroxy-5beta-cholestan-26-oyl-CoA</v>
          </cell>
        </row>
        <row r="9871">
          <cell r="A9871" t="str">
            <v>CE5178_c</v>
          </cell>
          <cell r="B9871" t="str">
            <v>CE5178</v>
          </cell>
          <cell r="C9871" t="str">
            <v>5-oxo-6-trans-leukotriene B4</v>
          </cell>
        </row>
        <row r="9872">
          <cell r="A9872" t="str">
            <v>CE5236_c</v>
          </cell>
          <cell r="B9872" t="str">
            <v>CE5236</v>
          </cell>
          <cell r="C9872" t="str">
            <v>O2'-4a-cyclic-tetrahydrobiopterin</v>
          </cell>
        </row>
        <row r="9873">
          <cell r="A9873" t="str">
            <v>CE5240_c</v>
          </cell>
          <cell r="B9873" t="str">
            <v>CE5240</v>
          </cell>
          <cell r="C9873" t="str">
            <v>2-hydroxyestrone-4-S-glutathione</v>
          </cell>
        </row>
        <row r="9874">
          <cell r="A9874" t="str">
            <v>CE5240_r</v>
          </cell>
          <cell r="B9874" t="str">
            <v>CE5240</v>
          </cell>
          <cell r="C9874" t="str">
            <v>2-hydroxyestrone-4-S-glutathione</v>
          </cell>
        </row>
        <row r="9875">
          <cell r="A9875" t="str">
            <v>CE5240_x</v>
          </cell>
          <cell r="B9875" t="str">
            <v>CE5240</v>
          </cell>
          <cell r="C9875" t="str">
            <v>2-hydroxyestrone-4-S-glutathione</v>
          </cell>
        </row>
        <row r="9876">
          <cell r="A9876" t="str">
            <v>CE5242_m</v>
          </cell>
          <cell r="B9876" t="str">
            <v>CE5242</v>
          </cell>
          <cell r="C9876" t="str">
            <v>2-hydroxyestrone-1-S-glutathione</v>
          </cell>
        </row>
        <row r="9877">
          <cell r="A9877" t="str">
            <v>CE5243_c</v>
          </cell>
          <cell r="B9877" t="str">
            <v>CE5243</v>
          </cell>
          <cell r="C9877" t="str">
            <v>4-hydroxy-17beta-estradiol-2-S-glutathione</v>
          </cell>
        </row>
        <row r="9878">
          <cell r="A9878" t="str">
            <v>CE5243_r</v>
          </cell>
          <cell r="B9878" t="str">
            <v>CE5243</v>
          </cell>
          <cell r="C9878" t="str">
            <v>4-hydroxy-17beta-estradiol-2-S-glutathione</v>
          </cell>
        </row>
        <row r="9879">
          <cell r="A9879" t="str">
            <v>CE5243_x</v>
          </cell>
          <cell r="B9879" t="str">
            <v>CE5243</v>
          </cell>
          <cell r="C9879" t="str">
            <v>4-hydroxy-17beta-estradiol-2-S-glutathione</v>
          </cell>
        </row>
        <row r="9880">
          <cell r="A9880" t="str">
            <v>CE5244_m</v>
          </cell>
          <cell r="B9880" t="str">
            <v>CE5244</v>
          </cell>
          <cell r="C9880" t="str">
            <v>4-hydroxyestrone-2-S-glutathione</v>
          </cell>
        </row>
        <row r="9881">
          <cell r="A9881" t="str">
            <v>CE5250_m</v>
          </cell>
          <cell r="B9881" t="str">
            <v>CE5250</v>
          </cell>
          <cell r="C9881" t="str">
            <v>17beta-estradiol-2,3-quinone</v>
          </cell>
        </row>
        <row r="9882">
          <cell r="A9882" t="str">
            <v>CE5255_c</v>
          </cell>
          <cell r="B9882" t="str">
            <v>CE5255</v>
          </cell>
          <cell r="C9882" t="str">
            <v>Estrone-3,4-semiquinone</v>
          </cell>
        </row>
        <row r="9883">
          <cell r="A9883" t="str">
            <v>CE5278_c</v>
          </cell>
          <cell r="B9883" t="str">
            <v>CE5278</v>
          </cell>
          <cell r="C9883" t="str">
            <v>Dopachrome o-semiquinone</v>
          </cell>
        </row>
        <row r="9884">
          <cell r="A9884" t="str">
            <v>CE5331_m</v>
          </cell>
          <cell r="B9884" t="str">
            <v>CE5331</v>
          </cell>
          <cell r="C9884" t="str">
            <v>3,5-dioxo-12(S)-hydroxy-eicosa-8E,10E,14Z-trienoyl-CoA</v>
          </cell>
        </row>
        <row r="9885">
          <cell r="A9885" t="str">
            <v>CE5337_c</v>
          </cell>
          <cell r="B9885" t="str">
            <v>CE5337</v>
          </cell>
          <cell r="C9885" t="str">
            <v>3-oxo-10(S)-hydroxy-octadeca-6E,8E,12Z-trienoyl-CoA</v>
          </cell>
        </row>
        <row r="9886">
          <cell r="A9886" t="str">
            <v>CE5337_x</v>
          </cell>
          <cell r="B9886" t="str">
            <v>CE5337</v>
          </cell>
          <cell r="C9886" t="str">
            <v>3-oxo-10(S)-hydroxy-octadeca-6E,8E,12Z-trienoyl-CoA</v>
          </cell>
        </row>
        <row r="9887">
          <cell r="A9887" t="str">
            <v>CE5345_m</v>
          </cell>
          <cell r="B9887" t="str">
            <v>CE5345</v>
          </cell>
          <cell r="C9887" t="str">
            <v>3,5-dioxo-12(R)-hydroxy-eicosa-8E,10E,14Z-trienoyl-CoA</v>
          </cell>
        </row>
        <row r="9888">
          <cell r="A9888" t="str">
            <v>CE5348_c</v>
          </cell>
          <cell r="B9888" t="str">
            <v>CE5348</v>
          </cell>
          <cell r="C9888" t="str">
            <v>5-oxo-12(R)-hydroxy-eicosa-8E,10E,14Z-trienoyl-CoA</v>
          </cell>
        </row>
        <row r="9889">
          <cell r="A9889" t="str">
            <v>CE5348_r</v>
          </cell>
          <cell r="B9889" t="str">
            <v>CE5348</v>
          </cell>
          <cell r="C9889" t="str">
            <v>5-oxo-12(R)-hydroxy-eicosa-8E,10E,14Z-trienoyl-CoA</v>
          </cell>
        </row>
        <row r="9890">
          <cell r="A9890" t="str">
            <v>CE5348_x</v>
          </cell>
          <cell r="B9890" t="str">
            <v>CE5348</v>
          </cell>
          <cell r="C9890" t="str">
            <v>5-oxo-12(R)-hydroxy-eicosa-8E,10E,14Z-trienoyl-CoA</v>
          </cell>
        </row>
        <row r="9891">
          <cell r="A9891" t="str">
            <v>CE5538_c</v>
          </cell>
          <cell r="B9891" t="str">
            <v>CE5538</v>
          </cell>
          <cell r="C9891" t="str">
            <v>Noradrenochrome</v>
          </cell>
        </row>
        <row r="9892">
          <cell r="A9892" t="str">
            <v>CE5538_r</v>
          </cell>
          <cell r="B9892" t="str">
            <v>CE5538</v>
          </cell>
          <cell r="C9892" t="str">
            <v>Noradrenochrome</v>
          </cell>
        </row>
        <row r="9893">
          <cell r="A9893" t="str">
            <v>CE5538_x</v>
          </cell>
          <cell r="B9893" t="str">
            <v>CE5538</v>
          </cell>
          <cell r="C9893" t="str">
            <v>Noradrenochrome</v>
          </cell>
        </row>
        <row r="9894">
          <cell r="A9894" t="str">
            <v>CE5541_c</v>
          </cell>
          <cell r="B9894" t="str">
            <v>CE5541</v>
          </cell>
          <cell r="C9894" t="str">
            <v>Adrenochrome o-semiquinone</v>
          </cell>
        </row>
        <row r="9895">
          <cell r="A9895" t="str">
            <v>CE5586_c</v>
          </cell>
          <cell r="B9895" t="str">
            <v>CE5586</v>
          </cell>
          <cell r="C9895" t="str">
            <v>N-[(E)-4-ammoniobutylidene]propane-1,3-diaminium</v>
          </cell>
        </row>
        <row r="9896">
          <cell r="A9896" t="str">
            <v>CE5626_c</v>
          </cell>
          <cell r="B9896" t="str">
            <v>CE5626</v>
          </cell>
          <cell r="C9896" t="str">
            <v>Salsolinol 1-carboxylate</v>
          </cell>
        </row>
        <row r="9897">
          <cell r="A9897" t="str">
            <v>CE5643_c</v>
          </cell>
          <cell r="B9897" t="str">
            <v>CE5643</v>
          </cell>
          <cell r="C9897" t="str">
            <v>Peroxynitrite</v>
          </cell>
        </row>
        <row r="9898">
          <cell r="A9898" t="str">
            <v>CE5655_c</v>
          </cell>
          <cell r="B9898" t="str">
            <v>CE5655</v>
          </cell>
          <cell r="C9898" t="str">
            <v>13'-hydroxy-gama-tocopherol</v>
          </cell>
        </row>
        <row r="9899">
          <cell r="A9899" t="str">
            <v>CE5655_r</v>
          </cell>
          <cell r="B9899" t="str">
            <v>CE5655</v>
          </cell>
          <cell r="C9899" t="str">
            <v>13'-hydroxy-gama-tocopherol</v>
          </cell>
        </row>
        <row r="9900">
          <cell r="A9900" t="str">
            <v>CE5661_c</v>
          </cell>
          <cell r="B9900" t="str">
            <v>CE5661</v>
          </cell>
          <cell r="C9900" t="str">
            <v>15-oxo-lipoxin A4</v>
          </cell>
        </row>
        <row r="9901">
          <cell r="A9901" t="str">
            <v>CE5788_e</v>
          </cell>
          <cell r="B9901" t="str">
            <v>CE5788</v>
          </cell>
          <cell r="C9901" t="str">
            <v>Kinetensin 1-7</v>
          </cell>
        </row>
        <row r="9902">
          <cell r="A9902" t="str">
            <v>CE5789_c</v>
          </cell>
          <cell r="B9902" t="str">
            <v>CE5789</v>
          </cell>
          <cell r="C9902" t="str">
            <v>Kinetensin 1-8</v>
          </cell>
        </row>
        <row r="9903">
          <cell r="A9903" t="str">
            <v>CE5795_c</v>
          </cell>
          <cell r="B9903" t="str">
            <v>CE5795</v>
          </cell>
          <cell r="C9903" t="str">
            <v>Neuromedin B (1-3)</v>
          </cell>
        </row>
        <row r="9904">
          <cell r="A9904" t="str">
            <v>CE5796_c</v>
          </cell>
          <cell r="B9904" t="str">
            <v>CE5796</v>
          </cell>
          <cell r="C9904" t="str">
            <v>Neuromedin B (4-10)</v>
          </cell>
        </row>
        <row r="9905">
          <cell r="A9905" t="str">
            <v>CE5797_c</v>
          </cell>
          <cell r="B9905" t="str">
            <v>CE5797</v>
          </cell>
          <cell r="C9905" t="str">
            <v>Neuromedin N</v>
          </cell>
        </row>
        <row r="9906">
          <cell r="A9906" t="str">
            <v>CE5798_e</v>
          </cell>
          <cell r="B9906" t="str">
            <v>CE5798</v>
          </cell>
          <cell r="C9906" t="str">
            <v>Neuromedin N (1-4)</v>
          </cell>
        </row>
        <row r="9907">
          <cell r="A9907" t="str">
            <v>CE5843_c</v>
          </cell>
          <cell r="B9907" t="str">
            <v>CE5843</v>
          </cell>
          <cell r="C9907" t="str">
            <v>13'-carboxy-alpha-tocopherol</v>
          </cell>
        </row>
        <row r="9908">
          <cell r="A9908" t="str">
            <v>CE5843_r</v>
          </cell>
          <cell r="B9908" t="str">
            <v>CE5843</v>
          </cell>
          <cell r="C9908" t="str">
            <v>13'-carboxy-alpha-tocopherol</v>
          </cell>
        </row>
        <row r="9909">
          <cell r="A9909" t="str">
            <v>CE5853_l</v>
          </cell>
          <cell r="B9909" t="str">
            <v>CE5853</v>
          </cell>
          <cell r="C9909" t="str">
            <v>Alpha-CEHC-glucuronide</v>
          </cell>
        </row>
        <row r="9910">
          <cell r="A9910" t="str">
            <v>CE5854_r</v>
          </cell>
          <cell r="B9910" t="str">
            <v>CE5854</v>
          </cell>
          <cell r="C9910" t="str">
            <v>Gama-CEHC-glucuronide</v>
          </cell>
        </row>
        <row r="9911">
          <cell r="A9911" t="str">
            <v>CE5860_c</v>
          </cell>
          <cell r="B9911" t="str">
            <v>CE5860</v>
          </cell>
          <cell r="C9911" t="str">
            <v>N-acetyl-5-methoxykynuramine</v>
          </cell>
        </row>
        <row r="9912">
          <cell r="A9912" t="str">
            <v>CE5865_c</v>
          </cell>
          <cell r="B9912" t="str">
            <v>CE5865</v>
          </cell>
          <cell r="C9912" t="str">
            <v>L-leucyl-L-serine</v>
          </cell>
        </row>
        <row r="9913">
          <cell r="A9913" t="str">
            <v>CE5867_e</v>
          </cell>
          <cell r="B9913" t="str">
            <v>CE5867</v>
          </cell>
          <cell r="C9913" t="str">
            <v>N-acetyl-seryl-aspartyl-lysyl-proline</v>
          </cell>
        </row>
        <row r="9914">
          <cell r="A9914" t="str">
            <v>CE5869_c</v>
          </cell>
          <cell r="B9914" t="str">
            <v>CE5869</v>
          </cell>
          <cell r="C9914" t="str">
            <v>Lysyl-proline</v>
          </cell>
        </row>
        <row r="9915">
          <cell r="A9915" t="str">
            <v>CE5944_c</v>
          </cell>
          <cell r="B9915" t="str">
            <v>CE5944</v>
          </cell>
          <cell r="C9915" t="str">
            <v>10,11-dihydro-12-oxo-LTB4</v>
          </cell>
        </row>
        <row r="9916">
          <cell r="A9916" t="str">
            <v>CE5944_x</v>
          </cell>
          <cell r="B9916" t="str">
            <v>CE5944</v>
          </cell>
          <cell r="C9916" t="str">
            <v>10,11-dihydro-12-oxo-LTB4</v>
          </cell>
        </row>
        <row r="9917">
          <cell r="A9917" t="str">
            <v>CE5945_c</v>
          </cell>
          <cell r="B9917" t="str">
            <v>CE5945</v>
          </cell>
          <cell r="C9917" t="str">
            <v>10,11-dihydro-20-dihydroxy-LTB4</v>
          </cell>
        </row>
        <row r="9918">
          <cell r="A9918" t="str">
            <v>CE5945_r</v>
          </cell>
          <cell r="B9918" t="str">
            <v>CE5945</v>
          </cell>
          <cell r="C9918" t="str">
            <v>10,11-dihydro-20-dihydroxy-LTB4</v>
          </cell>
        </row>
        <row r="9919">
          <cell r="A9919" t="str">
            <v>CE5966_m</v>
          </cell>
          <cell r="B9919" t="str">
            <v>CE5966</v>
          </cell>
          <cell r="C9919" t="str">
            <v>3-oxo-5(S),12(R)-dihydroxy-eicosa-8-trans-6,14-cis-trienoyl-CoA</v>
          </cell>
        </row>
        <row r="9920">
          <cell r="A9920" t="str">
            <v>CE5967_m</v>
          </cell>
          <cell r="B9920" t="str">
            <v>CE5967</v>
          </cell>
          <cell r="C9920" t="str">
            <v>3(S),10(R)-OH-octadeca-6-trans-4,12-cis-trienoyl-CoA</v>
          </cell>
        </row>
        <row r="9921">
          <cell r="A9921" t="str">
            <v>CE5969_c</v>
          </cell>
          <cell r="B9921" t="str">
            <v>CE5969</v>
          </cell>
          <cell r="C9921" t="str">
            <v>10,11-dihydro-LTB4-CoA</v>
          </cell>
        </row>
        <row r="9922">
          <cell r="A9922" t="str">
            <v>CE5969_r</v>
          </cell>
          <cell r="B9922" t="str">
            <v>CE5969</v>
          </cell>
          <cell r="C9922" t="str">
            <v>10,11-dihydro-LTB4-CoA</v>
          </cell>
        </row>
        <row r="9923">
          <cell r="A9923" t="str">
            <v>CE5969_x</v>
          </cell>
          <cell r="B9923" t="str">
            <v>CE5969</v>
          </cell>
          <cell r="C9923" t="str">
            <v>10,11-dihydro-LTB4-CoA</v>
          </cell>
        </row>
        <row r="9924">
          <cell r="A9924" t="str">
            <v>CE5970_x</v>
          </cell>
          <cell r="B9924" t="str">
            <v>CE5970</v>
          </cell>
          <cell r="C9924" t="str">
            <v>5(S),12(R)-dihydroxy-eicosa-2,8-trans-6,14-cis-tetraenoyl-CoA</v>
          </cell>
        </row>
        <row r="9925">
          <cell r="A9925" t="str">
            <v>CE5971_c</v>
          </cell>
          <cell r="B9925" t="str">
            <v>CE5971</v>
          </cell>
          <cell r="C9925" t="str">
            <v>3(S),5(S),12(R)-trihydroxy-eicosa-8-trans-6,14-cis-trienoyl-CoA</v>
          </cell>
        </row>
        <row r="9926">
          <cell r="A9926" t="str">
            <v>CE5971_x</v>
          </cell>
          <cell r="B9926" t="str">
            <v>CE5971</v>
          </cell>
          <cell r="C9926" t="str">
            <v>3(S),5(S),12(R)-trihydroxy-eicosa-8-trans-6,14-cis-trienoyl-CoA</v>
          </cell>
        </row>
        <row r="9927">
          <cell r="A9927" t="str">
            <v>CE5986_c</v>
          </cell>
          <cell r="B9927" t="str">
            <v>CE5986</v>
          </cell>
          <cell r="C9927" t="str">
            <v>5-nitro-gama-tocopherol</v>
          </cell>
        </row>
        <row r="9928">
          <cell r="A9928" t="str">
            <v>CE6183_m</v>
          </cell>
          <cell r="B9928" t="str">
            <v>CE6183</v>
          </cell>
          <cell r="C9928" t="str">
            <v>18,20-dioxo-20-CoA-leukotriene B4</v>
          </cell>
        </row>
        <row r="9929">
          <cell r="A9929" t="str">
            <v>CE6184_c</v>
          </cell>
          <cell r="B9929" t="str">
            <v>CE6184</v>
          </cell>
          <cell r="C9929" t="str">
            <v>18-CoA-18-oxo-dinorleukotriene B4</v>
          </cell>
        </row>
        <row r="9930">
          <cell r="A9930" t="str">
            <v>CE6184_x</v>
          </cell>
          <cell r="B9930" t="str">
            <v>CE6184</v>
          </cell>
          <cell r="C9930" t="str">
            <v>18-CoA-18-oxo-dinorleukotriene B4</v>
          </cell>
        </row>
        <row r="9931">
          <cell r="A9931" t="str">
            <v>CE6187_c</v>
          </cell>
          <cell r="B9931" t="str">
            <v>CE6187</v>
          </cell>
          <cell r="C9931" t="str">
            <v>20-CoA-20-oxo-18R-hydroxyleucotriene B4</v>
          </cell>
        </row>
        <row r="9932">
          <cell r="A9932" t="str">
            <v>CE6187_x</v>
          </cell>
          <cell r="B9932" t="str">
            <v>CE6187</v>
          </cell>
          <cell r="C9932" t="str">
            <v>20-CoA-20-oxo-18R-hydroxyleucotriene B4</v>
          </cell>
        </row>
        <row r="9933">
          <cell r="A9933" t="str">
            <v>CE6190_x</v>
          </cell>
          <cell r="B9933" t="str">
            <v>CE6190</v>
          </cell>
          <cell r="C9933" t="str">
            <v>CoA-20-COOH-LTE4</v>
          </cell>
        </row>
        <row r="9934">
          <cell r="A9934" t="str">
            <v>CE6225_x</v>
          </cell>
          <cell r="B9934" t="str">
            <v>CE6225</v>
          </cell>
          <cell r="C9934" t="str">
            <v>16E-18-oxo-18-CoA-dinor-LTE4</v>
          </cell>
        </row>
        <row r="9935">
          <cell r="A9935" t="str">
            <v>CE6227_x</v>
          </cell>
          <cell r="B9935" t="str">
            <v>CE6227</v>
          </cell>
          <cell r="C9935" t="str">
            <v>CoA-18-COOH-15E-dinor-LTE4</v>
          </cell>
        </row>
        <row r="9936">
          <cell r="A9936" t="str">
            <v>CE6232_c</v>
          </cell>
          <cell r="B9936" t="str">
            <v>CE6232</v>
          </cell>
          <cell r="C9936" t="str">
            <v>Prostaglandin G1</v>
          </cell>
        </row>
        <row r="9937">
          <cell r="A9937" t="str">
            <v>CE6232_r</v>
          </cell>
          <cell r="B9937" t="str">
            <v>CE6232</v>
          </cell>
          <cell r="C9937" t="str">
            <v>Prostaglandin G1</v>
          </cell>
        </row>
        <row r="9938">
          <cell r="A9938" t="str">
            <v>CE6235_c</v>
          </cell>
          <cell r="B9938" t="str">
            <v>CE6235</v>
          </cell>
          <cell r="C9938" t="str">
            <v>S-(PGA2)-glutathione</v>
          </cell>
        </row>
        <row r="9939">
          <cell r="A9939" t="str">
            <v>CE6235_r</v>
          </cell>
          <cell r="B9939" t="str">
            <v>CE6235</v>
          </cell>
          <cell r="C9939" t="str">
            <v>S-(PGA2)-glutathione</v>
          </cell>
        </row>
        <row r="9940">
          <cell r="A9940" t="str">
            <v>CE6242_m</v>
          </cell>
          <cell r="B9940" t="str">
            <v>CE6242</v>
          </cell>
          <cell r="C9940" t="str">
            <v>S-(PGJ2)-glutathione</v>
          </cell>
        </row>
        <row r="9941">
          <cell r="A9941" t="str">
            <v>CE6244_c</v>
          </cell>
          <cell r="B9941" t="str">
            <v>CE6244</v>
          </cell>
          <cell r="C9941" t="str">
            <v>S-(11-hydroxy-9-deoxy-delta12-PGD2)-glutathione</v>
          </cell>
        </row>
        <row r="9942">
          <cell r="A9942" t="str">
            <v>CE6250_m</v>
          </cell>
          <cell r="B9942" t="str">
            <v>CE6250</v>
          </cell>
          <cell r="C9942" t="str">
            <v>Hepoxilin A3-C</v>
          </cell>
        </row>
        <row r="9943">
          <cell r="A9943" t="str">
            <v>CE6316_g</v>
          </cell>
          <cell r="B9943" t="str">
            <v>CE6316</v>
          </cell>
          <cell r="C9943" t="str">
            <v>N,N-dimethyldopaminequinone</v>
          </cell>
        </row>
        <row r="9944">
          <cell r="A9944" t="str">
            <v>CE6420_c</v>
          </cell>
          <cell r="B9944" t="str">
            <v>CE6420</v>
          </cell>
          <cell r="C9944" t="str">
            <v>8-peroxy-docosahexaenoate</v>
          </cell>
        </row>
        <row r="9945">
          <cell r="A9945" t="str">
            <v>CE6426_c</v>
          </cell>
          <cell r="B9945" t="str">
            <v>CE6426</v>
          </cell>
          <cell r="C9945" t="str">
            <v>7-peroxy-docosahexaenoate</v>
          </cell>
        </row>
        <row r="9946">
          <cell r="A9946" t="str">
            <v>CE6429_c</v>
          </cell>
          <cell r="B9946" t="str">
            <v>CE6429</v>
          </cell>
          <cell r="C9946" t="str">
            <v>14-peroxy-docosahexaenoate</v>
          </cell>
        </row>
        <row r="9947">
          <cell r="A9947" t="str">
            <v>CE6438_c</v>
          </cell>
          <cell r="B9947" t="str">
            <v>CE6438</v>
          </cell>
          <cell r="C9947" t="str">
            <v>16-peroxy-docosahexaenoate</v>
          </cell>
        </row>
        <row r="9948">
          <cell r="A9948" t="str">
            <v>CE6454_c</v>
          </cell>
          <cell r="B9948" t="str">
            <v>CE6454</v>
          </cell>
          <cell r="C9948" t="str">
            <v>7-hydroxy-E4-neuroprostane</v>
          </cell>
        </row>
        <row r="9949">
          <cell r="A9949" t="str">
            <v>CE6464_c</v>
          </cell>
          <cell r="B9949" t="str">
            <v>CE6464</v>
          </cell>
          <cell r="C9949" t="str">
            <v>17-hydroxy-E4-neuroprostane</v>
          </cell>
        </row>
        <row r="9950">
          <cell r="A9950" t="str">
            <v>CE6465_c</v>
          </cell>
          <cell r="B9950" t="str">
            <v>CE6465</v>
          </cell>
          <cell r="C9950" t="str">
            <v>17-hydroxy-D4-neuroprostane</v>
          </cell>
        </row>
        <row r="9951">
          <cell r="A9951" t="str">
            <v>CE6506_c</v>
          </cell>
          <cell r="B9951" t="str">
            <v>CE6506</v>
          </cell>
          <cell r="C9951" t="str">
            <v>3,4-epoxynonanal</v>
          </cell>
        </row>
        <row r="9952">
          <cell r="A9952" t="str">
            <v>CE7047_c</v>
          </cell>
          <cell r="B9952" t="str">
            <v>CE7047</v>
          </cell>
          <cell r="C9952" t="str">
            <v>Gama-tocopheroxyl radical</v>
          </cell>
        </row>
        <row r="9953">
          <cell r="A9953" t="str">
            <v>CE7079_c</v>
          </cell>
          <cell r="B9953" t="str">
            <v>CE7079</v>
          </cell>
          <cell r="C9953" t="str">
            <v>Leukotriene A5</v>
          </cell>
        </row>
        <row r="9954">
          <cell r="A9954" t="str">
            <v>CE7081_r</v>
          </cell>
          <cell r="B9954" t="str">
            <v>CE7081</v>
          </cell>
          <cell r="C9954" t="str">
            <v>15(R)-HEPE</v>
          </cell>
        </row>
        <row r="9955">
          <cell r="A9955" t="str">
            <v>CE7087_c</v>
          </cell>
          <cell r="B9955" t="str">
            <v>CE7087</v>
          </cell>
          <cell r="C9955" t="str">
            <v>Leukotriene D5</v>
          </cell>
        </row>
        <row r="9956">
          <cell r="A9956" t="str">
            <v>CE7088_c</v>
          </cell>
          <cell r="B9956" t="str">
            <v>CE7088</v>
          </cell>
          <cell r="C9956" t="str">
            <v>PGH3</v>
          </cell>
        </row>
        <row r="9957">
          <cell r="A9957" t="str">
            <v>CE7090_n</v>
          </cell>
          <cell r="B9957" t="str">
            <v>CE7090</v>
          </cell>
          <cell r="C9957" t="str">
            <v>18R-HEPE</v>
          </cell>
        </row>
        <row r="9958">
          <cell r="A9958" t="str">
            <v>CE7096_c</v>
          </cell>
          <cell r="B9958" t="str">
            <v>CE7096</v>
          </cell>
          <cell r="C9958" t="str">
            <v>5,15-DiHETE</v>
          </cell>
        </row>
        <row r="9959">
          <cell r="A9959" t="str">
            <v>CE7109_n</v>
          </cell>
          <cell r="B9959" t="str">
            <v>CE7109</v>
          </cell>
          <cell r="C9959" t="str">
            <v>5(S),6(S)-epoxy-15(R)-HEPE</v>
          </cell>
        </row>
        <row r="9960">
          <cell r="A9960" t="str">
            <v>CE7112_c</v>
          </cell>
          <cell r="B9960" t="str">
            <v>CE7112</v>
          </cell>
          <cell r="C9960" t="str">
            <v>15-epi-lipoxin A5</v>
          </cell>
        </row>
        <row r="9961">
          <cell r="A9961" t="str">
            <v>CE7112_r</v>
          </cell>
          <cell r="B9961" t="str">
            <v>CE7112</v>
          </cell>
          <cell r="C9961" t="str">
            <v>15-epi-lipoxin A5</v>
          </cell>
        </row>
        <row r="9962">
          <cell r="A9962" t="str">
            <v>CE7112_x</v>
          </cell>
          <cell r="B9962" t="str">
            <v>CE7112</v>
          </cell>
          <cell r="C9962" t="str">
            <v>15-epi-lipoxin A5</v>
          </cell>
        </row>
        <row r="9963">
          <cell r="A9963" t="str">
            <v>CE7115_c</v>
          </cell>
          <cell r="B9963" t="str">
            <v>CE7115</v>
          </cell>
          <cell r="C9963" t="str">
            <v>20-hydroxy-leukotriene B5</v>
          </cell>
        </row>
        <row r="9964">
          <cell r="A9964" t="str">
            <v>CE7115_r</v>
          </cell>
          <cell r="B9964" t="str">
            <v>CE7115</v>
          </cell>
          <cell r="C9964" t="str">
            <v>20-hydroxy-leukotriene B5</v>
          </cell>
        </row>
        <row r="9965">
          <cell r="A9965" t="str">
            <v>CE7172_c</v>
          </cell>
          <cell r="B9965" t="str">
            <v>CE7172</v>
          </cell>
          <cell r="C9965" t="str">
            <v>14,15-DiHETE</v>
          </cell>
        </row>
        <row r="9966">
          <cell r="A9966" t="str">
            <v>CN0016_c</v>
          </cell>
          <cell r="B9966" t="str">
            <v>CN0016</v>
          </cell>
          <cell r="C9966" t="str">
            <v>Dibenzo[a,l]pyrene</v>
          </cell>
        </row>
        <row r="9967">
          <cell r="A9967" t="str">
            <v>CN0016_r</v>
          </cell>
          <cell r="B9967" t="str">
            <v>CN0016</v>
          </cell>
          <cell r="C9967" t="str">
            <v>Dibenzo[a,l]pyrene</v>
          </cell>
        </row>
        <row r="9968">
          <cell r="A9968" t="str">
            <v>CN0018_c</v>
          </cell>
          <cell r="B9968" t="str">
            <v>CN0018</v>
          </cell>
          <cell r="C9968" t="str">
            <v>Dibenzo[a,l]pyrene-11,12-diol</v>
          </cell>
        </row>
        <row r="9969">
          <cell r="A9969" t="str">
            <v>CN0018_r</v>
          </cell>
          <cell r="B9969" t="str">
            <v>CN0018</v>
          </cell>
          <cell r="C9969" t="str">
            <v>Dibenzo[a,l]pyrene-11,12-diol</v>
          </cell>
        </row>
        <row r="9970">
          <cell r="A9970" t="str">
            <v>CN0018_x</v>
          </cell>
          <cell r="B9970" t="str">
            <v>CN0018</v>
          </cell>
          <cell r="C9970" t="str">
            <v>Dibenzo[a,l]pyrene-11,12-diol</v>
          </cell>
        </row>
        <row r="9971">
          <cell r="A9971" t="str">
            <v>CN0022_c</v>
          </cell>
          <cell r="B9971" t="str">
            <v>CN0022</v>
          </cell>
          <cell r="C9971" t="str">
            <v>7,12-Dimethylbenz[a]anthracene-3,4-diol</v>
          </cell>
        </row>
        <row r="9972">
          <cell r="A9972" t="str">
            <v>CN0022_r</v>
          </cell>
          <cell r="B9972" t="str">
            <v>CN0022</v>
          </cell>
          <cell r="C9972" t="str">
            <v>7,12-Dimethylbenz[a]anthracene-3,4-diol</v>
          </cell>
        </row>
        <row r="9973">
          <cell r="A9973" t="str">
            <v>CN0022_x</v>
          </cell>
          <cell r="B9973" t="str">
            <v>CN0022</v>
          </cell>
          <cell r="C9973" t="str">
            <v>7,12-Dimethylbenz[a]anthracene-3,4-diol</v>
          </cell>
        </row>
        <row r="9974">
          <cell r="A9974" t="str">
            <v>CN0023_c</v>
          </cell>
          <cell r="B9974" t="str">
            <v>CN0023</v>
          </cell>
          <cell r="C9974" t="str">
            <v>7,12-Dimethylbenz[a]anthracene-3,4-diol-1,2-epoxide</v>
          </cell>
        </row>
        <row r="9975">
          <cell r="A9975" t="str">
            <v>CN0023_r</v>
          </cell>
          <cell r="B9975" t="str">
            <v>CN0023</v>
          </cell>
          <cell r="C9975" t="str">
            <v>7,12-Dimethylbenz[a]anthracene-3,4-diol-1,2-epoxide</v>
          </cell>
        </row>
        <row r="9976">
          <cell r="A9976" t="str">
            <v>HC00250_e</v>
          </cell>
          <cell r="B9976" t="str">
            <v>HC00250</v>
          </cell>
          <cell r="C9976" t="str">
            <v>Hydrosulfide</v>
          </cell>
        </row>
        <row r="9977">
          <cell r="A9977" t="str">
            <v>HC00591_c</v>
          </cell>
          <cell r="B9977" t="str">
            <v>HC00591</v>
          </cell>
          <cell r="C9977" t="str">
            <v>2-oxoglutaramate</v>
          </cell>
        </row>
        <row r="9978">
          <cell r="A9978" t="str">
            <v>HC00822_e</v>
          </cell>
          <cell r="B9978" t="str">
            <v>HC00822</v>
          </cell>
          <cell r="C9978" t="str">
            <v>Chitobiose</v>
          </cell>
        </row>
        <row r="9979">
          <cell r="A9979" t="str">
            <v>HC00832_c</v>
          </cell>
          <cell r="B9979" t="str">
            <v>HC00832</v>
          </cell>
          <cell r="C9979" t="str">
            <v>L-Fuculose</v>
          </cell>
        </row>
        <row r="9980">
          <cell r="A9980" t="str">
            <v>HC01115_c</v>
          </cell>
          <cell r="B9980" t="str">
            <v>HC01115</v>
          </cell>
          <cell r="C9980" t="str">
            <v>NeuNGc</v>
          </cell>
        </row>
        <row r="9981">
          <cell r="A9981" t="str">
            <v>HC01231_c</v>
          </cell>
          <cell r="B9981" t="str">
            <v>HC01231</v>
          </cell>
          <cell r="C9981" t="str">
            <v>N-[(R)-pantothenoyl]-L-cysteinate</v>
          </cell>
        </row>
        <row r="9982">
          <cell r="A9982" t="str">
            <v>HC01434_c</v>
          </cell>
          <cell r="B9982" t="str">
            <v>HC01434</v>
          </cell>
          <cell r="C9982" t="str">
            <v>Oxalatosuccinate(3-)</v>
          </cell>
        </row>
        <row r="9983">
          <cell r="A9983" t="str">
            <v>HC01434_x</v>
          </cell>
          <cell r="B9983" t="str">
            <v>HC01434</v>
          </cell>
          <cell r="C9983" t="str">
            <v>Oxalatosuccinate(3-)</v>
          </cell>
        </row>
        <row r="9984">
          <cell r="A9984" t="str">
            <v>HC01435_m</v>
          </cell>
          <cell r="B9984" t="str">
            <v>HC01435</v>
          </cell>
          <cell r="C9984" t="str">
            <v>3-Carboxy-1-hydroxypropyl-ThPP</v>
          </cell>
        </row>
        <row r="9985">
          <cell r="A9985" t="str">
            <v>HC01440_e</v>
          </cell>
          <cell r="B9985" t="str">
            <v>HC01440</v>
          </cell>
          <cell r="C9985" t="str">
            <v>3-Keto-beta-D-galactose</v>
          </cell>
        </row>
        <row r="9986">
          <cell r="A9986" t="str">
            <v>HC01651_c</v>
          </cell>
          <cell r="B9986" t="str">
            <v>HC01651</v>
          </cell>
          <cell r="C9986" t="str">
            <v>Formamidopyrimidine nucleoside triphosphate</v>
          </cell>
        </row>
        <row r="9987">
          <cell r="A9987" t="str">
            <v>HC02111_c</v>
          </cell>
          <cell r="B9987" t="str">
            <v>HC02111</v>
          </cell>
          <cell r="C9987" t="str">
            <v>ATP-energy</v>
          </cell>
        </row>
        <row r="9988">
          <cell r="A9988" t="str">
            <v>HC02113_m</v>
          </cell>
          <cell r="B9988" t="str">
            <v>HC02113</v>
          </cell>
          <cell r="C9988" t="str">
            <v>NADPH-redox-potential</v>
          </cell>
        </row>
        <row r="9989">
          <cell r="A9989" t="str">
            <v>HC02116_c</v>
          </cell>
          <cell r="B9989" t="str">
            <v>HC02116</v>
          </cell>
          <cell r="C9989" t="str">
            <v>Activated-sulphur</v>
          </cell>
        </row>
        <row r="9990">
          <cell r="A9990" t="str">
            <v>HC02172_e</v>
          </cell>
          <cell r="B9990" t="str">
            <v>HC02172</v>
          </cell>
          <cell r="C9990" t="str">
            <v>Zinc</v>
          </cell>
        </row>
        <row r="9991">
          <cell r="A9991" t="str">
            <v>HC02195_e</v>
          </cell>
          <cell r="B9991" t="str">
            <v>HC02195</v>
          </cell>
          <cell r="C9991" t="str">
            <v>Tauroursodeoxycholate</v>
          </cell>
        </row>
        <row r="9992">
          <cell r="A9992" t="str">
            <v>HC02196_e</v>
          </cell>
          <cell r="B9992" t="str">
            <v>HC02196</v>
          </cell>
          <cell r="C9992" t="str">
            <v>Glycoursodeoxycholate</v>
          </cell>
        </row>
        <row r="9993">
          <cell r="A9993" t="str">
            <v>HC02197_e</v>
          </cell>
          <cell r="B9993" t="str">
            <v>HC02197</v>
          </cell>
          <cell r="C9993" t="str">
            <v>Sulfoglycolithocholate(2-)</v>
          </cell>
        </row>
        <row r="9994">
          <cell r="A9994" t="str">
            <v>HC02201_e</v>
          </cell>
          <cell r="B9994" t="str">
            <v>HC02201</v>
          </cell>
          <cell r="C9994" t="str">
            <v>S-glutathionyl-ethacrynic-acid</v>
          </cell>
        </row>
        <row r="9995">
          <cell r="A9995" t="str">
            <v>HC02202_m</v>
          </cell>
          <cell r="B9995" t="str">
            <v>HC02202</v>
          </cell>
          <cell r="C9995" t="str">
            <v>Prostaglandin A1(1-)</v>
          </cell>
        </row>
        <row r="9996">
          <cell r="A9996" t="str">
            <v>HC02205_c</v>
          </cell>
          <cell r="B9996" t="str">
            <v>HC02205</v>
          </cell>
          <cell r="C9996" t="str">
            <v>Prostaglandin-b2</v>
          </cell>
        </row>
        <row r="9997">
          <cell r="A9997" t="str">
            <v>HC02206_e</v>
          </cell>
          <cell r="B9997" t="str">
            <v>HC02206</v>
          </cell>
          <cell r="C9997" t="str">
            <v>Prostaglandin C1(1-)</v>
          </cell>
        </row>
        <row r="9998">
          <cell r="A9998" t="str">
            <v>HC02213_c</v>
          </cell>
          <cell r="B9998" t="str">
            <v>HC02213</v>
          </cell>
          <cell r="C9998" t="str">
            <v>Prostaglandin E3</v>
          </cell>
        </row>
        <row r="9999">
          <cell r="A9999" t="str">
            <v>HC02214_c</v>
          </cell>
          <cell r="B9999" t="str">
            <v>HC02214</v>
          </cell>
          <cell r="C9999" t="str">
            <v>Prostaglandin-f1alpha</v>
          </cell>
        </row>
        <row r="10000">
          <cell r="A10000" t="str">
            <v>HC02217_c</v>
          </cell>
          <cell r="B10000" t="str">
            <v>HC02217</v>
          </cell>
          <cell r="C10000" t="str">
            <v>Prostaglandin-g2</v>
          </cell>
        </row>
        <row r="10001">
          <cell r="A10001" t="str">
            <v>HC02220_e</v>
          </cell>
          <cell r="B10001" t="str">
            <v>HC02220</v>
          </cell>
          <cell r="C10001" t="str">
            <v>Sulfochenodeoxycholate</v>
          </cell>
        </row>
        <row r="10002">
          <cell r="A10002" t="str">
            <v>HC10859_c</v>
          </cell>
          <cell r="B10002" t="str">
            <v>HC10859</v>
          </cell>
          <cell r="C10002" t="str">
            <v>Malonyl-Carnitin</v>
          </cell>
        </row>
        <row r="10003">
          <cell r="A10003" t="str">
            <v>HC10859_r</v>
          </cell>
          <cell r="B10003" t="str">
            <v>HC10859</v>
          </cell>
          <cell r="C10003" t="str">
            <v>Malonyl-Carnitin</v>
          </cell>
        </row>
        <row r="10004">
          <cell r="A10004" t="str">
            <v>HC10859_x</v>
          </cell>
          <cell r="B10004" t="str">
            <v>HC10859</v>
          </cell>
          <cell r="C10004" t="str">
            <v>Malonyl-Carnitin</v>
          </cell>
        </row>
        <row r="10005">
          <cell r="A10005" t="str">
            <v>Lkynr_m</v>
          </cell>
          <cell r="B10005" t="str">
            <v>Lkynr</v>
          </cell>
          <cell r="C10005" t="str">
            <v>L Kynurenine C10H12N2O3</v>
          </cell>
        </row>
        <row r="10006">
          <cell r="A10006" t="str">
            <v>acgagbside_cho_l</v>
          </cell>
          <cell r="B10006" t="str">
            <v>acgagbside_cho</v>
          </cell>
          <cell r="C10006" t="str">
            <v>Alpha GalNAc globoside</v>
          </cell>
        </row>
        <row r="10007">
          <cell r="A10007" t="str">
            <v>acgalfuc12gal14acglcgalgluside_cho_g</v>
          </cell>
          <cell r="B10007" t="str">
            <v>acgalfuc12gal14acglcgalgluside_cho</v>
          </cell>
          <cell r="C10007" t="str">
            <v>(Gal)2 (GalNAc)1 (Glc)1 (GlcNAc)1 (LFuc)1 (Cer)1</v>
          </cell>
        </row>
        <row r="10008">
          <cell r="A10008" t="str">
            <v>acgalfucgalacgalfuc12gal14acglcgalgluside_cho_e</v>
          </cell>
          <cell r="B10008" t="str">
            <v>acgalfucgalacgalfuc12gal14acglcgalgluside_cho</v>
          </cell>
          <cell r="C10008" t="str">
            <v>Type IIIA glycolipid</v>
          </cell>
        </row>
        <row r="10009">
          <cell r="A10009" t="str">
            <v>acgalfucgalacgalfucgalacglcgal14acglcgalgluside_cho_e</v>
          </cell>
          <cell r="B10009" t="str">
            <v>acgalfucgalacgalfucgalacglcgal14acglcgalgluside_cho</v>
          </cell>
          <cell r="C10009" t="str">
            <v>Type IIIAb</v>
          </cell>
        </row>
        <row r="10010">
          <cell r="A10010" t="str">
            <v>acgam_r</v>
          </cell>
          <cell r="B10010" t="str">
            <v>acgam</v>
          </cell>
          <cell r="C10010" t="str">
            <v>N-Acetyl-D-glucosamine</v>
          </cell>
        </row>
        <row r="10011">
          <cell r="A10011" t="str">
            <v>acgbgbside_cho_c</v>
          </cell>
          <cell r="B10011" t="str">
            <v>acgbgbside_cho</v>
          </cell>
          <cell r="C10011" t="str">
            <v>Beta GalNAc globoside</v>
          </cell>
        </row>
        <row r="10012">
          <cell r="A10012" t="str">
            <v>acn13acngalgbside_cho_e</v>
          </cell>
          <cell r="B10012" t="str">
            <v>acn13acngalgbside_cho</v>
          </cell>
          <cell r="C10012" t="str">
            <v>Sialyl (1,3) sialyl (2,6) galactosylgloboside</v>
          </cell>
        </row>
        <row r="10013">
          <cell r="A10013" t="str">
            <v>acn23acngalgbside_cho_g</v>
          </cell>
          <cell r="B10013" t="str">
            <v>acn23acngalgbside_cho</v>
          </cell>
          <cell r="C10013" t="str">
            <v>Sialyl (2,3) sialyl (2,6) galactosylgloboside</v>
          </cell>
        </row>
        <row r="10014">
          <cell r="A10014" t="str">
            <v>acnacngal14acglcgalgluside_cho_e</v>
          </cell>
          <cell r="B10014" t="str">
            <v>acnacngal14acglcgalgluside_cho</v>
          </cell>
          <cell r="C10014" t="str">
            <v>3',8'-LD1</v>
          </cell>
        </row>
        <row r="10015">
          <cell r="A10015" t="str">
            <v>acnacngalgbside_cho_e</v>
          </cell>
          <cell r="B10015" t="str">
            <v>acnacngalgbside_cho</v>
          </cell>
          <cell r="C10015" t="str">
            <v>Disialyl galactosylgloboside</v>
          </cell>
        </row>
        <row r="10016">
          <cell r="A10016" t="str">
            <v>acngal14acglcgalgluside_cho_g</v>
          </cell>
          <cell r="B10016" t="str">
            <v>acngal14acglcgalgluside_cho</v>
          </cell>
          <cell r="C10016" t="str">
            <v>Alpha-N-acetylneuraminosyl-(2-&gt;3)-beta-D-galactosyl-(1-&gt;4)-N-acetyl-beta-D-glucosaminyl-(1-&gt;3)-beta-D-galactosyl-(1-&gt;4)-beta-D-glucosylceramide(1-)</v>
          </cell>
        </row>
        <row r="10017">
          <cell r="A10017" t="str">
            <v>acngalacglcgal14acglcgalgluside_cho_g</v>
          </cell>
          <cell r="B10017" t="str">
            <v>acngalacglcgal14acglcgalgluside_cho</v>
          </cell>
          <cell r="C10017" t="str">
            <v>VI3NeuAc-nLc6Cer</v>
          </cell>
        </row>
        <row r="10018">
          <cell r="A10018" t="str">
            <v>acngalgbside_cho_g</v>
          </cell>
          <cell r="B10018" t="str">
            <v>acngalgbside_cho</v>
          </cell>
          <cell r="C10018" t="str">
            <v>Sialyl galactosylgloboside</v>
          </cell>
        </row>
        <row r="10019">
          <cell r="A10019" t="str">
            <v>adhap_cho_c</v>
          </cell>
          <cell r="B10019" t="str">
            <v>adhap_cho</v>
          </cell>
          <cell r="C10019" t="str">
            <v>Acyl-dihydroxyacetone phosphate</v>
          </cell>
        </row>
        <row r="10020">
          <cell r="A10020" t="str">
            <v>adhap_cho_x</v>
          </cell>
          <cell r="B10020" t="str">
            <v>adhap_cho</v>
          </cell>
          <cell r="C10020" t="str">
            <v>Acyl-dihydroxyacetone phosphate</v>
          </cell>
        </row>
        <row r="10021">
          <cell r="A10021" t="str">
            <v>adpac_c</v>
          </cell>
          <cell r="B10021" t="str">
            <v>adpac</v>
          </cell>
          <cell r="C10021" t="str">
            <v>Adipic acid; hexane-1,6-dioic acid</v>
          </cell>
        </row>
        <row r="10022">
          <cell r="A10022" t="str">
            <v>adpac_x</v>
          </cell>
          <cell r="B10022" t="str">
            <v>adpac</v>
          </cell>
          <cell r="C10022" t="str">
            <v>Adipic acid; hexane-1,6-dioic acid</v>
          </cell>
        </row>
        <row r="10023">
          <cell r="A10023" t="str">
            <v>adpcoa_c</v>
          </cell>
          <cell r="B10023" t="str">
            <v>adpcoa</v>
          </cell>
          <cell r="C10023" t="str">
            <v>Adipoyl-CoA; 5-Carboxypentanoyl-CoA</v>
          </cell>
        </row>
        <row r="10024">
          <cell r="A10024" t="str">
            <v>adpcoa_x</v>
          </cell>
          <cell r="B10024" t="str">
            <v>adpcoa</v>
          </cell>
          <cell r="C10024" t="str">
            <v>Adipoyl-CoA; 5-Carboxypentanoyl-CoA</v>
          </cell>
        </row>
        <row r="10025">
          <cell r="A10025" t="str">
            <v>ahdt_e</v>
          </cell>
          <cell r="B10025" t="str">
            <v>ahdt</v>
          </cell>
          <cell r="C10025" t="str">
            <v>2-Amino-4-hydroxy-6-(erythro-1,2,3-trihydroxypropyl)dihydropteridine triphosphate</v>
          </cell>
        </row>
        <row r="10026">
          <cell r="A10026" t="str">
            <v>ak2gchol_cho_c</v>
          </cell>
          <cell r="B10026" t="str">
            <v>ak2gchol_cho</v>
          </cell>
          <cell r="C10026" t="str">
            <v>1-alkyl 2-acylglycerol 3-phosphocholine</v>
          </cell>
        </row>
        <row r="10027">
          <cell r="A10027" t="str">
            <v>akgp_cho_c</v>
          </cell>
          <cell r="B10027" t="str">
            <v>akgp_cho</v>
          </cell>
          <cell r="C10027" t="str">
            <v>O-alkylglycerone phosphate(2-)</v>
          </cell>
        </row>
        <row r="10028">
          <cell r="A10028" t="str">
            <v>alpa_cho_c</v>
          </cell>
          <cell r="B10028" t="str">
            <v>alpa_cho</v>
          </cell>
          <cell r="C10028" t="str">
            <v>Lysophosphatidic acid</v>
          </cell>
        </row>
        <row r="10029">
          <cell r="A10029" t="str">
            <v>andrstndn_c</v>
          </cell>
          <cell r="B10029" t="str">
            <v>andrstndn</v>
          </cell>
          <cell r="C10029" t="str">
            <v>Androst-4-ene-3,17-dione</v>
          </cell>
        </row>
        <row r="10030">
          <cell r="A10030" t="str">
            <v>apppa_c</v>
          </cell>
          <cell r="B10030" t="str">
            <v>apppa</v>
          </cell>
          <cell r="C10030" t="str">
            <v>P1,P3-Bis(5'-adenosyl) triphosphate</v>
          </cell>
        </row>
        <row r="10031">
          <cell r="A10031" t="str">
            <v>arachd_l</v>
          </cell>
          <cell r="B10031" t="str">
            <v>arachd</v>
          </cell>
          <cell r="C10031" t="str">
            <v>Arachidonic acid</v>
          </cell>
        </row>
        <row r="10032">
          <cell r="A10032" t="str">
            <v>c101_3Ecoa_m</v>
          </cell>
          <cell r="B10032" t="str">
            <v>c101_3Ecoa</v>
          </cell>
          <cell r="C10032" t="str">
            <v>C10:1 fatty acyl-coa, derived from C18:1</v>
          </cell>
        </row>
        <row r="10033">
          <cell r="A10033" t="str">
            <v>c101_4Zcoa_x</v>
          </cell>
          <cell r="B10033" t="str">
            <v>c101_4Zcoa</v>
          </cell>
          <cell r="C10033" t="str">
            <v>C10:1 fatty acyl-coa</v>
          </cell>
        </row>
        <row r="10034">
          <cell r="A10034" t="str">
            <v>c110coa_m</v>
          </cell>
          <cell r="B10034" t="str">
            <v>c110coa</v>
          </cell>
          <cell r="C10034" t="str">
            <v>C11:0 fatty acyl-coa</v>
          </cell>
        </row>
        <row r="10035">
          <cell r="A10035" t="str">
            <v>c11_trimethylcoa_x</v>
          </cell>
          <cell r="B10035" t="str">
            <v>c11_trimethylcoa</v>
          </cell>
          <cell r="C10035" t="str">
            <v>C11 (trimethyl) fatty acyl-coa</v>
          </cell>
        </row>
        <row r="10036">
          <cell r="A10036" t="str">
            <v>c122_3E_6Ecoa_m</v>
          </cell>
          <cell r="B10036" t="str">
            <v>c122_3E_6Ecoa</v>
          </cell>
          <cell r="C10036" t="str">
            <v>C12:2 fatty acyl-coa, derived from C18:2</v>
          </cell>
        </row>
        <row r="10037">
          <cell r="A10037" t="str">
            <v>c122_3Z_6Zcoa_x</v>
          </cell>
          <cell r="B10037" t="str">
            <v>c122_3Z_6Zcoa</v>
          </cell>
          <cell r="C10037" t="str">
            <v>C12:2 fatty acyl-coa, derived from C18:3</v>
          </cell>
        </row>
        <row r="10038">
          <cell r="A10038" t="str">
            <v>c130coa_m</v>
          </cell>
          <cell r="B10038" t="str">
            <v>c130coa</v>
          </cell>
          <cell r="C10038" t="str">
            <v>C13:0 fatty acyl-coa</v>
          </cell>
        </row>
        <row r="10039">
          <cell r="A10039" t="str">
            <v>c13_trimethylcoa_x</v>
          </cell>
          <cell r="B10039" t="str">
            <v>c13_trimethylcoa</v>
          </cell>
          <cell r="C10039" t="str">
            <v>C13 (trimethyl) fatty acyl-coa</v>
          </cell>
        </row>
        <row r="10040">
          <cell r="A10040" t="str">
            <v>c141_5Ecoa_m</v>
          </cell>
          <cell r="B10040" t="str">
            <v>c141_5Ecoa</v>
          </cell>
          <cell r="C10040" t="str">
            <v>C14:1 fatty acyl-coa, derived from C18:1</v>
          </cell>
        </row>
        <row r="10041">
          <cell r="A10041" t="str">
            <v>c141_7Ecoa_m</v>
          </cell>
          <cell r="B10041" t="str">
            <v>c141_7Ecoa</v>
          </cell>
          <cell r="C10041" t="str">
            <v>C14:1 fatty acyl-coa, derived from C18:1</v>
          </cell>
        </row>
        <row r="10042">
          <cell r="A10042" t="str">
            <v>c162_7E_10Ecoa_m</v>
          </cell>
          <cell r="B10042" t="str">
            <v>c162_7E_10Ecoa</v>
          </cell>
          <cell r="C10042" t="str">
            <v>C16:2 fatty acyl-coa, derived from C18:2</v>
          </cell>
        </row>
        <row r="10043">
          <cell r="A10043" t="str">
            <v>c163_4Z_7Z_10Zcoa_m</v>
          </cell>
          <cell r="B10043" t="str">
            <v>c163_4Z_7Z_10Zcoa</v>
          </cell>
          <cell r="C10043" t="str">
            <v>C16:3 fatty acyl-coa, derived from C18:3</v>
          </cell>
        </row>
        <row r="10044">
          <cell r="A10044" t="str">
            <v>c163_7Z_10Z_13Zcoa_m</v>
          </cell>
          <cell r="B10044" t="str">
            <v>c163_7Z_10Z_13Zcoa</v>
          </cell>
          <cell r="C10044" t="str">
            <v>C16:3 fatty acyl-coa, derived from C18:3</v>
          </cell>
        </row>
        <row r="10045">
          <cell r="A10045" t="str">
            <v>c185_3Z_6Z_9Z_12Z_15Zcoa_m</v>
          </cell>
          <cell r="B10045" t="str">
            <v>c185_3Z_6Z_9Z_12Z_15Zcoa</v>
          </cell>
          <cell r="C10045" t="str">
            <v>C18:5 fatty acyl-coa, derived from C20:5</v>
          </cell>
        </row>
        <row r="10046">
          <cell r="A10046" t="str">
            <v>c221coa_x</v>
          </cell>
          <cell r="B10046" t="str">
            <v>c221coa</v>
          </cell>
          <cell r="C10046" t="str">
            <v>C22:1 fatty acyl-coa</v>
          </cell>
        </row>
        <row r="10047">
          <cell r="A10047" t="str">
            <v>c4crn_m</v>
          </cell>
          <cell r="B10047" t="str">
            <v>c4crn</v>
          </cell>
          <cell r="C10047" t="str">
            <v>Butyryl carnitine</v>
          </cell>
        </row>
        <row r="10048">
          <cell r="A10048" t="str">
            <v>c6dc_c</v>
          </cell>
          <cell r="B10048" t="str">
            <v>c6dc</v>
          </cell>
          <cell r="C10048" t="str">
            <v>Adipoyl carnitine; 5-Carboxypentanoyl carnitine</v>
          </cell>
        </row>
        <row r="10049">
          <cell r="A10049" t="str">
            <v>c6dc_x</v>
          </cell>
          <cell r="B10049" t="str">
            <v>c6dc</v>
          </cell>
          <cell r="C10049" t="str">
            <v>Adipoyl carnitine; 5-Carboxypentanoyl carnitine</v>
          </cell>
        </row>
        <row r="10050">
          <cell r="A10050" t="str">
            <v>c81_5Zcoa_m</v>
          </cell>
          <cell r="B10050" t="str">
            <v>c81_5Zcoa</v>
          </cell>
          <cell r="C10050" t="str">
            <v>C8:1 fatty acyl-coa, derived from C18:3</v>
          </cell>
        </row>
        <row r="10051">
          <cell r="A10051" t="str">
            <v>c8crn_c</v>
          </cell>
          <cell r="B10051" t="str">
            <v>c8crn</v>
          </cell>
          <cell r="C10051" t="str">
            <v>Octanoyl carnitine</v>
          </cell>
        </row>
        <row r="10052">
          <cell r="A10052" t="str">
            <v>c8crn_x</v>
          </cell>
          <cell r="B10052" t="str">
            <v>c8crn</v>
          </cell>
          <cell r="C10052" t="str">
            <v>Octanoyl carnitine</v>
          </cell>
        </row>
        <row r="10053">
          <cell r="A10053" t="str">
            <v>carn_e</v>
          </cell>
          <cell r="B10053" t="str">
            <v>carn</v>
          </cell>
          <cell r="C10053" t="str">
            <v>L-Carnosine</v>
          </cell>
        </row>
        <row r="10054">
          <cell r="A10054" t="str">
            <v>cbasp_e</v>
          </cell>
          <cell r="B10054" t="str">
            <v>cbasp</v>
          </cell>
          <cell r="C10054" t="str">
            <v>N-Carbamoyl-L-aspartate</v>
          </cell>
        </row>
        <row r="10055">
          <cell r="A10055" t="str">
            <v>cdpchol_r</v>
          </cell>
          <cell r="B10055" t="str">
            <v>cdpchol</v>
          </cell>
          <cell r="C10055" t="str">
            <v>CDPcholine C14H25N4O11P2</v>
          </cell>
        </row>
        <row r="10056">
          <cell r="A10056" t="str">
            <v>chito2pdol_c</v>
          </cell>
          <cell r="B10056" t="str">
            <v>chito2pdol</v>
          </cell>
          <cell r="C10056" t="str">
            <v>N,N'-Diacetylchitobiosyldiphosphodolichol</v>
          </cell>
        </row>
        <row r="10057">
          <cell r="A10057" t="str">
            <v>cholate_r</v>
          </cell>
          <cell r="B10057" t="str">
            <v>cholate</v>
          </cell>
          <cell r="C10057" t="str">
            <v>Cholate c</v>
          </cell>
        </row>
        <row r="10058">
          <cell r="A10058" t="str">
            <v>cholate_x</v>
          </cell>
          <cell r="B10058" t="str">
            <v>cholate</v>
          </cell>
          <cell r="C10058" t="str">
            <v>Cholate c</v>
          </cell>
        </row>
        <row r="10059">
          <cell r="A10059" t="str">
            <v>cl_x</v>
          </cell>
          <cell r="B10059" t="str">
            <v>cl</v>
          </cell>
          <cell r="C10059" t="str">
            <v>Chloride</v>
          </cell>
        </row>
        <row r="10060">
          <cell r="A10060" t="str">
            <v>crm_cho_c</v>
          </cell>
          <cell r="B10060" t="str">
            <v>crm_cho</v>
          </cell>
          <cell r="C10060" t="str">
            <v>N-acylsphingosine</v>
          </cell>
        </row>
        <row r="10061">
          <cell r="A10061" t="str">
            <v>crm_cho_r</v>
          </cell>
          <cell r="B10061" t="str">
            <v>crm_cho</v>
          </cell>
          <cell r="C10061" t="str">
            <v>N-acylsphingosine</v>
          </cell>
        </row>
        <row r="10062">
          <cell r="A10062" t="str">
            <v>crmp_cho_e</v>
          </cell>
          <cell r="B10062" t="str">
            <v>crmp_cho</v>
          </cell>
          <cell r="C10062" t="str">
            <v>Ceramide 1-phosphate(2-)</v>
          </cell>
        </row>
        <row r="10063">
          <cell r="A10063" t="str">
            <v>cysam_e</v>
          </cell>
          <cell r="B10063" t="str">
            <v>cysam</v>
          </cell>
          <cell r="C10063" t="str">
            <v>Cysteamine C2H8NS</v>
          </cell>
        </row>
        <row r="10064">
          <cell r="A10064" t="str">
            <v>dchac_c</v>
          </cell>
          <cell r="B10064" t="str">
            <v>dchac</v>
          </cell>
          <cell r="C10064" t="str">
            <v>Deoxycholate</v>
          </cell>
        </row>
        <row r="10065">
          <cell r="A10065" t="str">
            <v>dchac_r</v>
          </cell>
          <cell r="B10065" t="str">
            <v>dchac</v>
          </cell>
          <cell r="C10065" t="str">
            <v>Deoxycholate</v>
          </cell>
        </row>
        <row r="10066">
          <cell r="A10066" t="str">
            <v>dgtp_e</v>
          </cell>
          <cell r="B10066" t="str">
            <v>dgtp</v>
          </cell>
          <cell r="C10066" t="str">
            <v>DGTP C10H12N5O13P3</v>
          </cell>
        </row>
        <row r="10067">
          <cell r="A10067" t="str">
            <v>dhea_m</v>
          </cell>
          <cell r="B10067" t="str">
            <v>dhea</v>
          </cell>
          <cell r="C10067" t="str">
            <v>Dehydroepiandrosterone</v>
          </cell>
        </row>
        <row r="10068">
          <cell r="A10068" t="str">
            <v>digalsgalside_cho_e</v>
          </cell>
          <cell r="B10068" t="str">
            <v>digalsgalside_cho</v>
          </cell>
          <cell r="C10068" t="str">
            <v>Digalactosylceramidesulfate</v>
          </cell>
        </row>
        <row r="10069">
          <cell r="A10069" t="str">
            <v>digalside_cho_c</v>
          </cell>
          <cell r="B10069" t="str">
            <v>digalside_cho</v>
          </cell>
          <cell r="C10069" t="str">
            <v>Digalactosylceramide</v>
          </cell>
        </row>
        <row r="10070">
          <cell r="A10070" t="str">
            <v>dmarg_c</v>
          </cell>
          <cell r="B10070" t="str">
            <v>dmarg</v>
          </cell>
          <cell r="C10070" t="str">
            <v>Dimethylarginine</v>
          </cell>
        </row>
        <row r="10071">
          <cell r="A10071" t="str">
            <v>docoscoa_m</v>
          </cell>
          <cell r="B10071" t="str">
            <v>docoscoa</v>
          </cell>
          <cell r="C10071" t="str">
            <v>Docosanoyl Coenzyme A</v>
          </cell>
        </row>
        <row r="10072">
          <cell r="A10072" t="str">
            <v>dolichol_r</v>
          </cell>
          <cell r="B10072" t="str">
            <v>dolichol</v>
          </cell>
          <cell r="C10072" t="str">
            <v>Dolichol C15H28O</v>
          </cell>
        </row>
        <row r="10073">
          <cell r="A10073" t="str">
            <v>dopa_l</v>
          </cell>
          <cell r="B10073" t="str">
            <v>dopa</v>
          </cell>
          <cell r="C10073" t="str">
            <v>Dopamine</v>
          </cell>
        </row>
        <row r="10074">
          <cell r="A10074" t="str">
            <v>epo_g</v>
          </cell>
          <cell r="B10074" t="str">
            <v>epo</v>
          </cell>
          <cell r="C10074" t="str">
            <v>Epo[g]</v>
          </cell>
        </row>
        <row r="10075">
          <cell r="A10075" t="str">
            <v>estrone_l</v>
          </cell>
          <cell r="B10075" t="str">
            <v>estrone</v>
          </cell>
          <cell r="C10075" t="str">
            <v>Estrone cytosol</v>
          </cell>
        </row>
        <row r="10076">
          <cell r="A10076" t="str">
            <v>fad_e</v>
          </cell>
          <cell r="B10076" t="str">
            <v>fad</v>
          </cell>
          <cell r="C10076" t="str">
            <v>Flavin adenine dinucleotide oxidized</v>
          </cell>
        </row>
        <row r="10077">
          <cell r="A10077" t="str">
            <v>fn4m2masn_g</v>
          </cell>
          <cell r="B10077" t="str">
            <v>fn4m2masn</v>
          </cell>
          <cell r="C10077" t="str">
            <v>Fn4m2masn[g]</v>
          </cell>
        </row>
        <row r="10078">
          <cell r="A10078" t="str">
            <v>fol_m</v>
          </cell>
          <cell r="B10078" t="str">
            <v>fol</v>
          </cell>
          <cell r="C10078" t="str">
            <v>Folate</v>
          </cell>
        </row>
        <row r="10079">
          <cell r="A10079" t="str">
            <v>fuc13galacglcgal14acglcgalgluside_cho_c</v>
          </cell>
          <cell r="B10079" t="str">
            <v>fuc13galacglcgal14acglcgalgluside_cho</v>
          </cell>
          <cell r="C10079" t="str">
            <v>III3Fuc-nLc6Cer</v>
          </cell>
        </row>
        <row r="10080">
          <cell r="A10080" t="str">
            <v>fuc14galacglcgalgluside_cho_c</v>
          </cell>
          <cell r="B10080" t="str">
            <v>fuc14galacglcgalgluside_cho</v>
          </cell>
          <cell r="C10080" t="str">
            <v>Lea glycolipid</v>
          </cell>
        </row>
        <row r="10081">
          <cell r="A10081" t="str">
            <v>fucacgalfucgalacglcgalgluside_cho_c</v>
          </cell>
          <cell r="B10081" t="str">
            <v>fucacgalfucgalacglcgalgluside_cho</v>
          </cell>
          <cell r="C10081" t="str">
            <v>(Gal)2 (GalNAc)1 (Glc)1 (GlcNAc)1 (LFuc)2 (Cer)1</v>
          </cell>
        </row>
        <row r="10082">
          <cell r="A10082" t="str">
            <v>fucacngal14acglcgalgluside_cho_e</v>
          </cell>
          <cell r="B10082" t="str">
            <v>fucacngal14acglcgalgluside_cho</v>
          </cell>
          <cell r="C10082" t="str">
            <v>IV3-a-NeuAc,III3-a-Fuc-nLc4Cer</v>
          </cell>
        </row>
        <row r="10083">
          <cell r="A10083" t="str">
            <v>fucacngalacglcgalgluside_cho_c</v>
          </cell>
          <cell r="B10083" t="str">
            <v>fucacngalacglcgalgluside_cho</v>
          </cell>
          <cell r="C10083" t="str">
            <v>IV3-a-Neu5Ac,III4-a-Fuc-Lc4Cer</v>
          </cell>
        </row>
        <row r="10084">
          <cell r="A10084" t="str">
            <v>fucfuc12gal14acglcgalgluside_cho_e</v>
          </cell>
          <cell r="B10084" t="str">
            <v>fucfuc12gal14acglcgalgluside_cho</v>
          </cell>
          <cell r="C10084" t="str">
            <v>Ley glycolipid</v>
          </cell>
        </row>
        <row r="10085">
          <cell r="A10085" t="str">
            <v>fucfuc132galacglcgal14acglcgalgluside_cho_g</v>
          </cell>
          <cell r="B10085" t="str">
            <v>fucfuc132galacglcgal14acglcgalgluside_cho</v>
          </cell>
          <cell r="C10085" t="str">
            <v>V3Fuc,III3Fuc-nLc6Cer</v>
          </cell>
        </row>
        <row r="10086">
          <cell r="A10086" t="str">
            <v>fucfucfucgalacglc13galacglcgal14acglcgalgluside_cho_c</v>
          </cell>
          <cell r="B10086" t="str">
            <v>fucfucfucgalacglc13galacglcgal14acglcgalgluside_cho</v>
          </cell>
          <cell r="C10086" t="str">
            <v>(Gal)4 (Glc)1 (GlcNAc)3 (LFuc)3 (Cer)1</v>
          </cell>
        </row>
        <row r="10087">
          <cell r="A10087" t="str">
            <v>fucfucgalacglcgalgluside_cho_e</v>
          </cell>
          <cell r="B10087" t="str">
            <v>fucfucgalacglcgalgluside_cho</v>
          </cell>
          <cell r="C10087" t="str">
            <v>Leb glycolipid</v>
          </cell>
        </row>
        <row r="10088">
          <cell r="A10088" t="str">
            <v>fucgal14acglcgalgluside_cho_c</v>
          </cell>
          <cell r="B10088" t="str">
            <v>fucgal14acglcgalgluside_cho</v>
          </cell>
          <cell r="C10088" t="str">
            <v>Lacto-N-fucopentaosyl III ceramide</v>
          </cell>
        </row>
        <row r="10089">
          <cell r="A10089" t="str">
            <v>fucgalfucgalacglcgalgluside_cho_e</v>
          </cell>
          <cell r="B10089" t="str">
            <v>fucgalfucgalacglcgalgluside_cho</v>
          </cell>
          <cell r="C10089" t="str">
            <v>(Gal)3 (Glc)1 (GlcNAc)1 (LFuc)2 (Cer)1</v>
          </cell>
        </row>
        <row r="10090">
          <cell r="A10090" t="str">
            <v>fucgalgbside_cho_e</v>
          </cell>
          <cell r="B10090" t="str">
            <v>fucgalgbside_cho</v>
          </cell>
          <cell r="C10090" t="str">
            <v>Fucosyl galactosylgloboside</v>
          </cell>
        </row>
        <row r="10091">
          <cell r="A10091" t="str">
            <v>fumpyr_c</v>
          </cell>
          <cell r="B10091" t="str">
            <v>fumpyr</v>
          </cell>
          <cell r="C10091" t="str">
            <v>3-Fumarylpyruvate</v>
          </cell>
        </row>
        <row r="10092">
          <cell r="A10092" t="str">
            <v>g3m8mpdol_r</v>
          </cell>
          <cell r="B10092" t="str">
            <v>g3m8mpdol</v>
          </cell>
          <cell r="C10092" t="str">
            <v>(alpha-D-Glucosyl)3-(alpha-D-mannosyl)8-beta-D-mannosyl-diacetylchitobiosyldiphosphodolichol</v>
          </cell>
        </row>
        <row r="10093">
          <cell r="A10093" t="str">
            <v>galacglcgalgbside_cho_g</v>
          </cell>
          <cell r="B10093" t="str">
            <v>galacglcgalgbside_cho</v>
          </cell>
          <cell r="C10093" t="str">
            <v>Gal-GlcNAc-Gal globoside</v>
          </cell>
        </row>
        <row r="10094">
          <cell r="A10094" t="str">
            <v>galacglcgalgluside_cho_g</v>
          </cell>
          <cell r="B10094" t="str">
            <v>galacglcgalgluside_cho</v>
          </cell>
          <cell r="C10094" t="str">
            <v>Lc4Cer</v>
          </cell>
        </row>
        <row r="10095">
          <cell r="A10095" t="str">
            <v>galfuc12gal14acglcgalgluside_cho_e</v>
          </cell>
          <cell r="B10095" t="str">
            <v>galfuc12gal14acglcgalgluside_cho</v>
          </cell>
          <cell r="C10095" t="str">
            <v>(Gal)3 (Glc)1 (GlcNAc)1 (LFuc)1 (Cer)1</v>
          </cell>
        </row>
        <row r="10096">
          <cell r="A10096" t="str">
            <v>galgalfucfucgalacglcgalacglcgal14acglcgalgluside_cho_e</v>
          </cell>
          <cell r="B10096" t="str">
            <v>galgalfucfucgalacglcgalacglcgal14acglcgalgluside_cho</v>
          </cell>
          <cell r="C10096" t="str">
            <v>(Gal)6 (Glc)1 (GlcNAc)3 (LFuc)2 (Cer)1</v>
          </cell>
        </row>
        <row r="10097">
          <cell r="A10097" t="str">
            <v>galgalgalthcrm_cho_g</v>
          </cell>
          <cell r="B10097" t="str">
            <v>galgalgalthcrm_cho</v>
          </cell>
          <cell r="C10097" t="str">
            <v>Gal-Gal-Gal-Gal-Gal-Glc-Cer</v>
          </cell>
        </row>
        <row r="10098">
          <cell r="A10098" t="str">
            <v>galgluside_cho_g</v>
          </cell>
          <cell r="B10098" t="str">
            <v>galgluside_cho</v>
          </cell>
          <cell r="C10098" t="str">
            <v>Galactosyl glucosyl ceramide</v>
          </cell>
        </row>
        <row r="10099">
          <cell r="A10099" t="str">
            <v>galside_cho_g</v>
          </cell>
          <cell r="B10099" t="str">
            <v>galside_cho</v>
          </cell>
          <cell r="C10099" t="str">
            <v>D-galactosyl-N-acylsphingosine</v>
          </cell>
        </row>
        <row r="10100">
          <cell r="A10100" t="str">
            <v>galside_cho_n</v>
          </cell>
          <cell r="B10100" t="str">
            <v>galside_cho</v>
          </cell>
          <cell r="C10100" t="str">
            <v>D-galactosyl-N-acylsphingosine</v>
          </cell>
        </row>
        <row r="10101">
          <cell r="A10101" t="str">
            <v>gbside_cho_c</v>
          </cell>
          <cell r="B10101" t="str">
            <v>gbside_cho</v>
          </cell>
          <cell r="C10101" t="str">
            <v>Globoside</v>
          </cell>
        </row>
        <row r="10102">
          <cell r="A10102" t="str">
            <v>gd1b2_cho_e</v>
          </cell>
          <cell r="B10102" t="str">
            <v>gd1b2_cho</v>
          </cell>
          <cell r="C10102" t="str">
            <v>GD1beta</v>
          </cell>
        </row>
        <row r="10103">
          <cell r="A10103" t="str">
            <v>gd1b_cho_g</v>
          </cell>
          <cell r="B10103" t="str">
            <v>gd1b_cho</v>
          </cell>
          <cell r="C10103" t="str">
            <v>GD1b</v>
          </cell>
        </row>
        <row r="10104">
          <cell r="A10104" t="str">
            <v>gd2_cho_g</v>
          </cell>
          <cell r="B10104" t="str">
            <v>gd2_cho</v>
          </cell>
          <cell r="C10104" t="str">
            <v>GD2</v>
          </cell>
        </row>
        <row r="10105">
          <cell r="A10105" t="str">
            <v>gluside_cho_l</v>
          </cell>
          <cell r="B10105" t="str">
            <v>gluside_cho</v>
          </cell>
          <cell r="C10105" t="str">
            <v>D-glucosyl-N-acylsphingosine</v>
          </cell>
        </row>
        <row r="10106">
          <cell r="A10106" t="str">
            <v>glyleu_c</v>
          </cell>
          <cell r="B10106" t="str">
            <v>glyleu</v>
          </cell>
          <cell r="C10106" t="str">
            <v>Glycylleucine</v>
          </cell>
        </row>
        <row r="10107">
          <cell r="A10107" t="str">
            <v>glyphe_e</v>
          </cell>
          <cell r="B10107" t="str">
            <v>glyphe</v>
          </cell>
          <cell r="C10107" t="str">
            <v>Glycylphenylalanine</v>
          </cell>
        </row>
        <row r="10108">
          <cell r="A10108" t="str">
            <v>glypro_e</v>
          </cell>
          <cell r="B10108" t="str">
            <v>glypro</v>
          </cell>
          <cell r="C10108" t="str">
            <v>Glycylproline</v>
          </cell>
        </row>
        <row r="10109">
          <cell r="A10109" t="str">
            <v>glysar_c</v>
          </cell>
          <cell r="B10109" t="str">
            <v>glysar</v>
          </cell>
          <cell r="C10109" t="str">
            <v>Glycylsarcosine</v>
          </cell>
        </row>
        <row r="10110">
          <cell r="A10110" t="str">
            <v>gm1_cho_g</v>
          </cell>
          <cell r="B10110" t="str">
            <v>gm1_cho</v>
          </cell>
          <cell r="C10110" t="str">
            <v>Ganglioside GM1</v>
          </cell>
        </row>
        <row r="10111">
          <cell r="A10111" t="str">
            <v>gp1c_cho_c</v>
          </cell>
          <cell r="B10111" t="str">
            <v>gp1c_cho</v>
          </cell>
          <cell r="C10111" t="str">
            <v>GP1c</v>
          </cell>
        </row>
        <row r="10112">
          <cell r="A10112" t="str">
            <v>gp1calpha_cho_g</v>
          </cell>
          <cell r="B10112" t="str">
            <v>gp1calpha_cho</v>
          </cell>
          <cell r="C10112" t="str">
            <v>GP1c alpha</v>
          </cell>
        </row>
        <row r="10113">
          <cell r="A10113" t="str">
            <v>gq1b_cho_c</v>
          </cell>
          <cell r="B10113" t="str">
            <v>gq1b_cho</v>
          </cell>
          <cell r="C10113" t="str">
            <v>GQ1b</v>
          </cell>
        </row>
        <row r="10114">
          <cell r="A10114" t="str">
            <v>gq1balpha_cho_e</v>
          </cell>
          <cell r="B10114" t="str">
            <v>gq1balpha_cho</v>
          </cell>
          <cell r="C10114" t="str">
            <v>GQ1balpha</v>
          </cell>
        </row>
        <row r="10115">
          <cell r="A10115" t="str">
            <v>gq1c_cho_g</v>
          </cell>
          <cell r="B10115" t="str">
            <v>gq1c_cho</v>
          </cell>
          <cell r="C10115" t="str">
            <v>GQ1c</v>
          </cell>
        </row>
        <row r="10116">
          <cell r="A10116" t="str">
            <v>gt1b_cho_g</v>
          </cell>
          <cell r="B10116" t="str">
            <v>gt1b_cho</v>
          </cell>
          <cell r="C10116" t="str">
            <v>GT1b</v>
          </cell>
        </row>
        <row r="10117">
          <cell r="A10117" t="str">
            <v>gumgchol_e</v>
          </cell>
          <cell r="B10117" t="str">
            <v>gumgchol</v>
          </cell>
          <cell r="C10117" t="str">
            <v>Guar gum-glycocholate complex</v>
          </cell>
        </row>
        <row r="10118">
          <cell r="A10118" t="str">
            <v>hdcea_r</v>
          </cell>
          <cell r="B10118" t="str">
            <v>hdcea</v>
          </cell>
          <cell r="C10118" t="str">
            <v>Hexadecenoate (n-C16:1)</v>
          </cell>
        </row>
        <row r="10119">
          <cell r="A10119" t="str">
            <v>homoval_m</v>
          </cell>
          <cell r="B10119" t="str">
            <v>homoval</v>
          </cell>
          <cell r="C10119" t="str">
            <v>Homovanillate</v>
          </cell>
        </row>
        <row r="10120">
          <cell r="A10120" t="str">
            <v>houdic_c</v>
          </cell>
          <cell r="B10120" t="str">
            <v>houdic</v>
          </cell>
          <cell r="C10120" t="str">
            <v>5-Hydroxy-2-oxo-4-ureido-2,5-dihydro-1H-imidazole-5-carboxylate</v>
          </cell>
        </row>
        <row r="10121">
          <cell r="A10121" t="str">
            <v>idour_e</v>
          </cell>
          <cell r="B10121" t="str">
            <v>idour</v>
          </cell>
          <cell r="C10121" t="str">
            <v>L-Iduronate</v>
          </cell>
        </row>
        <row r="10122">
          <cell r="A10122" t="str">
            <v>igg_lc_r</v>
          </cell>
          <cell r="B10122" t="str">
            <v>igg_lc</v>
          </cell>
          <cell r="C10122" t="str">
            <v>Igg lc[r]</v>
          </cell>
        </row>
        <row r="10123">
          <cell r="A10123" t="str">
            <v>inost_g</v>
          </cell>
          <cell r="B10123" t="str">
            <v>inost</v>
          </cell>
          <cell r="C10123" t="str">
            <v>Myo-Inositol</v>
          </cell>
        </row>
        <row r="10124">
          <cell r="A10124" t="str">
            <v>l2n2bdl4n4m2masn_g</v>
          </cell>
          <cell r="B10124" t="str">
            <v>l2n2bdl4n4m2masn</v>
          </cell>
          <cell r="C10124" t="str">
            <v>L2n2bdl4n4m2masn[g]</v>
          </cell>
        </row>
        <row r="10125">
          <cell r="A10125" t="str">
            <v>l2n2cdl4fn4m2masn_g</v>
          </cell>
          <cell r="B10125" t="str">
            <v>l2n2cdl4fn4m2masn</v>
          </cell>
          <cell r="C10125" t="str">
            <v>L2n2cdl4fn4m2masn[g]</v>
          </cell>
        </row>
        <row r="10126">
          <cell r="A10126" t="str">
            <v>l3fn3rm2masn_g</v>
          </cell>
          <cell r="B10126" t="str">
            <v>l3fn3rm2masn</v>
          </cell>
          <cell r="C10126" t="str">
            <v>L3fn3rm2masn[g]</v>
          </cell>
        </row>
        <row r="10127">
          <cell r="A10127" t="str">
            <v>leuktrB4wcooh_m</v>
          </cell>
          <cell r="B10127" t="str">
            <v>leuktrB4wcooh</v>
          </cell>
          <cell r="C10127" t="str">
            <v>W-carboxy leukotriene B4</v>
          </cell>
        </row>
        <row r="10128">
          <cell r="A10128" t="str">
            <v>leuleu_e</v>
          </cell>
          <cell r="B10128" t="str">
            <v>leuleu</v>
          </cell>
          <cell r="C10128" t="str">
            <v>Leucylleucine</v>
          </cell>
        </row>
        <row r="10129">
          <cell r="A10129" t="str">
            <v>lnl3n3m2masn_g</v>
          </cell>
          <cell r="B10129" t="str">
            <v>lnl3n3m2masn</v>
          </cell>
          <cell r="C10129" t="str">
            <v>Lnl3n3m2masn[g]</v>
          </cell>
        </row>
        <row r="10130">
          <cell r="A10130" t="str">
            <v>lnlncg_l</v>
          </cell>
          <cell r="B10130" t="str">
            <v>lnlncg</v>
          </cell>
          <cell r="C10130" t="str">
            <v>Gamma-linolenic acid</v>
          </cell>
        </row>
        <row r="10131">
          <cell r="A10131" t="str">
            <v>m1mpdol_c</v>
          </cell>
          <cell r="B10131" t="str">
            <v>m1mpdol</v>
          </cell>
          <cell r="C10131" t="str">
            <v>Alpha-D-mannosyl-beta-D-mannosyl-diacylchitobiosyldiphosphodolichol</v>
          </cell>
        </row>
        <row r="10132">
          <cell r="A10132" t="str">
            <v>m3emgacpail_cho_r</v>
          </cell>
          <cell r="B10132" t="str">
            <v>m3emgacpail_cho</v>
          </cell>
          <cell r="C10132" t="str">
            <v>(trimannosyl),(phosphoethanolaminyl)-mannosyl-glucosaminyl-acylphosphatidylinositol (M4C)</v>
          </cell>
        </row>
        <row r="10133">
          <cell r="A10133" t="str">
            <v>m5mpdol_r</v>
          </cell>
          <cell r="B10133" t="str">
            <v>m5mpdol</v>
          </cell>
          <cell r="C10133" t="str">
            <v>(alpha-D-Mannosyl)5-beta-D-mannosyl-diacetylchitobiosyldiphosphodolichol</v>
          </cell>
        </row>
        <row r="10134">
          <cell r="A10134" t="str">
            <v>m_em_3gacpail_r</v>
          </cell>
          <cell r="B10134" t="str">
            <v>m_em_3gacpail</v>
          </cell>
          <cell r="C10134" t="str">
            <v>Mannosyl-3-(phosphoethanolaminyl-mannosyl)-glucosaminyl-acylphosphatidylinositol (M4A)</v>
          </cell>
        </row>
        <row r="10135">
          <cell r="A10135" t="str">
            <v>malcoa_n</v>
          </cell>
          <cell r="B10135" t="str">
            <v>malcoa</v>
          </cell>
          <cell r="C10135" t="str">
            <v>Malonyl CoA C24H33N7O19P3S</v>
          </cell>
        </row>
        <row r="10136">
          <cell r="A10136" t="str">
            <v>mpdol_c</v>
          </cell>
          <cell r="B10136" t="str">
            <v>mpdol</v>
          </cell>
          <cell r="C10136" t="str">
            <v>Beta-D-Mannosyldiacetylchitobiosyldiphosphodolichol</v>
          </cell>
        </row>
        <row r="10137">
          <cell r="A10137" t="str">
            <v>nadph_l</v>
          </cell>
          <cell r="B10137" t="str">
            <v>nadph</v>
          </cell>
          <cell r="C10137" t="str">
            <v>Nicotinamide adenine dinucleotide phosphate - reduced</v>
          </cell>
        </row>
        <row r="10138">
          <cell r="A10138" t="str">
            <v>ncam_n</v>
          </cell>
          <cell r="B10138" t="str">
            <v>ncam</v>
          </cell>
          <cell r="C10138" t="str">
            <v>Nicotinamide</v>
          </cell>
        </row>
        <row r="10139">
          <cell r="A10139" t="str">
            <v>ncl4n4m2masn_g</v>
          </cell>
          <cell r="B10139" t="str">
            <v>ncl4n4m2masn</v>
          </cell>
          <cell r="C10139" t="str">
            <v>Ncl4n4m2masn[g]</v>
          </cell>
        </row>
        <row r="10140">
          <cell r="A10140" t="str">
            <v>npthld_c</v>
          </cell>
          <cell r="B10140" t="str">
            <v>npthld</v>
          </cell>
          <cell r="C10140" t="str">
            <v>Naphthalene-1,2-diol</v>
          </cell>
        </row>
        <row r="10141">
          <cell r="A10141" t="str">
            <v>o2_g</v>
          </cell>
          <cell r="B10141" t="str">
            <v>o2</v>
          </cell>
          <cell r="C10141" t="str">
            <v>O2 O2</v>
          </cell>
        </row>
        <row r="10142">
          <cell r="A10142" t="str">
            <v>ocdececrn_m</v>
          </cell>
          <cell r="B10142" t="str">
            <v>ocdececrn</v>
          </cell>
          <cell r="C10142" t="str">
            <v>11-octadecenoyl carnitine</v>
          </cell>
        </row>
        <row r="10143">
          <cell r="A10143" t="str">
            <v>od2coa_n</v>
          </cell>
          <cell r="B10143" t="str">
            <v>od2coa</v>
          </cell>
          <cell r="C10143" t="str">
            <v>Trans-Octadec-2-enoyl-CoA</v>
          </cell>
        </row>
        <row r="10144">
          <cell r="A10144" t="str">
            <v>pa_cho_m</v>
          </cell>
          <cell r="B10144" t="str">
            <v>pa_cho</v>
          </cell>
          <cell r="C10144" t="str">
            <v>Phosphatidate(2-)</v>
          </cell>
        </row>
        <row r="10145">
          <cell r="A10145" t="str">
            <v>pac_m</v>
          </cell>
          <cell r="B10145" t="str">
            <v>pac</v>
          </cell>
          <cell r="C10145" t="str">
            <v>Phenylacetic acid</v>
          </cell>
        </row>
        <row r="10146">
          <cell r="A10146" t="str">
            <v>paf_cho_e</v>
          </cell>
          <cell r="B10146" t="str">
            <v>paf_cho</v>
          </cell>
          <cell r="C10146" t="str">
            <v>1-alkyl 2-acteylglycerol 3-phosphocholine</v>
          </cell>
        </row>
        <row r="10147">
          <cell r="A10147" t="str">
            <v>pail345p_cho_c</v>
          </cell>
          <cell r="B10147" t="str">
            <v>pail345p_cho</v>
          </cell>
          <cell r="C10147" t="str">
            <v>1-phosphatidyl-1D-myo-inositol 3,4,5-trisphosphate(7-)</v>
          </cell>
        </row>
        <row r="10148">
          <cell r="A10148" t="str">
            <v>pail345p_cho_r</v>
          </cell>
          <cell r="B10148" t="str">
            <v>pail345p_cho</v>
          </cell>
          <cell r="C10148" t="str">
            <v>1-phosphatidyl-1D-myo-inositol 3,4,5-trisphosphate(7-)</v>
          </cell>
        </row>
        <row r="10149">
          <cell r="A10149" t="str">
            <v>pail5p_cho_m</v>
          </cell>
          <cell r="B10149" t="str">
            <v>pail5p_cho</v>
          </cell>
          <cell r="C10149" t="str">
            <v>1-phosphatidyl-1D-myo-inositol 5-phosphate(3-)</v>
          </cell>
        </row>
        <row r="10150">
          <cell r="A10150" t="str">
            <v>pail_cho_c</v>
          </cell>
          <cell r="B10150" t="str">
            <v>pail_cho</v>
          </cell>
          <cell r="C10150" t="str">
            <v>1-phosphatidyl-1D-myo-inositol(1-)</v>
          </cell>
        </row>
        <row r="10151">
          <cell r="A10151" t="str">
            <v>pail_cho_r</v>
          </cell>
          <cell r="B10151" t="str">
            <v>pail_cho</v>
          </cell>
          <cell r="C10151" t="str">
            <v>1-phosphatidyl-1D-myo-inositol(1-)</v>
          </cell>
        </row>
        <row r="10152">
          <cell r="A10152" t="str">
            <v>pchol_cho_c</v>
          </cell>
          <cell r="B10152" t="str">
            <v>pchol_cho</v>
          </cell>
          <cell r="C10152" t="str">
            <v>Phosphatidylcholine</v>
          </cell>
        </row>
        <row r="10153">
          <cell r="A10153" t="str">
            <v>pchol_cho_r</v>
          </cell>
          <cell r="B10153" t="str">
            <v>pchol_cho</v>
          </cell>
          <cell r="C10153" t="str">
            <v>Phosphatidylcholine</v>
          </cell>
        </row>
        <row r="10154">
          <cell r="A10154" t="str">
            <v>pe_cho_g</v>
          </cell>
          <cell r="B10154" t="str">
            <v>pe_cho</v>
          </cell>
          <cell r="C10154" t="str">
            <v>Phosphatidylethanolamine</v>
          </cell>
        </row>
        <row r="10155">
          <cell r="A10155" t="str">
            <v>pectintchol_e</v>
          </cell>
          <cell r="B10155" t="str">
            <v>pectintchol</v>
          </cell>
          <cell r="C10155" t="str">
            <v>Pectin-taurocholic acid complex</v>
          </cell>
        </row>
        <row r="10156">
          <cell r="A10156" t="str">
            <v>pheacgly_m</v>
          </cell>
          <cell r="B10156" t="str">
            <v>pheacgly</v>
          </cell>
          <cell r="C10156" t="str">
            <v>Phenylacetylglycine</v>
          </cell>
        </row>
        <row r="10157">
          <cell r="A10157" t="str">
            <v>pmtcoa_r</v>
          </cell>
          <cell r="B10157" t="str">
            <v>pmtcoa</v>
          </cell>
          <cell r="C10157" t="str">
            <v>Palmitoyl-CoA (n-C16:0CoA)</v>
          </cell>
        </row>
        <row r="10158">
          <cell r="A10158" t="str">
            <v>prpp_e</v>
          </cell>
          <cell r="B10158" t="str">
            <v>prpp</v>
          </cell>
          <cell r="C10158" t="str">
            <v>5-Phospho-alpha-D-ribose 1-diphosphate</v>
          </cell>
        </row>
        <row r="10159">
          <cell r="A10159" t="str">
            <v>ps_cho_g</v>
          </cell>
          <cell r="B10159" t="str">
            <v>ps_cho</v>
          </cell>
          <cell r="C10159" t="str">
            <v>Phosphatidylserine</v>
          </cell>
        </row>
        <row r="10160">
          <cell r="A10160" t="str">
            <v>psylchol_e</v>
          </cell>
          <cell r="B10160" t="str">
            <v>psylchol</v>
          </cell>
          <cell r="C10160" t="str">
            <v>Psillium-glycocholic acid complex</v>
          </cell>
        </row>
        <row r="10161">
          <cell r="A10161" t="str">
            <v>ptrc_x</v>
          </cell>
          <cell r="B10161" t="str">
            <v>ptrc</v>
          </cell>
          <cell r="C10161" t="str">
            <v>Putrescine</v>
          </cell>
        </row>
        <row r="10162">
          <cell r="A10162" t="str">
            <v>ptth_m</v>
          </cell>
          <cell r="B10162" t="str">
            <v>ptth</v>
          </cell>
          <cell r="C10162" t="str">
            <v>Pantetheine</v>
          </cell>
        </row>
        <row r="10163">
          <cell r="A10163" t="str">
            <v>pydx5p_e</v>
          </cell>
          <cell r="B10163" t="str">
            <v>pydx5p</v>
          </cell>
          <cell r="C10163" t="str">
            <v>Pyridoxal 5'-phosphate</v>
          </cell>
        </row>
        <row r="10164">
          <cell r="A10164" t="str">
            <v>s4l2n2bdl4fn4m2masn_g</v>
          </cell>
          <cell r="B10164" t="str">
            <v>s4l2n2bdl4fn4m2masn</v>
          </cell>
          <cell r="C10164" t="str">
            <v>S4l2n2bdl4fn4m2masn[g]</v>
          </cell>
        </row>
        <row r="10165">
          <cell r="A10165" t="str">
            <v>s4l2n2cdl4fn4m2masn_g</v>
          </cell>
          <cell r="B10165" t="str">
            <v>s4l2n2cdl4fn4m2masn</v>
          </cell>
          <cell r="C10165" t="str">
            <v>S4l2n2cdl4fn4m2masn[g]</v>
          </cell>
        </row>
        <row r="10166">
          <cell r="A10166" t="str">
            <v>s4l4fn4m2masn_g</v>
          </cell>
          <cell r="B10166" t="str">
            <v>s4l4fn4m2masn</v>
          </cell>
          <cell r="C10166" t="str">
            <v>S4l4fn4m2masn[g]</v>
          </cell>
        </row>
        <row r="10167">
          <cell r="A10167" t="str">
            <v>s4lncl4fn4m2masn_g</v>
          </cell>
          <cell r="B10167" t="str">
            <v>s4lncl4fn4m2masn</v>
          </cell>
          <cell r="C10167" t="str">
            <v>S4lncl4fn4m2masn[g]</v>
          </cell>
        </row>
        <row r="10168">
          <cell r="A10168" t="str">
            <v>selmeth_r</v>
          </cell>
          <cell r="B10168" t="str">
            <v>selmeth</v>
          </cell>
          <cell r="C10168" t="str">
            <v>Selenomethionine</v>
          </cell>
        </row>
        <row r="10169">
          <cell r="A10169" t="str">
            <v>ser__L_r</v>
          </cell>
          <cell r="B10169" t="str">
            <v>ser__L</v>
          </cell>
          <cell r="C10169" t="str">
            <v>L-Serine</v>
          </cell>
        </row>
        <row r="10170">
          <cell r="A10170" t="str">
            <v>sgalside_cho_g</v>
          </cell>
          <cell r="B10170" t="str">
            <v>sgalside_cho</v>
          </cell>
          <cell r="C10170" t="str">
            <v>Sulfatide galactocerebroside</v>
          </cell>
        </row>
        <row r="10171">
          <cell r="A10171" t="str">
            <v>spc_cho_e</v>
          </cell>
          <cell r="B10171" t="str">
            <v>spc_cho</v>
          </cell>
          <cell r="C10171" t="str">
            <v>Sphingosylphosphorylcholine</v>
          </cell>
        </row>
        <row r="10172">
          <cell r="A10172" t="str">
            <v>sphmyln_cho_g</v>
          </cell>
          <cell r="B10172" t="str">
            <v>sphmyln_cho</v>
          </cell>
          <cell r="C10172" t="str">
            <v>Sphingomyelin betaine</v>
          </cell>
        </row>
        <row r="10173">
          <cell r="A10173" t="str">
            <v>spmd_x</v>
          </cell>
          <cell r="B10173" t="str">
            <v>spmd</v>
          </cell>
          <cell r="C10173" t="str">
            <v>Spermidine</v>
          </cell>
        </row>
        <row r="10174">
          <cell r="A10174" t="str">
            <v>strdnc_r</v>
          </cell>
          <cell r="B10174" t="str">
            <v>strdnc</v>
          </cell>
          <cell r="C10174" t="str">
            <v>Stearidonic acid C18:4, n-3</v>
          </cell>
        </row>
        <row r="10175">
          <cell r="A10175" t="str">
            <v>succoa_x</v>
          </cell>
          <cell r="B10175" t="str">
            <v>succoa</v>
          </cell>
          <cell r="C10175" t="str">
            <v>Succinyl-CoA</v>
          </cell>
        </row>
        <row r="10176">
          <cell r="A10176" t="str">
            <v>tcynt_l</v>
          </cell>
          <cell r="B10176" t="str">
            <v>tcynt</v>
          </cell>
          <cell r="C10176" t="str">
            <v>Thiocyanate</v>
          </cell>
        </row>
        <row r="10177">
          <cell r="A10177" t="str">
            <v>tdechola_c</v>
          </cell>
          <cell r="B10177" t="str">
            <v>tdechola</v>
          </cell>
          <cell r="C10177" t="str">
            <v>Taurodeoxycholate</v>
          </cell>
        </row>
        <row r="10178">
          <cell r="A10178" t="str">
            <v>tdechola_x</v>
          </cell>
          <cell r="B10178" t="str">
            <v>tdechola</v>
          </cell>
          <cell r="C10178" t="str">
            <v>Taurodeoxycholate</v>
          </cell>
        </row>
        <row r="10179">
          <cell r="A10179" t="str">
            <v>thf_n</v>
          </cell>
          <cell r="B10179" t="str">
            <v>thf</v>
          </cell>
          <cell r="C10179" t="str">
            <v>5,6,7,8-Tetrahydrofolate</v>
          </cell>
        </row>
        <row r="10180">
          <cell r="A10180" t="str">
            <v>xol7ah3_c</v>
          </cell>
          <cell r="B10180" t="str">
            <v>xol7ah3</v>
          </cell>
          <cell r="C10180" t="str">
            <v>3alpha,7alpha,26-Trihydroxy-5beta-cholestane</v>
          </cell>
        </row>
        <row r="10181">
          <cell r="A10181" t="str">
            <v>xolest_cho_c</v>
          </cell>
          <cell r="B10181" t="str">
            <v>xolest_cho</v>
          </cell>
          <cell r="C10181" t="str">
            <v>Cholesterol ester</v>
          </cell>
        </row>
        <row r="10182">
          <cell r="A10182" t="str">
            <v>xolest_cho_r</v>
          </cell>
          <cell r="B10182" t="str">
            <v>xolest_cho</v>
          </cell>
          <cell r="C10182" t="str">
            <v>Cholesterol ester</v>
          </cell>
        </row>
        <row r="10183">
          <cell r="A10183" t="str">
            <v>2aeppn_e</v>
          </cell>
          <cell r="B10183" t="str">
            <v>2aeppn</v>
          </cell>
          <cell r="C10183" t="str">
            <v>2 Aminoethyl phosphonate</v>
          </cell>
        </row>
        <row r="10184">
          <cell r="A10184" t="str">
            <v>2chdeacp_c</v>
          </cell>
          <cell r="B10184" t="str">
            <v>2chdeacp</v>
          </cell>
          <cell r="C10184" t="str">
            <v>Cis Hexadec 2 enoyl acyl carrier protein</v>
          </cell>
        </row>
        <row r="10185">
          <cell r="A10185" t="str">
            <v>2h3mb_c</v>
          </cell>
          <cell r="B10185" t="str">
            <v>2h3mb</v>
          </cell>
          <cell r="C10185" t="str">
            <v>2 hydroxy 3 methyl butanoate</v>
          </cell>
        </row>
        <row r="10186">
          <cell r="A10186" t="str">
            <v>2h3mp_c</v>
          </cell>
          <cell r="B10186" t="str">
            <v>2h3mp</v>
          </cell>
          <cell r="C10186" t="str">
            <v>2 hydroxy 3 methyl pentanoate</v>
          </cell>
        </row>
        <row r="10187">
          <cell r="A10187" t="str">
            <v>2hxic__L_c</v>
          </cell>
          <cell r="B10187" t="str">
            <v>2hxic__L</v>
          </cell>
          <cell r="C10187" t="str">
            <v>L 2 hydroxyisocaproate</v>
          </cell>
        </row>
        <row r="10188">
          <cell r="A10188" t="str">
            <v>2mba_c</v>
          </cell>
          <cell r="B10188" t="str">
            <v>2mba</v>
          </cell>
          <cell r="C10188" t="str">
            <v>2 methyl butanoic acid</v>
          </cell>
        </row>
        <row r="10189">
          <cell r="A10189" t="str">
            <v>2mpa_c</v>
          </cell>
          <cell r="B10189" t="str">
            <v>2mpa</v>
          </cell>
          <cell r="C10189" t="str">
            <v>2 methylpropanoic acid</v>
          </cell>
        </row>
        <row r="10190">
          <cell r="A10190" t="str">
            <v>2thdeacp_c</v>
          </cell>
          <cell r="B10190" t="str">
            <v>2thdeacp</v>
          </cell>
          <cell r="C10190" t="str">
            <v>Trans Hexadec 2 enoyl acyl carrier protein</v>
          </cell>
        </row>
        <row r="10191">
          <cell r="A10191" t="str">
            <v>3hddacp_c</v>
          </cell>
          <cell r="B10191" t="str">
            <v>3hddacp</v>
          </cell>
          <cell r="C10191" t="str">
            <v xml:space="preserve"> 3 Hydroxydodecanoyl acyl carrier protein</v>
          </cell>
        </row>
        <row r="10192">
          <cell r="A10192" t="str">
            <v>3hocacp_c</v>
          </cell>
          <cell r="B10192" t="str">
            <v>3hocacp</v>
          </cell>
          <cell r="C10192" t="str">
            <v xml:space="preserve"> 3 Hydroxyoctanoyl acyl carrier protein</v>
          </cell>
        </row>
        <row r="10193">
          <cell r="A10193" t="str">
            <v>3oxtdacp_c</v>
          </cell>
          <cell r="B10193" t="str">
            <v>3oxtdacp</v>
          </cell>
          <cell r="C10193" t="str">
            <v>3 Oxotetradecanoyl acyl carrier protein</v>
          </cell>
        </row>
        <row r="10194">
          <cell r="A10194" t="str">
            <v>DNA_LLA_c</v>
          </cell>
          <cell r="B10194" t="str">
            <v>DNA_LLA</v>
          </cell>
          <cell r="C10194" t="str">
            <v xml:space="preserve">DNA composition  lactis specific </v>
          </cell>
        </row>
        <row r="10195">
          <cell r="A10195" t="str">
            <v>LTAAlaGal_LLA_c</v>
          </cell>
          <cell r="B10195" t="str">
            <v>LTAAlaGal_LLA</v>
          </cell>
          <cell r="C10195" t="str">
            <v xml:space="preserve">Lipoteichoic acid  n16  with 0 38 ala and 062 gal </v>
          </cell>
        </row>
        <row r="10196">
          <cell r="A10196" t="str">
            <v>LTA_LLA_c</v>
          </cell>
          <cell r="B10196" t="str">
            <v>LTA_LLA</v>
          </cell>
          <cell r="C10196" t="str">
            <v xml:space="preserve">Lipoteichoic acid  n16  Lactis specific </v>
          </cell>
        </row>
        <row r="10197">
          <cell r="A10197" t="str">
            <v>PROT_LLA_c</v>
          </cell>
          <cell r="B10197" t="str">
            <v>PROT_LLA</v>
          </cell>
          <cell r="C10197" t="str">
            <v>Protein for biomass  Lactis specific  v1</v>
          </cell>
        </row>
        <row r="10198">
          <cell r="A10198" t="str">
            <v>a_gal__D_c</v>
          </cell>
          <cell r="B10198" t="str">
            <v>a_gal__D</v>
          </cell>
          <cell r="C10198" t="str">
            <v>Alpha D galactose</v>
          </cell>
        </row>
        <row r="10199">
          <cell r="A10199" t="str">
            <v>aaacp_c</v>
          </cell>
          <cell r="B10199" t="str">
            <v>aaacp</v>
          </cell>
          <cell r="C10199" t="str">
            <v>Acetoacetyl acyl carrier protein</v>
          </cell>
        </row>
        <row r="10200">
          <cell r="A10200" t="str">
            <v>acp_c</v>
          </cell>
          <cell r="B10200" t="str">
            <v>acp</v>
          </cell>
          <cell r="C10200" t="str">
            <v>Acyl carrier Protein</v>
          </cell>
        </row>
        <row r="10201">
          <cell r="A10201" t="str">
            <v>cpocdacp_c</v>
          </cell>
          <cell r="B10201" t="str">
            <v>cpocdacp</v>
          </cell>
          <cell r="C10201" t="str">
            <v>Cyclopropanoyl octadecanoyl acyl carrier protein</v>
          </cell>
        </row>
        <row r="10202">
          <cell r="A10202" t="str">
            <v>d12dg_LLA_c</v>
          </cell>
          <cell r="B10202" t="str">
            <v>d12dg_LLA</v>
          </cell>
          <cell r="C10202" t="str">
            <v>Diglucosyl 1 2 diacylglycerol</v>
          </cell>
        </row>
        <row r="10203">
          <cell r="A10203" t="str">
            <v>ddeacp_c</v>
          </cell>
          <cell r="B10203" t="str">
            <v>ddeacp</v>
          </cell>
          <cell r="C10203" t="str">
            <v>Dodecanoyl acyl carrier protein</v>
          </cell>
        </row>
        <row r="10204">
          <cell r="A10204" t="str">
            <v>glutrnagln_c</v>
          </cell>
          <cell r="B10204" t="str">
            <v>glutrnagln</v>
          </cell>
          <cell r="C10204" t="str">
            <v>Glutamine tRNA charged with glutamate</v>
          </cell>
        </row>
        <row r="10205">
          <cell r="A10205" t="str">
            <v>hexacp_c</v>
          </cell>
          <cell r="B10205" t="str">
            <v>hexacp</v>
          </cell>
          <cell r="C10205" t="str">
            <v>Hexanoyl acyl carrier protein</v>
          </cell>
        </row>
        <row r="10206">
          <cell r="A10206" t="str">
            <v>m12dg_LLA_c</v>
          </cell>
          <cell r="B10206" t="str">
            <v>m12dg_LLA</v>
          </cell>
          <cell r="C10206" t="str">
            <v>Monoglucosyl 1 2 diacylglycerol</v>
          </cell>
        </row>
        <row r="10207">
          <cell r="A10207" t="str">
            <v>octacp_c</v>
          </cell>
          <cell r="B10207" t="str">
            <v>octacp</v>
          </cell>
          <cell r="C10207" t="str">
            <v>Octanoyl acyl carrier protein</v>
          </cell>
        </row>
        <row r="10208">
          <cell r="A10208" t="str">
            <v>unagama_c</v>
          </cell>
          <cell r="B10208" t="str">
            <v>unagama</v>
          </cell>
          <cell r="C10208" t="str">
            <v>Undecaprenyl diphospho N acetylglucosamine N acetylmannosamine</v>
          </cell>
        </row>
        <row r="10209">
          <cell r="A10209" t="str">
            <v>unagamagp_c</v>
          </cell>
          <cell r="B10209" t="str">
            <v>unagamagp</v>
          </cell>
          <cell r="C10209" t="str">
            <v>Undecaprenyl diphospho N acetylglucosamine N acetylmannosamine glycerolphosphate</v>
          </cell>
        </row>
        <row r="10210">
          <cell r="A10210" t="str">
            <v>udcpgl_c</v>
          </cell>
          <cell r="B10210" t="str">
            <v>udcpgl</v>
          </cell>
          <cell r="C10210" t="str">
            <v>Undecaprenol-diphosphate-glucose</v>
          </cell>
        </row>
        <row r="10211">
          <cell r="A10211" t="str">
            <v>iprimv_c</v>
          </cell>
          <cell r="B10211" t="str">
            <v>iprimv</v>
          </cell>
          <cell r="C10211" t="str">
            <v>Isoprimeverose</v>
          </cell>
        </row>
        <row r="10212">
          <cell r="A10212" t="str">
            <v>mepn_e</v>
          </cell>
          <cell r="B10212" t="str">
            <v>mepn</v>
          </cell>
          <cell r="C10212" t="str">
            <v>Methylphosphonic acid</v>
          </cell>
        </row>
        <row r="10213">
          <cell r="A10213" t="str">
            <v>prpmn_c</v>
          </cell>
          <cell r="B10213" t="str">
            <v>prpmn</v>
          </cell>
          <cell r="C10213" t="str">
            <v>?-D-ribose-1-methylphosphonate 5-phosphate</v>
          </cell>
        </row>
        <row r="10214">
          <cell r="A10214" t="str">
            <v>mercpeth_c</v>
          </cell>
          <cell r="B10214" t="str">
            <v>mercpeth</v>
          </cell>
          <cell r="C10214" t="str">
            <v>Mercaptoethanol</v>
          </cell>
        </row>
        <row r="10215">
          <cell r="A10215" t="str">
            <v>puacgam_p</v>
          </cell>
          <cell r="B10215" t="str">
            <v>puacgam</v>
          </cell>
          <cell r="C10215" t="str">
            <v>Poly-?-1,6-N-acetyl-D-glucosamine</v>
          </cell>
        </row>
        <row r="10216">
          <cell r="A10216" t="str">
            <v>nadphx__S_c</v>
          </cell>
          <cell r="B10216" t="str">
            <v>nadphx__S</v>
          </cell>
          <cell r="C10216" t="str">
            <v>(S)-NADPHX</v>
          </cell>
        </row>
        <row r="10217">
          <cell r="A10217" t="str">
            <v>4abzglu_e</v>
          </cell>
          <cell r="B10217" t="str">
            <v>4abzglu</v>
          </cell>
          <cell r="C10217" t="str">
            <v>4-aminobenzoyl-glutamate</v>
          </cell>
        </row>
        <row r="10218">
          <cell r="A10218" t="str">
            <v>lkdr_c</v>
          </cell>
          <cell r="B10218" t="str">
            <v>lkdr</v>
          </cell>
          <cell r="C10218" t="str">
            <v>2-dehydro-3-deoxy-L-rhamnonate</v>
          </cell>
        </row>
        <row r="10219">
          <cell r="A10219" t="str">
            <v>3hbzcoa_c</v>
          </cell>
          <cell r="B10219" t="str">
            <v>3hbzcoa</v>
          </cell>
          <cell r="C10219" t="str">
            <v>3-hydroxybenzoyl-CoA</v>
          </cell>
        </row>
        <row r="10220">
          <cell r="A10220" t="str">
            <v>teo2_c</v>
          </cell>
          <cell r="B10220" t="str">
            <v>teo2</v>
          </cell>
          <cell r="C10220" t="str">
            <v>Tellurite</v>
          </cell>
        </row>
        <row r="10221">
          <cell r="A10221" t="str">
            <v>cs1_p</v>
          </cell>
          <cell r="B10221" t="str">
            <v>cs1</v>
          </cell>
          <cell r="C10221" t="str">
            <v>Cesium ion</v>
          </cell>
        </row>
        <row r="10222">
          <cell r="A10222" t="str">
            <v>sfp_c</v>
          </cell>
          <cell r="B10222" t="str">
            <v>sfp</v>
          </cell>
          <cell r="C10222" t="str">
            <v>6-deoxy-6-sulphofructose 1-phosphate</v>
          </cell>
        </row>
        <row r="10223">
          <cell r="A10223" t="str">
            <v>5phdt_c</v>
          </cell>
          <cell r="B10223" t="str">
            <v>5phdt</v>
          </cell>
          <cell r="C10223" t="str">
            <v>Phenylhydantoin</v>
          </cell>
        </row>
        <row r="10224">
          <cell r="A10224" t="str">
            <v>metglcur_e</v>
          </cell>
          <cell r="B10224" t="str">
            <v>metglcur</v>
          </cell>
          <cell r="C10224" t="str">
            <v>1-O-methyl-Beta-D-glucuronate</v>
          </cell>
        </row>
        <row r="10225">
          <cell r="A10225" t="str">
            <v>puacgam_c</v>
          </cell>
          <cell r="B10225" t="str">
            <v>puacgam</v>
          </cell>
          <cell r="C10225" t="str">
            <v>Poly-?-1,6-N-acetyl-D-glucosamine</v>
          </cell>
        </row>
        <row r="10226">
          <cell r="A10226" t="str">
            <v>fmn_p</v>
          </cell>
          <cell r="B10226" t="str">
            <v>fmn</v>
          </cell>
          <cell r="C10226" t="str">
            <v>FMN C17H19N4O9P</v>
          </cell>
        </row>
        <row r="10227">
          <cell r="A10227" t="str">
            <v>cholate_p</v>
          </cell>
          <cell r="B10227" t="str">
            <v>cholate</v>
          </cell>
          <cell r="C10227" t="str">
            <v>Cholate c</v>
          </cell>
        </row>
        <row r="10228">
          <cell r="A10228" t="str">
            <v>2dglc_e</v>
          </cell>
          <cell r="B10228" t="str">
            <v>2dglc</v>
          </cell>
          <cell r="C10228" t="str">
            <v>2 Deoxy D glucose C6H12O5</v>
          </cell>
        </row>
        <row r="10229">
          <cell r="A10229" t="str">
            <v>urdgci_c</v>
          </cell>
          <cell r="B10229" t="str">
            <v>urdgci</v>
          </cell>
          <cell r="C10229" t="str">
            <v>S-ureidoglycine</v>
          </cell>
        </row>
        <row r="10230">
          <cell r="A10230" t="str">
            <v>dhcur_c</v>
          </cell>
          <cell r="B10230" t="str">
            <v>dhcur</v>
          </cell>
          <cell r="C10230" t="str">
            <v>Dihydrocurcumin</v>
          </cell>
        </row>
        <row r="10231">
          <cell r="A10231" t="str">
            <v>dhps_e</v>
          </cell>
          <cell r="B10231" t="str">
            <v>dhps</v>
          </cell>
          <cell r="C10231" t="str">
            <v>2,3-Dihydroxypropane-1-sulfonate</v>
          </cell>
        </row>
        <row r="10232">
          <cell r="A10232" t="str">
            <v>pqh2_um</v>
          </cell>
          <cell r="B10232" t="str">
            <v>pqh2</v>
          </cell>
          <cell r="C10232" t="str">
            <v>Plastoquinol</v>
          </cell>
        </row>
        <row r="10233">
          <cell r="A10233" t="str">
            <v>3hmop_c</v>
          </cell>
          <cell r="B10233" t="str">
            <v>3hmop</v>
          </cell>
          <cell r="C10233" t="str">
            <v>(R)-3-Hydroxy-3-methyl-2-oxopentanoate</v>
          </cell>
        </row>
        <row r="10234">
          <cell r="A10234" t="str">
            <v>rb15bp_cx</v>
          </cell>
          <cell r="B10234" t="str">
            <v>rb15bp</v>
          </cell>
          <cell r="C10234" t="str">
            <v>D-Ribulose 1,5-bisphosphate</v>
          </cell>
        </row>
        <row r="10235">
          <cell r="A10235" t="str">
            <v>phycy_c</v>
          </cell>
          <cell r="B10235" t="str">
            <v>phycy</v>
          </cell>
          <cell r="C10235" t="str">
            <v>(3Z)-Phycocyanobilin</v>
          </cell>
        </row>
        <row r="10236">
          <cell r="A10236" t="str">
            <v>pq_um</v>
          </cell>
          <cell r="B10236" t="str">
            <v>pq</v>
          </cell>
          <cell r="C10236" t="str">
            <v>Plastoquinone</v>
          </cell>
        </row>
        <row r="10237">
          <cell r="A10237" t="str">
            <v>histda_c</v>
          </cell>
          <cell r="B10237" t="str">
            <v>histda</v>
          </cell>
          <cell r="C10237" t="str">
            <v>L-histidinal</v>
          </cell>
        </row>
        <row r="10238">
          <cell r="A10238" t="str">
            <v>co2_cx</v>
          </cell>
          <cell r="B10238" t="str">
            <v>co2</v>
          </cell>
          <cell r="C10238" t="str">
            <v>CO2 CO2</v>
          </cell>
        </row>
        <row r="10239">
          <cell r="A10239" t="str">
            <v>o2_cx</v>
          </cell>
          <cell r="B10239" t="str">
            <v>o2</v>
          </cell>
          <cell r="C10239" t="str">
            <v>O2 O2</v>
          </cell>
        </row>
        <row r="10240">
          <cell r="A10240" t="str">
            <v>4hthdp_c</v>
          </cell>
          <cell r="B10240" t="str">
            <v>4hthdp</v>
          </cell>
          <cell r="C10240" t="str">
            <v>(2S,4S)-4-Hydroxy-2,3,4,5-tetrahydrodipicolinate</v>
          </cell>
        </row>
        <row r="10241">
          <cell r="A10241" t="str">
            <v>dvpchlda_c</v>
          </cell>
          <cell r="B10241" t="str">
            <v>dvpchlda</v>
          </cell>
          <cell r="C10241" t="str">
            <v>Divinylprotochlorophyllide a</v>
          </cell>
        </row>
        <row r="10242">
          <cell r="A10242" t="str">
            <v>gthbpt_c</v>
          </cell>
          <cell r="B10242" t="str">
            <v>gthbpt</v>
          </cell>
          <cell r="C10242" t="str">
            <v>1-O-(L-erythro-biopterin-2-yl)-a-glucose</v>
          </cell>
        </row>
        <row r="10243">
          <cell r="A10243" t="str">
            <v>lipamp_c</v>
          </cell>
          <cell r="B10243" t="str">
            <v>lipamp</v>
          </cell>
          <cell r="C10243" t="str">
            <v>Lipoyl-adenylate</v>
          </cell>
        </row>
        <row r="10244">
          <cell r="A10244" t="str">
            <v>photon430_e</v>
          </cell>
          <cell r="B10244" t="str">
            <v>photon430</v>
          </cell>
          <cell r="C10244" t="str">
            <v>Photon (420nm-440nm)</v>
          </cell>
        </row>
        <row r="10245">
          <cell r="A10245" t="str">
            <v>photon490_e</v>
          </cell>
          <cell r="B10245" t="str">
            <v>photon490</v>
          </cell>
          <cell r="C10245" t="str">
            <v>Photon (451 to 526 nm, blue/green)</v>
          </cell>
        </row>
        <row r="10246">
          <cell r="A10246" t="str">
            <v>photon510_e</v>
          </cell>
          <cell r="B10246" t="str">
            <v>photon510</v>
          </cell>
          <cell r="C10246" t="str">
            <v>Photon (500nm-520nm)</v>
          </cell>
        </row>
        <row r="10247">
          <cell r="A10247" t="str">
            <v>photon570_e</v>
          </cell>
          <cell r="B10247" t="str">
            <v>photon570</v>
          </cell>
          <cell r="C10247" t="str">
            <v>Photon (560nm-580nm)</v>
          </cell>
        </row>
        <row r="10248">
          <cell r="A10248" t="str">
            <v>photon630_e</v>
          </cell>
          <cell r="B10248" t="str">
            <v>photon630</v>
          </cell>
          <cell r="C10248" t="str">
            <v>Photon (620nm-640nm)</v>
          </cell>
        </row>
        <row r="10249">
          <cell r="A10249" t="str">
            <v>photon690_e</v>
          </cell>
          <cell r="B10249" t="str">
            <v>photon690</v>
          </cell>
          <cell r="C10249" t="str">
            <v>Photon (680nm-700nm)</v>
          </cell>
        </row>
        <row r="10250">
          <cell r="A10250" t="str">
            <v>calxan_c</v>
          </cell>
          <cell r="B10250" t="str">
            <v>calxan</v>
          </cell>
          <cell r="C10250" t="str">
            <v>Caloxanthin</v>
          </cell>
        </row>
        <row r="10251">
          <cell r="A10251" t="str">
            <v>allocy_exc_c</v>
          </cell>
          <cell r="B10251" t="str">
            <v>allocy_exc</v>
          </cell>
          <cell r="C10251" t="str">
            <v>Excited allocyanobilin (phycobilisome core)</v>
          </cell>
        </row>
        <row r="10252">
          <cell r="A10252" t="str">
            <v>allocy_c</v>
          </cell>
          <cell r="B10252" t="str">
            <v>allocy</v>
          </cell>
          <cell r="C10252" t="str">
            <v>Allocyanobilin (phycobilisome core)</v>
          </cell>
        </row>
        <row r="10253">
          <cell r="A10253" t="str">
            <v>oanticy_c</v>
          </cell>
          <cell r="B10253" t="str">
            <v>oanticy</v>
          </cell>
          <cell r="C10253" t="str">
            <v>O-antigen oligosaccharide (Synechococcus elongatus 7942)</v>
          </cell>
        </row>
        <row r="10254">
          <cell r="A10254" t="str">
            <v>oanticy_p</v>
          </cell>
          <cell r="B10254" t="str">
            <v>oanticy</v>
          </cell>
          <cell r="C10254" t="str">
            <v>O-antigen oligosaccharide (Synechococcus elongatus 7942)</v>
          </cell>
        </row>
        <row r="10255">
          <cell r="A10255" t="str">
            <v>pchlld_exc_c</v>
          </cell>
          <cell r="B10255" t="str">
            <v>pchlld_exc</v>
          </cell>
          <cell r="C10255" t="str">
            <v>Excited protochlorophyllide</v>
          </cell>
        </row>
        <row r="10256">
          <cell r="A10256" t="str">
            <v>zeax_exc_c</v>
          </cell>
          <cell r="B10256" t="str">
            <v>zeax_exc</v>
          </cell>
          <cell r="C10256" t="str">
            <v>Zeaxanthin (excited)</v>
          </cell>
        </row>
        <row r="10257">
          <cell r="A10257" t="str">
            <v>f6p_h</v>
          </cell>
          <cell r="B10257" t="str">
            <v>f6p</v>
          </cell>
          <cell r="C10257" t="str">
            <v>D-Fructose 6-phosphate</v>
          </cell>
        </row>
        <row r="10258">
          <cell r="A10258" t="str">
            <v>g1m8masn_c</v>
          </cell>
          <cell r="B10258" t="str">
            <v>g1m8masn</v>
          </cell>
          <cell r="C10258" t="str">
            <v>(alpha-D-Glucosyl)-(alpha-D-mannosyl)8-beta-D-mannosyl-diacetylchitobiosyl-L-asparagine (protein)</v>
          </cell>
        </row>
        <row r="10259">
          <cell r="A10259" t="str">
            <v>fdp_h</v>
          </cell>
          <cell r="B10259" t="str">
            <v>fdp</v>
          </cell>
          <cell r="C10259" t="str">
            <v>D-Fructose 1,6-bisphosphate</v>
          </cell>
        </row>
        <row r="10260">
          <cell r="A10260" t="str">
            <v>glc__D_x</v>
          </cell>
          <cell r="B10260" t="str">
            <v>glc__D</v>
          </cell>
          <cell r="C10260" t="str">
            <v>D-Glucose</v>
          </cell>
        </row>
        <row r="10261">
          <cell r="A10261" t="str">
            <v>pep_x</v>
          </cell>
          <cell r="B10261" t="str">
            <v>pep</v>
          </cell>
          <cell r="C10261" t="str">
            <v>Phosphoenolpyruvate</v>
          </cell>
        </row>
        <row r="10262">
          <cell r="A10262" t="str">
            <v>2ddg6p_m</v>
          </cell>
          <cell r="B10262" t="str">
            <v>2ddg6p</v>
          </cell>
          <cell r="C10262" t="str">
            <v>2-Dehydro-3-deoxy-D-gluconate 6-phosphate</v>
          </cell>
        </row>
        <row r="10263">
          <cell r="A10263" t="str">
            <v>acon_C_m</v>
          </cell>
          <cell r="B10263" t="str">
            <v>acon_C</v>
          </cell>
          <cell r="C10263" t="str">
            <v>Cis-Aconitate</v>
          </cell>
        </row>
        <row r="10264">
          <cell r="A10264" t="str">
            <v>h2s_m</v>
          </cell>
          <cell r="B10264" t="str">
            <v>h2s</v>
          </cell>
          <cell r="C10264" t="str">
            <v>Hydrogen sulfide</v>
          </cell>
        </row>
        <row r="10265">
          <cell r="A10265" t="str">
            <v>2ippm_h</v>
          </cell>
          <cell r="B10265" t="str">
            <v>2ippm</v>
          </cell>
          <cell r="C10265" t="str">
            <v>2-Isopropylmaleate</v>
          </cell>
        </row>
        <row r="10266">
          <cell r="A10266" t="str">
            <v>thbpt_m</v>
          </cell>
          <cell r="B10266" t="str">
            <v>thbpt</v>
          </cell>
          <cell r="C10266" t="str">
            <v>Tetrahydrobiopterin</v>
          </cell>
        </row>
        <row r="10267">
          <cell r="A10267" t="str">
            <v>mi3p__D_h</v>
          </cell>
          <cell r="B10267" t="str">
            <v>mi3p__D</v>
          </cell>
          <cell r="C10267" t="str">
            <v>1D-myo-Inositol 3-phosphate</v>
          </cell>
        </row>
        <row r="10268">
          <cell r="A10268" t="str">
            <v>mi3p__D_m</v>
          </cell>
          <cell r="B10268" t="str">
            <v>mi3p__D</v>
          </cell>
          <cell r="C10268" t="str">
            <v>1D-myo-Inositol 3-phosphate</v>
          </cell>
        </row>
        <row r="10269">
          <cell r="A10269" t="str">
            <v>pa140160_c</v>
          </cell>
          <cell r="B10269" t="str">
            <v>pa140160</v>
          </cell>
          <cell r="C10269" t="str">
            <v>1-tetradecanoyl-2-hexadecanoyl-sn-glycerol-3-phosphate</v>
          </cell>
        </row>
        <row r="10270">
          <cell r="A10270" t="str">
            <v>pa140180_c</v>
          </cell>
          <cell r="B10270" t="str">
            <v>pa140180</v>
          </cell>
          <cell r="C10270" t="str">
            <v>1-tetradecanoyl-2-octadecanoyl-sn-glycerol-3-phosphate</v>
          </cell>
        </row>
        <row r="10271">
          <cell r="A10271" t="str">
            <v>pa140205n3_c</v>
          </cell>
          <cell r="B10271" t="str">
            <v>pa140205n3</v>
          </cell>
          <cell r="C10271" t="str">
            <v>1-tetradecanoyl-2-5,8,11,14,17-eicosapentaenoyl-sn-glycerol-3-phosphate</v>
          </cell>
        </row>
        <row r="10272">
          <cell r="A10272" t="str">
            <v>pa1601619Z_c</v>
          </cell>
          <cell r="B10272" t="str">
            <v>pa1601619Z</v>
          </cell>
          <cell r="C10272" t="str">
            <v>1-hexadecanoyl-2-9-hexadecenoyl-sn-glycerol-3-phosphate</v>
          </cell>
        </row>
        <row r="10273">
          <cell r="A10273" t="str">
            <v>pa180226n3_c</v>
          </cell>
          <cell r="B10273" t="str">
            <v>pa180226n3</v>
          </cell>
          <cell r="C10273" t="str">
            <v>1-octadecanoyl-2-4,7,10,13,16,19-docosahexaenoyl-sn-glycerol-3-phosphate</v>
          </cell>
        </row>
        <row r="10274">
          <cell r="A10274" t="str">
            <v>pa1819Z205n3_c</v>
          </cell>
          <cell r="B10274" t="str">
            <v>pa1819Z205n3</v>
          </cell>
          <cell r="C10274" t="str">
            <v>1-9-octadecenoyl-2-5,8,11,14,17-eicosapentaenoyl-sn-glycerol-3-phosphate</v>
          </cell>
        </row>
        <row r="10275">
          <cell r="A10275" t="str">
            <v>pa226n3160_c</v>
          </cell>
          <cell r="B10275" t="str">
            <v>pa226n3160</v>
          </cell>
          <cell r="C10275" t="str">
            <v>1-4,7,10,13,16,19-docosahexaenoyl-2-hexadecanoyl-sn-glycerol-3-phosphate</v>
          </cell>
        </row>
        <row r="10276">
          <cell r="A10276" t="str">
            <v>pa226n3180_c</v>
          </cell>
          <cell r="B10276" t="str">
            <v>pa226n3180</v>
          </cell>
          <cell r="C10276" t="str">
            <v>1-4,7,10,13,16,19-docosahexaenoyl-2-octadecanoyl-sn-glycerol-3-phosphate</v>
          </cell>
        </row>
        <row r="10277">
          <cell r="A10277" t="str">
            <v>12dgr1619Z140_c</v>
          </cell>
          <cell r="B10277" t="str">
            <v>12dgr1619Z140</v>
          </cell>
          <cell r="C10277" t="str">
            <v>1,2-Diacyl-sn-glycerol(16:1(9Z)/14:0)</v>
          </cell>
        </row>
        <row r="10278">
          <cell r="A10278" t="str">
            <v>12dgr1619Z180_c</v>
          </cell>
          <cell r="B10278" t="str">
            <v>12dgr1619Z180</v>
          </cell>
          <cell r="C10278" t="str">
            <v>1,2-Diacyl-sn-glycerol(16:1(9Z)/18:0)</v>
          </cell>
        </row>
        <row r="10279">
          <cell r="A10279" t="str">
            <v>12dgr1619Z226n3_c</v>
          </cell>
          <cell r="B10279" t="str">
            <v>12dgr1619Z226n3</v>
          </cell>
          <cell r="C10279" t="str">
            <v>1,2-Diacyl-sn-glycerol(16:1(9Z)/22:6(4Z,7Z,10Z,13Z,16Z,19Z))</v>
          </cell>
        </row>
        <row r="10280">
          <cell r="A10280" t="str">
            <v>12dgr180140_c</v>
          </cell>
          <cell r="B10280" t="str">
            <v>12dgr180140</v>
          </cell>
          <cell r="C10280" t="str">
            <v>1,2-Diacyl-sn-glycerol(18:0/14:0)</v>
          </cell>
        </row>
        <row r="10281">
          <cell r="A10281" t="str">
            <v>12dgr180226n3_c</v>
          </cell>
          <cell r="B10281" t="str">
            <v>12dgr180226n3</v>
          </cell>
          <cell r="C10281" t="str">
            <v>1,2-Diacyl-sn-glycerol(18:0/22:6(4Z,7Z,10Z,13Z,16Z,19Z))</v>
          </cell>
        </row>
        <row r="10282">
          <cell r="A10282" t="str">
            <v>12dgr205n3160_c</v>
          </cell>
          <cell r="B10282" t="str">
            <v>12dgr205n3160</v>
          </cell>
          <cell r="C10282" t="str">
            <v>1,2-Diacyl-sn-glycerol(20:5(5Z,8Z,11Z,14Z,17Z)/16:0)</v>
          </cell>
        </row>
        <row r="10283">
          <cell r="A10283" t="str">
            <v>12dgr226n3160_c</v>
          </cell>
          <cell r="B10283" t="str">
            <v>12dgr226n3160</v>
          </cell>
          <cell r="C10283" t="str">
            <v>1,2-Diacyl-sn-glycerol(22:6(4Z,7Z,10Z,13Z,16Z,19Z)/16:0)</v>
          </cell>
        </row>
        <row r="10284">
          <cell r="A10284" t="str">
            <v>12dgr226n31619Z_c</v>
          </cell>
          <cell r="B10284" t="str">
            <v>12dgr226n31619Z</v>
          </cell>
          <cell r="C10284" t="str">
            <v>1,2-Diacyl-sn-glycerol(22:6(4Z,7Z,10Z,13Z,16Z,19Z)/16:1(9Z))</v>
          </cell>
        </row>
        <row r="10285">
          <cell r="A10285" t="str">
            <v>12dgr226n31819Z_c</v>
          </cell>
          <cell r="B10285" t="str">
            <v>12dgr226n31819Z</v>
          </cell>
          <cell r="C10285" t="str">
            <v>1,2-Diacyl-sn-glycerol(22:6(4Z,7Z,10Z,13Z,16Z,19Z)/18:1(9Z))</v>
          </cell>
        </row>
        <row r="10286">
          <cell r="A10286" t="str">
            <v>pc140160_c</v>
          </cell>
          <cell r="B10286" t="str">
            <v>pc140160</v>
          </cell>
          <cell r="C10286" t="str">
            <v>Phosphatidylcholine(14:0/16:0)</v>
          </cell>
        </row>
        <row r="10287">
          <cell r="A10287" t="str">
            <v>pc1401619Z_c</v>
          </cell>
          <cell r="B10287" t="str">
            <v>pc1401619Z</v>
          </cell>
          <cell r="C10287" t="str">
            <v>Phosphatidylcholine(14:0/16:1(9Z))</v>
          </cell>
        </row>
        <row r="10288">
          <cell r="A10288" t="str">
            <v>pc140180_c</v>
          </cell>
          <cell r="B10288" t="str">
            <v>pc140180</v>
          </cell>
          <cell r="C10288" t="str">
            <v>Phosphatidylcholine(14:0/18:0)</v>
          </cell>
        </row>
        <row r="10289">
          <cell r="A10289" t="str">
            <v>pc160180_c</v>
          </cell>
          <cell r="B10289" t="str">
            <v>pc160180</v>
          </cell>
          <cell r="C10289" t="str">
            <v>Phosphatidylcholine(16:0/18:0)</v>
          </cell>
        </row>
        <row r="10290">
          <cell r="A10290" t="str">
            <v>pc161_c</v>
          </cell>
          <cell r="B10290" t="str">
            <v>pc161</v>
          </cell>
          <cell r="C10290" t="str">
            <v>Phosphatidylcholine(16:1(9Z)/16:1(9Z))</v>
          </cell>
        </row>
        <row r="10291">
          <cell r="A10291" t="str">
            <v>pc1619Z180_c</v>
          </cell>
          <cell r="B10291" t="str">
            <v>pc1619Z180</v>
          </cell>
          <cell r="C10291" t="str">
            <v>Phosphatidylcholine(16:1(9Z)/18:0)</v>
          </cell>
        </row>
        <row r="10292">
          <cell r="A10292" t="str">
            <v>pc1619Z1819Z_c</v>
          </cell>
          <cell r="B10292" t="str">
            <v>pc1619Z1819Z</v>
          </cell>
          <cell r="C10292" t="str">
            <v>Phosphatidylcholine(16:1(9Z)/18:1(9Z))</v>
          </cell>
        </row>
        <row r="10293">
          <cell r="A10293" t="str">
            <v>pc1619Z205n3_c</v>
          </cell>
          <cell r="B10293" t="str">
            <v>pc1619Z205n3</v>
          </cell>
          <cell r="C10293" t="str">
            <v>Phosphatidylcholine(16:1(9Z)/20:5(5Z,8Z,11Z,14Z,17Z))</v>
          </cell>
        </row>
        <row r="10294">
          <cell r="A10294" t="str">
            <v>pc180140_c</v>
          </cell>
          <cell r="B10294" t="str">
            <v>pc180140</v>
          </cell>
          <cell r="C10294" t="str">
            <v>Phosphatidylcholine(18:0/14:0)</v>
          </cell>
        </row>
        <row r="10295">
          <cell r="A10295" t="str">
            <v>pc1819Z160_c</v>
          </cell>
          <cell r="B10295" t="str">
            <v>pc1819Z160</v>
          </cell>
          <cell r="C10295" t="str">
            <v>Phosphatidylcholine(18:1(9Z)/16:0)</v>
          </cell>
        </row>
        <row r="10296">
          <cell r="A10296" t="str">
            <v>pc1819Z226n3_c</v>
          </cell>
          <cell r="B10296" t="str">
            <v>pc1819Z226n3</v>
          </cell>
          <cell r="C10296" t="str">
            <v>Phosphatidylcholine(18:1(9Z)/22:6(4Z,7Z,10Z,13Z,16Z,19Z))</v>
          </cell>
        </row>
        <row r="10297">
          <cell r="A10297" t="str">
            <v>pc205n31619Z_c</v>
          </cell>
          <cell r="B10297" t="str">
            <v>pc205n31619Z</v>
          </cell>
          <cell r="C10297" t="str">
            <v>Phosphatidylcholine(20:5(5Z,8Z,11Z,14Z,17Z)/16:1(9Z))</v>
          </cell>
        </row>
        <row r="10298">
          <cell r="A10298" t="str">
            <v>pc180182n6_c</v>
          </cell>
          <cell r="B10298" t="str">
            <v>pc180182n6</v>
          </cell>
          <cell r="C10298" t="str">
            <v>Phosphatidylcholine(18:0/18:2(9Z,12Z))</v>
          </cell>
        </row>
        <row r="10299">
          <cell r="A10299" t="str">
            <v>pc182n6160_c</v>
          </cell>
          <cell r="B10299" t="str">
            <v>pc182n6160</v>
          </cell>
          <cell r="C10299" t="str">
            <v>Phosphatidylcholine(18:2(9Z,12Z)/16:0)</v>
          </cell>
        </row>
        <row r="10300">
          <cell r="A10300" t="str">
            <v>pc182n61619Z_c</v>
          </cell>
          <cell r="B10300" t="str">
            <v>pc182n61619Z</v>
          </cell>
          <cell r="C10300" t="str">
            <v>Phosphatidylcholine(18:2(9Z,12Z)/16:1(9Z))</v>
          </cell>
        </row>
        <row r="10301">
          <cell r="A10301" t="str">
            <v>pc182n61819Z_c</v>
          </cell>
          <cell r="B10301" t="str">
            <v>pc182n61819Z</v>
          </cell>
          <cell r="C10301" t="str">
            <v>Phosphatidylcholine(18:2(9Z,12Z)/18:1(9Z))</v>
          </cell>
        </row>
        <row r="10302">
          <cell r="A10302" t="str">
            <v>pc205n3182n6_c</v>
          </cell>
          <cell r="B10302" t="str">
            <v>pc205n3182n6</v>
          </cell>
          <cell r="C10302" t="str">
            <v>Phosphatidylcholine(20:5(5Z,8Z,11Z,14Z,17Z)/18:2(9Z,12Z))</v>
          </cell>
        </row>
        <row r="10303">
          <cell r="A10303" t="str">
            <v>pc160183n6_c</v>
          </cell>
          <cell r="B10303" t="str">
            <v>pc160183n6</v>
          </cell>
          <cell r="C10303" t="str">
            <v>Phosphatidylcholine(16:0/18:3(6Z,9Z,12Z))</v>
          </cell>
        </row>
        <row r="10304">
          <cell r="A10304" t="str">
            <v>pc1619Z183n6_c</v>
          </cell>
          <cell r="B10304" t="str">
            <v>pc1619Z183n6</v>
          </cell>
          <cell r="C10304" t="str">
            <v>Phosphatidylcholine(16:1(9Z)/18:3(6Z,9Z,12Z))</v>
          </cell>
        </row>
        <row r="10305">
          <cell r="A10305" t="str">
            <v>pc182n6183n6_c</v>
          </cell>
          <cell r="B10305" t="str">
            <v>pc182n6183n6</v>
          </cell>
          <cell r="C10305" t="str">
            <v>Phosphatidylcholine(18:2(9Z,12Z)/18:3(6Z,9Z,12Z))</v>
          </cell>
        </row>
        <row r="10306">
          <cell r="A10306" t="str">
            <v>pc226n3183n6_c</v>
          </cell>
          <cell r="B10306" t="str">
            <v>pc226n3183n6</v>
          </cell>
          <cell r="C10306" t="str">
            <v>Phosphatidylcholine(22:6(4Z,7Z,10Z,13Z,16Z,19Z)/18:3(6Z,9Z,12Z))</v>
          </cell>
        </row>
        <row r="10307">
          <cell r="A10307" t="str">
            <v>pc160183n3_c</v>
          </cell>
          <cell r="B10307" t="str">
            <v>pc160183n3</v>
          </cell>
          <cell r="C10307" t="str">
            <v>Phosphatidylcholine(16:0/18:3(9Z,12Z,15Z))</v>
          </cell>
        </row>
        <row r="10308">
          <cell r="A10308" t="str">
            <v>pc1619Z183n3_c</v>
          </cell>
          <cell r="B10308" t="str">
            <v>pc1619Z183n3</v>
          </cell>
          <cell r="C10308" t="str">
            <v>Phosphatidylcholine(16:1(9Z)/18:3(9Z,12Z,15Z))</v>
          </cell>
        </row>
        <row r="10309">
          <cell r="A10309" t="str">
            <v>pc182n6183n3_c</v>
          </cell>
          <cell r="B10309" t="str">
            <v>pc182n6183n3</v>
          </cell>
          <cell r="C10309" t="str">
            <v>Phosphatidylcholine(18:2(9Z,12Z)/18:3(9Z,12Z,15Z))</v>
          </cell>
        </row>
        <row r="10310">
          <cell r="A10310" t="str">
            <v>pc140184n3_c</v>
          </cell>
          <cell r="B10310" t="str">
            <v>pc140184n3</v>
          </cell>
          <cell r="C10310" t="str">
            <v>Phosphatidylcholine(14:0/18:4(6Z,9Z,12Z,15Z))</v>
          </cell>
        </row>
        <row r="10311">
          <cell r="A10311" t="str">
            <v>pc180184n3_c</v>
          </cell>
          <cell r="B10311" t="str">
            <v>pc180184n3</v>
          </cell>
          <cell r="C10311" t="str">
            <v>Phosphatidylcholine(18:0/18:4(6Z,9Z,12Z,15Z))</v>
          </cell>
        </row>
        <row r="10312">
          <cell r="A10312" t="str">
            <v>tmndnc_h</v>
          </cell>
          <cell r="B10312" t="str">
            <v>tmndnc</v>
          </cell>
          <cell r="C10312" t="str">
            <v>Timnodonic acid C20:5, n-3</v>
          </cell>
        </row>
        <row r="10313">
          <cell r="A10313" t="str">
            <v>hd6912ea_h</v>
          </cell>
          <cell r="B10313" t="str">
            <v>hd6912ea</v>
          </cell>
          <cell r="C10313" t="str">
            <v>(6Z,9Z,12Z)-hexadecatrienoate (C16:3)</v>
          </cell>
        </row>
        <row r="10314">
          <cell r="A10314" t="str">
            <v>behencoa_c</v>
          </cell>
          <cell r="B10314" t="str">
            <v>behencoa</v>
          </cell>
          <cell r="C10314" t="str">
            <v>Docosanoyl-CoA</v>
          </cell>
        </row>
        <row r="10315">
          <cell r="A10315" t="str">
            <v>1agpc180_c</v>
          </cell>
          <cell r="B10315" t="str">
            <v>1agpc180</v>
          </cell>
          <cell r="C10315" t="str">
            <v>1-18:0-2-lysophosphatidylcholine</v>
          </cell>
        </row>
        <row r="10316">
          <cell r="A10316" t="str">
            <v>1agpc205_c</v>
          </cell>
          <cell r="B10316" t="str">
            <v>1agpc205</v>
          </cell>
          <cell r="C10316" t="str">
            <v>1-20:5(5Z,8Z,11Z,14Z,17Z)-2-lysophosphatidylcholine</v>
          </cell>
        </row>
        <row r="10317">
          <cell r="A10317" t="str">
            <v>3odocoscoa_c</v>
          </cell>
          <cell r="B10317" t="str">
            <v>3odocoscoa</v>
          </cell>
          <cell r="C10317" t="str">
            <v>3-oxo-docosanoyl-CoA</v>
          </cell>
        </row>
        <row r="10318">
          <cell r="A10318" t="str">
            <v>ttc2coa_c</v>
          </cell>
          <cell r="B10318" t="str">
            <v>ttc2coa</v>
          </cell>
          <cell r="C10318" t="str">
            <v>(2E)-tetracosenoyl-CoA</v>
          </cell>
        </row>
        <row r="10319">
          <cell r="A10319" t="str">
            <v>pc160203n6_c</v>
          </cell>
          <cell r="B10319" t="str">
            <v>pc160203n6</v>
          </cell>
          <cell r="C10319" t="str">
            <v>Phosphatidylcholine(16:0/20:3(8Z,11Z,14Z))</v>
          </cell>
        </row>
        <row r="10320">
          <cell r="A10320" t="str">
            <v>pc1619Z203n6_c</v>
          </cell>
          <cell r="B10320" t="str">
            <v>pc1619Z203n6</v>
          </cell>
          <cell r="C10320" t="str">
            <v>Phosphatidylcholine(16:1(9Z)/20:3(8Z,11Z,14Z))</v>
          </cell>
        </row>
        <row r="10321">
          <cell r="A10321" t="str">
            <v>pc180203n6_c</v>
          </cell>
          <cell r="B10321" t="str">
            <v>pc180203n6</v>
          </cell>
          <cell r="C10321" t="str">
            <v>Phosphatidylcholine(18:0/20:3(8Z,11Z,14Z))</v>
          </cell>
        </row>
        <row r="10322">
          <cell r="A10322" t="str">
            <v>pc182n6203n3_c</v>
          </cell>
          <cell r="B10322" t="str">
            <v>pc182n6203n3</v>
          </cell>
          <cell r="C10322" t="str">
            <v>Phosphatidylcholine(18:2(9Z,12Z)/20:4(8Z,11Z,14Z,17Z))</v>
          </cell>
        </row>
        <row r="10323">
          <cell r="A10323" t="str">
            <v>pc1819Z203n6_c</v>
          </cell>
          <cell r="B10323" t="str">
            <v>pc1819Z203n6</v>
          </cell>
          <cell r="C10323" t="str">
            <v>Phosphatidylcholine(18:1(9Z)/20:3(8Z,11Z,14Z))</v>
          </cell>
        </row>
        <row r="10324">
          <cell r="A10324" t="str">
            <v>pc205n3203n3_c</v>
          </cell>
          <cell r="B10324" t="str">
            <v>pc205n3203n3</v>
          </cell>
          <cell r="C10324" t="str">
            <v>Phosphatidylcholine(20:5(5Z,8Z,11Z,14Z,17Z)/20:4(8Z,11Z,14Z,17Z))</v>
          </cell>
        </row>
        <row r="10325">
          <cell r="A10325" t="str">
            <v>pc205n3203n6_c</v>
          </cell>
          <cell r="B10325" t="str">
            <v>pc205n3203n6</v>
          </cell>
          <cell r="C10325" t="str">
            <v>Phosphatidylcholine(20:5(5Z,8Z,11Z,14Z,17Z)/20:3(8Z,11Z,14Z))</v>
          </cell>
        </row>
        <row r="10326">
          <cell r="A10326" t="str">
            <v>pc226n3203n3_c</v>
          </cell>
          <cell r="B10326" t="str">
            <v>pc226n3203n3</v>
          </cell>
          <cell r="C10326" t="str">
            <v>Phosphatidylcholine(22:6(4Z,7Z,10Z,13Z,16Z,19Z)/20:4(8Z,11Z,14Z,17Z))</v>
          </cell>
        </row>
        <row r="10327">
          <cell r="A10327" t="str">
            <v>pc182n6204n6_c</v>
          </cell>
          <cell r="B10327" t="str">
            <v>pc182n6204n6</v>
          </cell>
          <cell r="C10327" t="str">
            <v>Phosphatidylcholine(18:2(9Z,12Z)/20:4(5Z,8Z,11Z,14Z))</v>
          </cell>
        </row>
        <row r="10328">
          <cell r="A10328" t="str">
            <v>pc182n6225n3_c</v>
          </cell>
          <cell r="B10328" t="str">
            <v>pc182n6225n3</v>
          </cell>
          <cell r="C10328" t="str">
            <v>Phosphatidylcholine(18:2(9Z,12Z)/22:5(7Z,10Z,13Z,16Z,19Z))</v>
          </cell>
        </row>
        <row r="10329">
          <cell r="A10329" t="str">
            <v>pc1819Z225n3_c</v>
          </cell>
          <cell r="B10329" t="str">
            <v>pc1819Z225n3</v>
          </cell>
          <cell r="C10329" t="str">
            <v>Phosphatidylcholine(18:1(9Z)/22:5(7Z,10Z,13Z,16Z,19Z))</v>
          </cell>
        </row>
        <row r="10330">
          <cell r="A10330" t="str">
            <v>pc205n3225n3_c</v>
          </cell>
          <cell r="B10330" t="str">
            <v>pc205n3225n3</v>
          </cell>
          <cell r="C10330" t="str">
            <v>Phosphatidylcholine(20:5(5Z,8Z,11Z,14Z,17Z)/22:5(7Z,10Z,13Z,16Z,19Z))</v>
          </cell>
        </row>
        <row r="10331">
          <cell r="A10331" t="str">
            <v>pa182n6140_c</v>
          </cell>
          <cell r="B10331" t="str">
            <v>pa182n6140</v>
          </cell>
          <cell r="C10331" t="str">
            <v>1-9,12-octadecadienoyl-2-tetradecanoyl-sn-glycerol-3-phosphate</v>
          </cell>
        </row>
        <row r="10332">
          <cell r="A10332" t="str">
            <v>pa182n61819Z_c</v>
          </cell>
          <cell r="B10332" t="str">
            <v>pa182n61819Z</v>
          </cell>
          <cell r="C10332" t="str">
            <v>1-9,12-octadecadienoyl-2-9-octadecenoyl-sn-glycerol-3-phosphate</v>
          </cell>
        </row>
        <row r="10333">
          <cell r="A10333" t="str">
            <v>pa1819Z182n6_c</v>
          </cell>
          <cell r="B10333" t="str">
            <v>pa1819Z182n6</v>
          </cell>
          <cell r="C10333" t="str">
            <v>1-9-octadecenoyl-2-9,12-octadecadienoyl-sn-glycerol-3-phosphate</v>
          </cell>
        </row>
        <row r="10334">
          <cell r="A10334" t="str">
            <v>pa1819Z183n6_c</v>
          </cell>
          <cell r="B10334" t="str">
            <v>pa1819Z183n6</v>
          </cell>
          <cell r="C10334" t="str">
            <v>1-9-octadecenoyl-2-6,9,12-octadecatrienoyl-sn-glycerol-3-phosphate</v>
          </cell>
        </row>
        <row r="10335">
          <cell r="A10335" t="str">
            <v>pa1819Z183n3_c</v>
          </cell>
          <cell r="B10335" t="str">
            <v>pa1819Z183n3</v>
          </cell>
          <cell r="C10335" t="str">
            <v>1-9-octadecenoyl-2-9,12,15-octadecatrienoyl-sn-glycerol-3-phosphate</v>
          </cell>
        </row>
        <row r="10336">
          <cell r="A10336" t="str">
            <v>12dgr226n3182n6_c</v>
          </cell>
          <cell r="B10336" t="str">
            <v>12dgr226n3182n6</v>
          </cell>
          <cell r="C10336" t="str">
            <v>1,2-Diacyl-sn-glycerol(22:6(4Z,7Z,10Z,13Z,16Z,19Z)/18:2(9Z,12Z))</v>
          </cell>
        </row>
        <row r="10337">
          <cell r="A10337" t="str">
            <v>12dgr205n3183n6_c</v>
          </cell>
          <cell r="B10337" t="str">
            <v>12dgr205n3183n6</v>
          </cell>
          <cell r="C10337" t="str">
            <v>1,2-Diacyl-sn-glycerol(20:5(5Z,8Z,11Z,14Z,17Z)/18:3(6Z,9Z,12Z))</v>
          </cell>
        </row>
        <row r="10338">
          <cell r="A10338" t="str">
            <v>12dgr1619Z183n3_c</v>
          </cell>
          <cell r="B10338" t="str">
            <v>12dgr1619Z183n3</v>
          </cell>
          <cell r="C10338" t="str">
            <v>1,2-Diacyl-sn-glycerol(16:1(9Z)/18:3(9Z,12Z,15Z))</v>
          </cell>
        </row>
        <row r="10339">
          <cell r="A10339" t="str">
            <v>12dgr180183n3_c</v>
          </cell>
          <cell r="B10339" t="str">
            <v>12dgr180183n3</v>
          </cell>
          <cell r="C10339" t="str">
            <v>1,2-Diacyl-sn-glycerol(18:0/18:3(9Z,12Z,15Z))</v>
          </cell>
        </row>
        <row r="10340">
          <cell r="A10340" t="str">
            <v>12dgr205n3183n3_c</v>
          </cell>
          <cell r="B10340" t="str">
            <v>12dgr205n3183n3</v>
          </cell>
          <cell r="C10340" t="str">
            <v>1,2-Diacyl-sn-glycerol(20:5(5Z,8Z,11Z,14Z,17Z)/18:3(9Z,12Z,15Z))</v>
          </cell>
        </row>
        <row r="10341">
          <cell r="A10341" t="str">
            <v>cdp12dgr182_9_12_c</v>
          </cell>
          <cell r="B10341" t="str">
            <v>cdp12dgr182_9_12</v>
          </cell>
          <cell r="C10341" t="str">
            <v>CDP-1,2-diacyl-sn-glycerol(18:2(9Z,12Z)/18:2(9Z,12Z))</v>
          </cell>
        </row>
        <row r="10342">
          <cell r="A10342" t="str">
            <v>cdp12dgr205n3182n6_c</v>
          </cell>
          <cell r="B10342" t="str">
            <v>cdp12dgr205n3182n6</v>
          </cell>
          <cell r="C10342" t="str">
            <v>CDP-1,2-diacyl-sn-glycerol(20:5(5Z,8Z,11Z,14Z,17Z)/18:2(9Z,12Z))</v>
          </cell>
        </row>
        <row r="10343">
          <cell r="A10343" t="str">
            <v>pe140180_c</v>
          </cell>
          <cell r="B10343" t="str">
            <v>pe140180</v>
          </cell>
          <cell r="C10343" t="str">
            <v>Phosphatidylethanolamine(14:0/18:0)</v>
          </cell>
        </row>
        <row r="10344">
          <cell r="A10344" t="str">
            <v>pe160226n3_c</v>
          </cell>
          <cell r="B10344" t="str">
            <v>pe160226n3</v>
          </cell>
          <cell r="C10344" t="str">
            <v>Phosphatidylethanolamine(16:0/22:6(4Z,7Z,10Z,13Z,16Z,19Z))</v>
          </cell>
        </row>
        <row r="10345">
          <cell r="A10345" t="str">
            <v>pe1619Z226n3_c</v>
          </cell>
          <cell r="B10345" t="str">
            <v>pe1619Z226n3</v>
          </cell>
          <cell r="C10345" t="str">
            <v>Phosphatidylethanolamine(16:1(9Z)/22:6(4Z,7Z,10Z,13Z,16Z,19Z))</v>
          </cell>
        </row>
        <row r="10346">
          <cell r="A10346" t="str">
            <v>pe180205n3_c</v>
          </cell>
          <cell r="B10346" t="str">
            <v>pe180205n3</v>
          </cell>
          <cell r="C10346" t="str">
            <v>Phosphatidylethanolamine(18:0/20:5(5Z,8Z,11Z,14Z,17Z))</v>
          </cell>
        </row>
        <row r="10347">
          <cell r="A10347" t="str">
            <v>pe205n31619Z_c</v>
          </cell>
          <cell r="B10347" t="str">
            <v>pe205n31619Z</v>
          </cell>
          <cell r="C10347" t="str">
            <v>Phosphatidylethanolamine(20:5(5Z,8Z,11Z,14Z,17Z)/16:1(9Z))</v>
          </cell>
        </row>
        <row r="10348">
          <cell r="A10348" t="str">
            <v>pe226n3160_c</v>
          </cell>
          <cell r="B10348" t="str">
            <v>pe226n3160</v>
          </cell>
          <cell r="C10348" t="str">
            <v>Phosphatidylethanolamine(22:6(4Z,7Z,10Z,13Z,16Z,19Z)/16:0)</v>
          </cell>
        </row>
        <row r="10349">
          <cell r="A10349" t="str">
            <v>pe226n31819Z_c</v>
          </cell>
          <cell r="B10349" t="str">
            <v>pe226n31819Z</v>
          </cell>
          <cell r="C10349" t="str">
            <v>Phosphatidylethanolamine(22:6(4Z,7Z,10Z,13Z,16Z,19Z)/18:1(9Z))</v>
          </cell>
        </row>
        <row r="10350">
          <cell r="A10350" t="str">
            <v>pe140182n6_c</v>
          </cell>
          <cell r="B10350" t="str">
            <v>pe140182n6</v>
          </cell>
          <cell r="C10350" t="str">
            <v>Phosphatidylethanolamine(14:0/18:2(9Z,12Z))</v>
          </cell>
        </row>
        <row r="10351">
          <cell r="A10351" t="str">
            <v>pe182n6205n3_c</v>
          </cell>
          <cell r="B10351" t="str">
            <v>pe182n6205n3</v>
          </cell>
          <cell r="C10351" t="str">
            <v>Phosphatidylethanolamine(18:2(9Z,12Z)/20:5(5Z,8Z,11Z,14Z,17Z))</v>
          </cell>
        </row>
        <row r="10352">
          <cell r="A10352" t="str">
            <v>pe226n3182n6_c</v>
          </cell>
          <cell r="B10352" t="str">
            <v>pe226n3182n6</v>
          </cell>
          <cell r="C10352" t="str">
            <v>Phosphatidylethanolamine(22:6(4Z,7Z,10Z,13Z,16Z,19Z)/18:2(9Z,12Z))</v>
          </cell>
        </row>
        <row r="10353">
          <cell r="A10353" t="str">
            <v>pe1619Z183n6_c</v>
          </cell>
          <cell r="B10353" t="str">
            <v>pe1619Z183n6</v>
          </cell>
          <cell r="C10353" t="str">
            <v>Phosphatidylethanolamine(16:1(9Z)/18:3(6Z,9Z,12Z))</v>
          </cell>
        </row>
        <row r="10354">
          <cell r="A10354" t="str">
            <v>pe160183n3_c</v>
          </cell>
          <cell r="B10354" t="str">
            <v>pe160183n3</v>
          </cell>
          <cell r="C10354" t="str">
            <v>Phosphatidylethanolamine(16:0/18:3(9Z,12Z,15Z))</v>
          </cell>
        </row>
        <row r="10355">
          <cell r="A10355" t="str">
            <v>pe1819Z183n3_c</v>
          </cell>
          <cell r="B10355" t="str">
            <v>pe1819Z183n3</v>
          </cell>
          <cell r="C10355" t="str">
            <v>Phosphatidylethanolamine(18:1(9Z)/18:3(9Z,12Z,15Z))</v>
          </cell>
        </row>
        <row r="10356">
          <cell r="A10356" t="str">
            <v>pe140204n6_c</v>
          </cell>
          <cell r="B10356" t="str">
            <v>pe140204n6</v>
          </cell>
          <cell r="C10356" t="str">
            <v>Phosphatidylethanolamine(14:0/20:4(5Z,8Z,11Z,14Z))</v>
          </cell>
        </row>
        <row r="10357">
          <cell r="A10357" t="str">
            <v>pe1619Z204n6_c</v>
          </cell>
          <cell r="B10357" t="str">
            <v>pe1619Z204n6</v>
          </cell>
          <cell r="C10357" t="str">
            <v>Phosphatidylethanolamine(16:1(9Z)/20:4(5Z,8Z,11Z,14Z))</v>
          </cell>
        </row>
        <row r="10358">
          <cell r="A10358" t="str">
            <v>pe182n6204n6_c</v>
          </cell>
          <cell r="B10358" t="str">
            <v>pe182n6204n6</v>
          </cell>
          <cell r="C10358" t="str">
            <v>Phosphatidylethanolamine(18:2(9Z,12Z)/20:4(5Z,8Z,11Z,14Z))</v>
          </cell>
        </row>
        <row r="10359">
          <cell r="A10359" t="str">
            <v>pe205n3204n6_c</v>
          </cell>
          <cell r="B10359" t="str">
            <v>pe205n3204n6</v>
          </cell>
          <cell r="C10359" t="str">
            <v>Phosphatidylethanolamine(20:5(5Z,8Z,11Z,14Z,17Z)/20:4(5Z,8Z,11Z,14Z))</v>
          </cell>
        </row>
        <row r="10360">
          <cell r="A10360" t="str">
            <v>pail1601619Z_c</v>
          </cell>
          <cell r="B10360" t="str">
            <v>pail1601619Z</v>
          </cell>
          <cell r="C10360" t="str">
            <v>Phosphatidylinositol(16:0/16:1(9Z))</v>
          </cell>
        </row>
        <row r="10361">
          <cell r="A10361" t="str">
            <v>pail1619Z160_c</v>
          </cell>
          <cell r="B10361" t="str">
            <v>pail1619Z160</v>
          </cell>
          <cell r="C10361" t="str">
            <v>Phosphatidylinositol(16:1(9Z)/16:0)</v>
          </cell>
        </row>
        <row r="10362">
          <cell r="A10362" t="str">
            <v>pail205n31619Z_c</v>
          </cell>
          <cell r="B10362" t="str">
            <v>pail205n31619Z</v>
          </cell>
          <cell r="C10362" t="str">
            <v>Phosphatidylinositol(20:5(5Z,8Z,11Z,14Z,17Z)/16:1(9Z))</v>
          </cell>
        </row>
        <row r="10363">
          <cell r="A10363" t="str">
            <v>pail182n61619Z_c</v>
          </cell>
          <cell r="B10363" t="str">
            <v>pail182n61619Z</v>
          </cell>
          <cell r="C10363" t="str">
            <v>Phosphatidylinositol(18:2(9Z,12Z)/16:1(9Z))</v>
          </cell>
        </row>
        <row r="10364">
          <cell r="A10364" t="str">
            <v>pail4p160205n3_c</v>
          </cell>
          <cell r="B10364" t="str">
            <v>pail4p160205n3</v>
          </cell>
          <cell r="C10364" t="str">
            <v>1-Phosphatidyl-1D-myo-inositol 4-phosphate(16:0/20:5(5Z,8Z,11Z,14Z,17Z))</v>
          </cell>
        </row>
        <row r="10365">
          <cell r="A10365" t="str">
            <v>pail4p161_c</v>
          </cell>
          <cell r="B10365" t="str">
            <v>pail4p161</v>
          </cell>
          <cell r="C10365" t="str">
            <v>1-Phosphatidyl-1D-myo-inositol 4-phosphate(16:1(9Z)/16:1(9Z))</v>
          </cell>
        </row>
        <row r="10366">
          <cell r="A10366" t="str">
            <v>pail4p1619Z205n3_c</v>
          </cell>
          <cell r="B10366" t="str">
            <v>pail4p1619Z205n3</v>
          </cell>
          <cell r="C10366" t="str">
            <v>1-Phosphatidyl-1D-myo-inositol 4-phosphate(16:1(9Z)/20:5(5Z,8Z,11Z,14Z,17Z))</v>
          </cell>
        </row>
        <row r="10367">
          <cell r="A10367" t="str">
            <v>pail45p160_c</v>
          </cell>
          <cell r="B10367" t="str">
            <v>pail45p160</v>
          </cell>
          <cell r="C10367" t="str">
            <v>1-Phosphatidyl-1D-myo-inositol 4,5-bisphosphate(16:0/16:0)</v>
          </cell>
        </row>
        <row r="10368">
          <cell r="A10368" t="str">
            <v>pail45p205n3160_c</v>
          </cell>
          <cell r="B10368" t="str">
            <v>pail45p205n3160</v>
          </cell>
          <cell r="C10368" t="str">
            <v>1-Phosphatidyl-1D-myo-inositol 4,5-bisphosphate(20:5(5Z,8Z,11Z,14Z,17Z)/16:0)</v>
          </cell>
        </row>
        <row r="10369">
          <cell r="A10369" t="str">
            <v>pail45p160182n6_c</v>
          </cell>
          <cell r="B10369" t="str">
            <v>pail45p160182n6</v>
          </cell>
          <cell r="C10369" t="str">
            <v>1-Phosphatidyl-1D-myo-inositol 4,5-bisphosphate(16:0/18:2(9Z,12Z))</v>
          </cell>
        </row>
        <row r="10370">
          <cell r="A10370" t="str">
            <v>pail45p182n6205n3_c</v>
          </cell>
          <cell r="B10370" t="str">
            <v>pail45p182n6205n3</v>
          </cell>
          <cell r="C10370" t="str">
            <v>1-Phosphatidyl-1D-myo-inositol 4,5-bisphosphate(18:2(9Z,12Z)/20:5(5Z,8Z,11Z,14Z,17Z))</v>
          </cell>
        </row>
        <row r="10371">
          <cell r="A10371" t="str">
            <v>pail3p160_c</v>
          </cell>
          <cell r="B10371" t="str">
            <v>pail3p160</v>
          </cell>
          <cell r="C10371" t="str">
            <v>1-Phosphatidyl-1D-myo-inositol 3-phosphate(16:0/16:0)</v>
          </cell>
        </row>
        <row r="10372">
          <cell r="A10372" t="str">
            <v>pail3p160205n3_c</v>
          </cell>
          <cell r="B10372" t="str">
            <v>pail3p160205n3</v>
          </cell>
          <cell r="C10372" t="str">
            <v>1-Phosphatidyl-1D-myo-inositol 3-phosphate(16:0/20:5(5Z,8Z,11Z,14Z,17Z))</v>
          </cell>
        </row>
        <row r="10373">
          <cell r="A10373" t="str">
            <v>pail3p1619Z160_c</v>
          </cell>
          <cell r="B10373" t="str">
            <v>pail3p1619Z160</v>
          </cell>
          <cell r="C10373" t="str">
            <v>1-Phosphatidyl-1D-myo-inositol 3-phosphate(16:1(9Z)/16:0)</v>
          </cell>
        </row>
        <row r="10374">
          <cell r="A10374" t="str">
            <v>pail3p205n31619Z_c</v>
          </cell>
          <cell r="B10374" t="str">
            <v>pail3p205n31619Z</v>
          </cell>
          <cell r="C10374" t="str">
            <v>1-Phosphatidyl-1D-myo-inositol 3-phosphate(20:5(5Z,8Z,11Z,14Z,17Z)/16:1(9Z))</v>
          </cell>
        </row>
        <row r="10375">
          <cell r="A10375" t="str">
            <v>pail3p182n6160_c</v>
          </cell>
          <cell r="B10375" t="str">
            <v>pail3p182n6160</v>
          </cell>
          <cell r="C10375" t="str">
            <v>1-Phosphatidyl-1D-myo-inositol 3-phosphate(18:2(9Z,12Z)/16:0)</v>
          </cell>
        </row>
        <row r="10376">
          <cell r="A10376" t="str">
            <v>pail3p182n6205n3_c</v>
          </cell>
          <cell r="B10376" t="str">
            <v>pail3p182n6205n3</v>
          </cell>
          <cell r="C10376" t="str">
            <v>1-Phosphatidyl-1D-myo-inositol 3-phosphate(18:2(9Z,12Z)/20:5(5Z,8Z,11Z,14Z,17Z))</v>
          </cell>
        </row>
        <row r="10377">
          <cell r="A10377" t="str">
            <v>pail3p205n3182n6_c</v>
          </cell>
          <cell r="B10377" t="str">
            <v>pail3p205n3182n6</v>
          </cell>
          <cell r="C10377" t="str">
            <v>1-Phosphatidyl-1D-myo-inositol 3-phosphate(20:5(5Z,8Z,11Z,14Z,17Z)/18:2(9Z,12Z))</v>
          </cell>
        </row>
        <row r="10378">
          <cell r="A10378" t="str">
            <v>tag1619Z140183n6_c</v>
          </cell>
          <cell r="B10378" t="str">
            <v>tag1619Z140183n6</v>
          </cell>
          <cell r="C10378" t="str">
            <v>Triacylglycerol (16:1(9Z)/14:0/18:3(6Z,9Z,12Z))</v>
          </cell>
        </row>
        <row r="10379">
          <cell r="A10379" t="str">
            <v>tag1819Z160160_c</v>
          </cell>
          <cell r="B10379" t="str">
            <v>tag1819Z160160</v>
          </cell>
          <cell r="C10379" t="str">
            <v>Triacylglycerol (18:1(9Z)/16:0/16:0)</v>
          </cell>
        </row>
        <row r="10380">
          <cell r="A10380" t="str">
            <v>tag160160182n6_c</v>
          </cell>
          <cell r="B10380" t="str">
            <v>tag160160182n6</v>
          </cell>
          <cell r="C10380" t="str">
            <v>Triacylglycerol (16:0/16:0/18:2(9Z,12Z))</v>
          </cell>
        </row>
        <row r="10381">
          <cell r="A10381" t="str">
            <v>tag182n6205n3182n6_c</v>
          </cell>
          <cell r="B10381" t="str">
            <v>tag182n6205n3182n6</v>
          </cell>
          <cell r="C10381" t="str">
            <v>Triacylglycerol (18:2(9Z,12Z)/20:5(5Z,8Z,11Z,14Z,17Z)/18:2(9Z,12Z))</v>
          </cell>
        </row>
        <row r="10382">
          <cell r="A10382" t="str">
            <v>tag182n6205n3183n6_c</v>
          </cell>
          <cell r="B10382" t="str">
            <v>tag182n6205n3183n6</v>
          </cell>
          <cell r="C10382" t="str">
            <v>Triacylglycerol (18:2(9Z,12Z)/20:5(5Z,8Z,11Z,14Z,17Z)/18:3(6Z,9Z,12Z))</v>
          </cell>
        </row>
        <row r="10383">
          <cell r="A10383" t="str">
            <v>tag140205n3183n6_c</v>
          </cell>
          <cell r="B10383" t="str">
            <v>tag140205n3183n6</v>
          </cell>
          <cell r="C10383" t="str">
            <v>Triacylglycerol (14:0/20:5(5Z,8Z,11Z,14Z,17Z)/18:3(6Z,9Z,12Z))</v>
          </cell>
        </row>
        <row r="10384">
          <cell r="A10384" t="str">
            <v>tag140205n3226n3_c</v>
          </cell>
          <cell r="B10384" t="str">
            <v>tag140205n3226n3</v>
          </cell>
          <cell r="C10384" t="str">
            <v>Triacylglycerol (14:0/20:5(5Z,8Z,11Z,14Z,17Z)/22:6(4Z,7Z,10Z,13Z,16Z,19Z))</v>
          </cell>
        </row>
        <row r="10385">
          <cell r="A10385" t="str">
            <v>tag140205n3182n6_c</v>
          </cell>
          <cell r="B10385" t="str">
            <v>tag140205n3182n6</v>
          </cell>
          <cell r="C10385" t="str">
            <v>Triacylglycerol (14:0/20:5(5Z,8Z,11Z,14Z,17Z)/18:2(9Z,12Z))</v>
          </cell>
        </row>
        <row r="10386">
          <cell r="A10386" t="str">
            <v>tag140205n3140_c</v>
          </cell>
          <cell r="B10386" t="str">
            <v>tag140205n3140</v>
          </cell>
          <cell r="C10386" t="str">
            <v>Triacylglycerol (14:0/20:5(5Z,8Z,11Z,14Z,17Z)/14:0)</v>
          </cell>
        </row>
        <row r="10387">
          <cell r="A10387" t="str">
            <v>tag1619Z140160_c</v>
          </cell>
          <cell r="B10387" t="str">
            <v>tag1619Z140160</v>
          </cell>
          <cell r="C10387" t="str">
            <v>Triacylglycerol (16:1(9Z)/14:0/16:0)</v>
          </cell>
        </row>
        <row r="10388">
          <cell r="A10388" t="str">
            <v>tag160205n3204n6_c</v>
          </cell>
          <cell r="B10388" t="str">
            <v>tag160205n3204n6</v>
          </cell>
          <cell r="C10388" t="str">
            <v>Triacylglycerol (16:0/20:5(5Z,8Z,11Z,14Z,17Z)/20:4(5Z,8Z,11Z,14Z))</v>
          </cell>
        </row>
        <row r="10389">
          <cell r="A10389" t="str">
            <v>tag160205n3183n6_c</v>
          </cell>
          <cell r="B10389" t="str">
            <v>tag160205n3183n6</v>
          </cell>
          <cell r="C10389" t="str">
            <v>Triacylglycerol (16:0/20:5(5Z,8Z,11Z,14Z,17Z)/18:3(6Z,9Z,12Z))</v>
          </cell>
        </row>
        <row r="10390">
          <cell r="A10390" t="str">
            <v>tag160205n3226n3_c</v>
          </cell>
          <cell r="B10390" t="str">
            <v>tag160205n3226n3</v>
          </cell>
          <cell r="C10390" t="str">
            <v>Triacylglycerol (16:0/20:5(5Z,8Z,11Z,14Z,17Z)/22:6(4Z,7Z,10Z,13Z,16Z,19Z))</v>
          </cell>
        </row>
        <row r="10391">
          <cell r="A10391" t="str">
            <v>tag1619Z204n61619Z_c</v>
          </cell>
          <cell r="B10391" t="str">
            <v>tag1619Z204n61619Z</v>
          </cell>
          <cell r="C10391" t="str">
            <v>Triacylglycerol (16:1(9Z)/20:4(5Z,8Z,11Z,14Z)/16:1(9Z))</v>
          </cell>
        </row>
        <row r="10392">
          <cell r="A10392" t="str">
            <v>tag1601619Z160_c</v>
          </cell>
          <cell r="B10392" t="str">
            <v>tag1601619Z160</v>
          </cell>
          <cell r="C10392" t="str">
            <v>Triacylglycerol (16:0/16:1(9Z)/16:0)</v>
          </cell>
        </row>
        <row r="10393">
          <cell r="A10393" t="str">
            <v>tag1619Z205n3204n6_c</v>
          </cell>
          <cell r="B10393" t="str">
            <v>tag1619Z205n3204n6</v>
          </cell>
          <cell r="C10393" t="str">
            <v>Triacylglycerol (16:1(9Z)/20:5(5Z,8Z,11Z,14Z,17Z)/20:4(5Z,8Z,11Z,14Z))</v>
          </cell>
        </row>
        <row r="10394">
          <cell r="A10394" t="str">
            <v>tag1619Z205n3226n3_c</v>
          </cell>
          <cell r="B10394" t="str">
            <v>tag1619Z205n3226n3</v>
          </cell>
          <cell r="C10394" t="str">
            <v>Triacylglycerol (16:1(9Z)/20:5(5Z,8Z,11Z,14Z,17Z)/22:6(4Z,7Z,10Z,13Z,16Z,19Z))</v>
          </cell>
        </row>
        <row r="10395">
          <cell r="A10395" t="str">
            <v>tag1619Z205n3182n6_c</v>
          </cell>
          <cell r="B10395" t="str">
            <v>tag1619Z205n3182n6</v>
          </cell>
          <cell r="C10395" t="str">
            <v>Triacylglycerol (16:1(9Z)/20:5(5Z,8Z,11Z,14Z,17Z)/18:2(9Z,12Z))</v>
          </cell>
        </row>
        <row r="10396">
          <cell r="A10396" t="str">
            <v>tag160205n3160_c</v>
          </cell>
          <cell r="B10396" t="str">
            <v>tag160205n3160</v>
          </cell>
          <cell r="C10396" t="str">
            <v>Triacylglycerol (16:0/20:5(5Z,8Z,11Z,14Z,17Z)/16:0)</v>
          </cell>
        </row>
        <row r="10397">
          <cell r="A10397" t="str">
            <v>tag1601619Z1619Z_c</v>
          </cell>
          <cell r="B10397" t="str">
            <v>tag1601619Z1619Z</v>
          </cell>
          <cell r="C10397" t="str">
            <v>Triacylglycerol (16:0/16:1(9Z)/16:1(9Z))</v>
          </cell>
        </row>
        <row r="10398">
          <cell r="A10398" t="str">
            <v>tag205n3205n3183n6_c</v>
          </cell>
          <cell r="B10398" t="str">
            <v>tag205n3205n3183n6</v>
          </cell>
          <cell r="C10398" t="str">
            <v>Triacylglycerol (20:5(5Z,8Z,11Z,14Z,17Z)/20:5(5Z,8Z,11Z,14Z,17Z)/18:3(6Z,9Z,12Z))</v>
          </cell>
        </row>
        <row r="10399">
          <cell r="A10399" t="str">
            <v>tag1619Z205n3160_c</v>
          </cell>
          <cell r="B10399" t="str">
            <v>tag1619Z205n3160</v>
          </cell>
          <cell r="C10399" t="str">
            <v>Triacylglycerol (16:1(9Z)/20:5(5Z,8Z,11Z,14Z,17Z)/16:0)</v>
          </cell>
        </row>
        <row r="10400">
          <cell r="A10400" t="str">
            <v>tag160205n3205n3_c</v>
          </cell>
          <cell r="B10400" t="str">
            <v>tag160205n3205n3</v>
          </cell>
          <cell r="C10400" t="str">
            <v>Triacylglycerol (16:0/20:5(5Z,8Z,11Z,14Z,17Z)/20:5(5Z,8Z,11Z,14Z,17Z))</v>
          </cell>
        </row>
        <row r="10401">
          <cell r="A10401" t="str">
            <v>tag1619Z205n31619Z_c</v>
          </cell>
          <cell r="B10401" t="str">
            <v>tag1619Z205n31619Z</v>
          </cell>
          <cell r="C10401" t="str">
            <v>Triacylglycerol (16:1(9Z)/20:5(5Z,8Z,11Z,14Z,17Z)/16:1(9Z))</v>
          </cell>
        </row>
        <row r="10402">
          <cell r="A10402" t="str">
            <v>tag1619Z1619Z1619Z_c</v>
          </cell>
          <cell r="B10402" t="str">
            <v>tag1619Z1619Z1619Z</v>
          </cell>
          <cell r="C10402" t="str">
            <v>Triacylglycerol (16:1(9Z)/16:1(9Z)/16:1(9Z))</v>
          </cell>
        </row>
        <row r="10403">
          <cell r="A10403" t="str">
            <v>tag205n3205n3204n6_c</v>
          </cell>
          <cell r="B10403" t="str">
            <v>tag205n3205n3204n6</v>
          </cell>
          <cell r="C10403" t="str">
            <v>Triacylglycerol (20:5(5Z,8Z,11Z,14Z,17Z)/20:5(5Z,8Z,11Z,14Z,17Z)/20:4(5Z,8Z,11Z,14Z))</v>
          </cell>
        </row>
        <row r="10404">
          <cell r="A10404" t="str">
            <v>mag182n6_c</v>
          </cell>
          <cell r="B10404" t="str">
            <v>mag182n6</v>
          </cell>
          <cell r="C10404" t="str">
            <v>1-acylglycerol (18:2(9Z,12Z))</v>
          </cell>
        </row>
        <row r="10405">
          <cell r="A10405" t="str">
            <v>pa205n31619Z_h</v>
          </cell>
          <cell r="B10405" t="str">
            <v>pa205n31619Z</v>
          </cell>
          <cell r="C10405" t="str">
            <v>1-5,8,11,14,17-eicosapentaenoyl-2-9-hexadecenoyl-sn-glycerol-3-phosphate</v>
          </cell>
        </row>
        <row r="10406">
          <cell r="A10406" t="str">
            <v>12dgr1619Z160_h</v>
          </cell>
          <cell r="B10406" t="str">
            <v>12dgr1619Z160</v>
          </cell>
          <cell r="C10406" t="str">
            <v>1,2-Diacyl-sn-glycerol(16:1(9Z)/16:0)</v>
          </cell>
        </row>
        <row r="10407">
          <cell r="A10407" t="str">
            <v>12dgr205n31619Z_h</v>
          </cell>
          <cell r="B10407" t="str">
            <v>12dgr205n31619Z</v>
          </cell>
          <cell r="C10407" t="str">
            <v>1,2-Diacyl-sn-glycerol(20:5(5Z,8Z,11Z,14Z,17Z)/16:1(9Z))</v>
          </cell>
        </row>
        <row r="10408">
          <cell r="A10408" t="str">
            <v>mgdg1619Z160_h</v>
          </cell>
          <cell r="B10408" t="str">
            <v>mgdg1619Z160</v>
          </cell>
          <cell r="C10408" t="str">
            <v>1,2-Diacyl-3-O-galactosyl-sn-glycerol(16:1(9Z)/16:0)</v>
          </cell>
        </row>
        <row r="10409">
          <cell r="A10409" t="str">
            <v>mgdg205n31619Z_h</v>
          </cell>
          <cell r="B10409" t="str">
            <v>mgdg205n31619Z</v>
          </cell>
          <cell r="C10409" t="str">
            <v>1,2-Diacyl-3-O-galactosyl-sn-glycerol(20:5(5Z,8Z,11Z,14Z,17Z)/16:1(9Z))</v>
          </cell>
        </row>
        <row r="10410">
          <cell r="A10410" t="str">
            <v>mgdg205n3164n1_h</v>
          </cell>
          <cell r="B10410" t="str">
            <v>mgdg205n3164n1</v>
          </cell>
          <cell r="C10410" t="str">
            <v>1,2-Diacyl-3-O-galactosyl-sn-glycerol(20:5(5Z,8Z,11Z,14Z,17Z)/16:4(6Z,9Z,12Z,15Z))</v>
          </cell>
        </row>
        <row r="10411">
          <cell r="A10411" t="str">
            <v>dgdg205n31619Z_h</v>
          </cell>
          <cell r="B10411" t="str">
            <v>dgdg205n31619Z</v>
          </cell>
          <cell r="C10411" t="str">
            <v>Digalactosyl-diacylglycerol(20:5(5Z,8Z,11Z,14Z,17Z)/16:1(9Z))</v>
          </cell>
        </row>
        <row r="10412">
          <cell r="A10412" t="str">
            <v>sqdg1401619Z_h</v>
          </cell>
          <cell r="B10412" t="str">
            <v>sqdg1401619Z</v>
          </cell>
          <cell r="C10412" t="str">
            <v>Sulfoquinovosyl diacylglycerol(14:0/16:1(9Z))</v>
          </cell>
        </row>
        <row r="10413">
          <cell r="A10413" t="str">
            <v>sqdg205n31619Z_h</v>
          </cell>
          <cell r="B10413" t="str">
            <v>sqdg205n31619Z</v>
          </cell>
          <cell r="C10413" t="str">
            <v>Sulfoquinovosyl diacylglycerol(20:5(5Z,8Z,11Z,14Z,17Z)/16:1(9Z))</v>
          </cell>
        </row>
        <row r="10414">
          <cell r="A10414" t="str">
            <v>pgp1619Z160_h</v>
          </cell>
          <cell r="B10414" t="str">
            <v>pgp1619Z160</v>
          </cell>
          <cell r="C10414" t="str">
            <v>Phosphatidylglycerophosphate(16:1(9Z)/16:0)</v>
          </cell>
        </row>
        <row r="10415">
          <cell r="A10415" t="str">
            <v>12dgr1819Z162n4_h</v>
          </cell>
          <cell r="B10415" t="str">
            <v>12dgr1819Z162n4</v>
          </cell>
          <cell r="C10415" t="str">
            <v>1,2-Diacyl-sn-glycerol(18:1(9Z)/16:2(9Z,12Z))</v>
          </cell>
        </row>
        <row r="10416">
          <cell r="A10416" t="str">
            <v>12dgr140163n4_h</v>
          </cell>
          <cell r="B10416" t="str">
            <v>12dgr140163n4</v>
          </cell>
          <cell r="C10416" t="str">
            <v>1,2-Diacyl-sn-glycerol(14:0/16:3(6Z,9Z,12Z))</v>
          </cell>
        </row>
        <row r="10417">
          <cell r="A10417" t="str">
            <v>tag1619Z1601819Z_h</v>
          </cell>
          <cell r="B10417" t="str">
            <v>tag1619Z1601819Z</v>
          </cell>
          <cell r="C10417" t="str">
            <v>Triacylglycerol (16:1(9Z)/16:0/18:1(9Z))</v>
          </cell>
        </row>
        <row r="10418">
          <cell r="A10418" t="str">
            <v>tag1619Z1619Z160_h</v>
          </cell>
          <cell r="B10418" t="str">
            <v>tag1619Z1619Z160</v>
          </cell>
          <cell r="C10418" t="str">
            <v>Triacylglycerol (16:1(9Z)/16:1(9Z)/16:0)</v>
          </cell>
        </row>
        <row r="10419">
          <cell r="A10419" t="str">
            <v>tag1819Z1619Z1619Z_h</v>
          </cell>
          <cell r="B10419" t="str">
            <v>tag1819Z1619Z1619Z</v>
          </cell>
          <cell r="C10419" t="str">
            <v>Triacylglycerol (18:1(9Z)/16:1(9Z)/16:1(9Z))</v>
          </cell>
        </row>
        <row r="10420">
          <cell r="A10420" t="str">
            <v>hd912ea_h</v>
          </cell>
          <cell r="B10420" t="str">
            <v>hd912ea</v>
          </cell>
          <cell r="C10420" t="str">
            <v>(9Z,12Z)-hexadecadienoate</v>
          </cell>
        </row>
        <row r="10421">
          <cell r="A10421" t="str">
            <v>dggl_h</v>
          </cell>
          <cell r="B10421" t="str">
            <v>dggl</v>
          </cell>
          <cell r="C10421" t="str">
            <v>3-(6-O-alpha-D-galactosyl-beta-D-Galactosyl)-sn-glycerol</v>
          </cell>
        </row>
        <row r="10422">
          <cell r="A10422" t="str">
            <v>hd691215coa_c</v>
          </cell>
          <cell r="B10422" t="str">
            <v>hd691215coa</v>
          </cell>
          <cell r="C10422" t="str">
            <v>(6Z,9Z,12Z,15Z)-hexadecatetraenoyl-CoA (C16:4)</v>
          </cell>
        </row>
        <row r="10423">
          <cell r="A10423" t="str">
            <v>tag226n3205n3164n1_c</v>
          </cell>
          <cell r="B10423" t="str">
            <v>tag226n3205n3164n1</v>
          </cell>
          <cell r="C10423" t="str">
            <v>Triacylglycerol (22:6(4Z,7Z,10Z,13Z,16Z,19Z)/20:5(5Z,8Z,11Z,14Z,17Z)/16:4(6Z,9Z,12Z,15Z))</v>
          </cell>
        </row>
        <row r="10424">
          <cell r="A10424" t="str">
            <v>tag140205n3164n1_c</v>
          </cell>
          <cell r="B10424" t="str">
            <v>tag140205n3164n1</v>
          </cell>
          <cell r="C10424" t="str">
            <v>Triacylglycerol (14:0/20:5(5Z,8Z,11Z,14Z,17Z)/16:4(6Z,9Z,12Z,15Z))</v>
          </cell>
        </row>
        <row r="10425">
          <cell r="A10425" t="str">
            <v>mgdg140160_c</v>
          </cell>
          <cell r="B10425" t="str">
            <v>mgdg140160</v>
          </cell>
          <cell r="C10425" t="str">
            <v>1,2-Diacyl-3-O-galactosyl-sn-glycerol(14:0/16:0)</v>
          </cell>
        </row>
        <row r="10426">
          <cell r="A10426" t="str">
            <v>dgdg140160_c</v>
          </cell>
          <cell r="B10426" t="str">
            <v>dgdg140160</v>
          </cell>
          <cell r="C10426" t="str">
            <v>Digalactosyl-diacylglycerol(14:0/16:0)</v>
          </cell>
        </row>
        <row r="10427">
          <cell r="A10427" t="str">
            <v>behencoa_x</v>
          </cell>
          <cell r="B10427" t="str">
            <v>behencoa</v>
          </cell>
          <cell r="C10427" t="str">
            <v>Docosanoyl-CoA</v>
          </cell>
        </row>
        <row r="10428">
          <cell r="A10428" t="str">
            <v>ttc2coa_x</v>
          </cell>
          <cell r="B10428" t="str">
            <v>ttc2coa</v>
          </cell>
          <cell r="C10428" t="str">
            <v>(2E)-tetracosenoyl-CoA</v>
          </cell>
        </row>
        <row r="10429">
          <cell r="A10429" t="str">
            <v>3odocoscoa_x</v>
          </cell>
          <cell r="B10429" t="str">
            <v>3odocoscoa</v>
          </cell>
          <cell r="C10429" t="str">
            <v>3-oxo-docosanoyl-CoA</v>
          </cell>
        </row>
        <row r="10430">
          <cell r="A10430" t="str">
            <v>3oeico581114coa_x</v>
          </cell>
          <cell r="B10430" t="str">
            <v>3oeico581114coa</v>
          </cell>
          <cell r="C10430" t="str">
            <v>3-oxo-(5Z,8Z,11Z,14Z)-eicosatetraenoyl-CoA</v>
          </cell>
        </row>
        <row r="10431">
          <cell r="A10431" t="str">
            <v>hd24710coa_x</v>
          </cell>
          <cell r="B10431" t="str">
            <v>hd24710coa</v>
          </cell>
          <cell r="C10431" t="str">
            <v>(2E,4Z,7Z,10Z)-hexadecatetraenoyl-CoA</v>
          </cell>
        </row>
        <row r="10432">
          <cell r="A10432" t="str">
            <v>hd3710coa_x</v>
          </cell>
          <cell r="B10432" t="str">
            <v>hd3710coa</v>
          </cell>
          <cell r="C10432" t="str">
            <v>(3E,7Z,10Z)-hexadecatrienoyl-CoA</v>
          </cell>
        </row>
        <row r="10433">
          <cell r="A10433" t="str">
            <v>hd2710coa_x</v>
          </cell>
          <cell r="B10433" t="str">
            <v>hd2710coa</v>
          </cell>
          <cell r="C10433" t="str">
            <v>(2E,7Z,10Z)-hexadecatrienoyl-CoA</v>
          </cell>
        </row>
        <row r="10434">
          <cell r="A10434" t="str">
            <v>3ohd710coa_x</v>
          </cell>
          <cell r="B10434" t="str">
            <v>3ohd710coa</v>
          </cell>
          <cell r="C10434" t="str">
            <v>3-oxo-(7Z,10Z)-hexadecadienoyl-CoA</v>
          </cell>
        </row>
        <row r="10435">
          <cell r="A10435" t="str">
            <v>td258coa_x</v>
          </cell>
          <cell r="B10435" t="str">
            <v>td258coa</v>
          </cell>
          <cell r="C10435" t="str">
            <v>(2E,5Z,8Z)-tetradecatrienoyl-CoA</v>
          </cell>
        </row>
        <row r="10436">
          <cell r="A10436" t="str">
            <v>3hd6coa_x</v>
          </cell>
          <cell r="B10436" t="str">
            <v>3hd6coa</v>
          </cell>
          <cell r="C10436" t="str">
            <v>3-hydroxy-(6Z)-dodecenoyl-CoA</v>
          </cell>
        </row>
        <row r="10437">
          <cell r="A10437" t="str">
            <v>dd4coa_x</v>
          </cell>
          <cell r="B10437" t="str">
            <v>dd4coa</v>
          </cell>
          <cell r="C10437" t="str">
            <v>(4Z)-decenoyl-CoA</v>
          </cell>
        </row>
        <row r="10438">
          <cell r="A10438" t="str">
            <v>c4dde2coa_x</v>
          </cell>
          <cell r="B10438" t="str">
            <v>c4dde2coa</v>
          </cell>
          <cell r="C10438" t="str">
            <v>(2E,4Z)-decadienoyl-CoA</v>
          </cell>
        </row>
        <row r="10439">
          <cell r="A10439" t="str">
            <v>3heico58111417coa_x</v>
          </cell>
          <cell r="B10439" t="str">
            <v>3heico58111417coa</v>
          </cell>
          <cell r="C10439" t="str">
            <v>3-hydroxy-(5Z,8Z,11Z,14Z,17Z)-eicosapentaenoyl-CoA</v>
          </cell>
        </row>
        <row r="10440">
          <cell r="A10440" t="str">
            <v>od2691215coa_x</v>
          </cell>
          <cell r="B10440" t="str">
            <v>od2691215coa</v>
          </cell>
          <cell r="C10440" t="str">
            <v>(2E,6Z,9Z,12Z,15Z)-octadecapentaenoyl-CoA</v>
          </cell>
        </row>
        <row r="10441">
          <cell r="A10441" t="str">
            <v>3ood691215coa_x</v>
          </cell>
          <cell r="B10441" t="str">
            <v>3ood691215coa</v>
          </cell>
          <cell r="C10441" t="str">
            <v>3-oxo-(6Z,9Z,12Z,15Z)-octadecatetraenoyl-CoA</v>
          </cell>
        </row>
        <row r="10442">
          <cell r="A10442" t="str">
            <v>hd2471013coa_x</v>
          </cell>
          <cell r="B10442" t="str">
            <v>hd2471013coa</v>
          </cell>
          <cell r="C10442" t="str">
            <v>(2E,4Z,7Z,10Z,13Z)-hexadecapentaenoyl-CoA</v>
          </cell>
        </row>
        <row r="10443">
          <cell r="A10443" t="str">
            <v>3ohd71013coa_x</v>
          </cell>
          <cell r="B10443" t="str">
            <v>3ohd71013coa</v>
          </cell>
          <cell r="C10443" t="str">
            <v>3-oxo-(7Z,10Z,13Z)-hexadecatrienoyl-CoA</v>
          </cell>
        </row>
        <row r="10444">
          <cell r="A10444" t="str">
            <v>td5811coa_x</v>
          </cell>
          <cell r="B10444" t="str">
            <v>td5811coa</v>
          </cell>
          <cell r="C10444" t="str">
            <v>(5Z,8Z,11Z)-tetradecatrienoyl-CoA</v>
          </cell>
        </row>
        <row r="10445">
          <cell r="A10445" t="str">
            <v>3htd5811coa_x</v>
          </cell>
          <cell r="B10445" t="str">
            <v>3htd5811coa</v>
          </cell>
          <cell r="C10445" t="str">
            <v>3-hydroxy-(5Z,8Z,11Z)-tetradecatrienoyl-CoA</v>
          </cell>
        </row>
        <row r="10446">
          <cell r="A10446" t="str">
            <v>dd269coa_x</v>
          </cell>
          <cell r="B10446" t="str">
            <v>dd269coa</v>
          </cell>
          <cell r="C10446" t="str">
            <v>(2E,6Z,9Z)-dodecatrienoyl-CoA</v>
          </cell>
        </row>
        <row r="10447">
          <cell r="A10447" t="str">
            <v>dc27coa_x</v>
          </cell>
          <cell r="B10447" t="str">
            <v>dc27coa</v>
          </cell>
          <cell r="C10447" t="str">
            <v>(2E,7Z)-decadienoyl-CoA</v>
          </cell>
        </row>
        <row r="10448">
          <cell r="A10448" t="str">
            <v>dcos24710131619coa_x</v>
          </cell>
          <cell r="B10448" t="str">
            <v>dcos24710131619coa</v>
          </cell>
          <cell r="C10448" t="str">
            <v>(2E,4Z,7Z,10Z,13Z,16Z,19Z)-docosaheptaenoyl-CoA</v>
          </cell>
        </row>
        <row r="10449">
          <cell r="A10449" t="str">
            <v>oc5crn_x</v>
          </cell>
          <cell r="B10449" t="str">
            <v>oc5crn</v>
          </cell>
          <cell r="C10449" t="str">
            <v>(5Z)-octenoyl-l-carnitine</v>
          </cell>
        </row>
        <row r="10450">
          <cell r="A10450" t="str">
            <v>oc5crn_c</v>
          </cell>
          <cell r="B10450" t="str">
            <v>oc5crn</v>
          </cell>
          <cell r="C10450" t="str">
            <v>(5Z)-octenoyl-l-carnitine</v>
          </cell>
        </row>
        <row r="10451">
          <cell r="A10451" t="str">
            <v>hd691215crn_c</v>
          </cell>
          <cell r="B10451" t="str">
            <v>hd691215crn</v>
          </cell>
          <cell r="C10451" t="str">
            <v>(6Z,9Z,12Z,15Z)-hexadecatetrenoyl-l-carnitine</v>
          </cell>
        </row>
        <row r="10452">
          <cell r="A10452" t="str">
            <v>hd6912crn_m</v>
          </cell>
          <cell r="B10452" t="str">
            <v>hd6912crn</v>
          </cell>
          <cell r="C10452" t="str">
            <v>(6Z,9Z,12Z)-hexadecatrienoyl-l-carnitine</v>
          </cell>
        </row>
        <row r="10453">
          <cell r="A10453" t="str">
            <v>hd912coa_m</v>
          </cell>
          <cell r="B10453" t="str">
            <v>hd912coa</v>
          </cell>
          <cell r="C10453" t="str">
            <v>(9Z,12Z)-hexadecadienyl-CoA</v>
          </cell>
        </row>
        <row r="10454">
          <cell r="A10454" t="str">
            <v>3hod9coa_m</v>
          </cell>
          <cell r="B10454" t="str">
            <v>3hod9coa</v>
          </cell>
          <cell r="C10454" t="str">
            <v>3-hydroxy-(9Z)-octadecenoyl-CoA</v>
          </cell>
        </row>
        <row r="10455">
          <cell r="A10455" t="str">
            <v>td5coa_m</v>
          </cell>
          <cell r="B10455" t="str">
            <v>td5coa</v>
          </cell>
          <cell r="C10455" t="str">
            <v>(5Z)-tetradecenoyl-CoA</v>
          </cell>
        </row>
        <row r="10456">
          <cell r="A10456" t="str">
            <v>td25coa_m</v>
          </cell>
          <cell r="B10456" t="str">
            <v>td25coa</v>
          </cell>
          <cell r="C10456" t="str">
            <v>(2E,5Z)-tetradecadienoyl-CoA</v>
          </cell>
        </row>
        <row r="10457">
          <cell r="A10457" t="str">
            <v>3otd5coa_m</v>
          </cell>
          <cell r="B10457" t="str">
            <v>3otd5coa</v>
          </cell>
          <cell r="C10457" t="str">
            <v>3-oxo-(5Z)-tetradecenoyl-CoA</v>
          </cell>
        </row>
        <row r="10458">
          <cell r="A10458" t="str">
            <v>3hod912coa_m</v>
          </cell>
          <cell r="B10458" t="str">
            <v>3hod912coa</v>
          </cell>
          <cell r="C10458" t="str">
            <v>3-hydroxy-(9Z,12Z)-octadecadienoyl-CoA</v>
          </cell>
        </row>
        <row r="10459">
          <cell r="A10459" t="str">
            <v>3hhd710coa_m</v>
          </cell>
          <cell r="B10459" t="str">
            <v>3hhd710coa</v>
          </cell>
          <cell r="C10459" t="str">
            <v>3-hydroxy-(7Z,10Z)-hexadecadienoyl-CoA</v>
          </cell>
        </row>
        <row r="10460">
          <cell r="A10460" t="str">
            <v>3htd58coa_m</v>
          </cell>
          <cell r="B10460" t="str">
            <v>3htd58coa</v>
          </cell>
          <cell r="C10460" t="str">
            <v>3-hydroxy-(5Z,8Z)-tetradecadienoyl-CoA</v>
          </cell>
        </row>
        <row r="10461">
          <cell r="A10461" t="str">
            <v>3od6coa_m</v>
          </cell>
          <cell r="B10461" t="str">
            <v>3od6coa</v>
          </cell>
          <cell r="C10461" t="str">
            <v>3-oxo-(6Z)-dodecenoyl-CoA</v>
          </cell>
        </row>
        <row r="10462">
          <cell r="A10462" t="str">
            <v>dc3coa_m</v>
          </cell>
          <cell r="B10462" t="str">
            <v>dc3coa</v>
          </cell>
          <cell r="C10462" t="str">
            <v>(3E)-decenoyl-CoA</v>
          </cell>
        </row>
        <row r="10463">
          <cell r="A10463" t="str">
            <v>hd71013coa_m</v>
          </cell>
          <cell r="B10463" t="str">
            <v>hd71013coa</v>
          </cell>
          <cell r="C10463" t="str">
            <v>(7Z,10Z,13Z)-hexadecatrienoyl-CoA</v>
          </cell>
        </row>
        <row r="10464">
          <cell r="A10464" t="str">
            <v>td25811coa_m</v>
          </cell>
          <cell r="B10464" t="str">
            <v>td25811coa</v>
          </cell>
          <cell r="C10464" t="str">
            <v>(2E,5Z,8Z,11Z)-tetradecatetraenoyl-CoA</v>
          </cell>
        </row>
        <row r="10465">
          <cell r="A10465" t="str">
            <v>dd369coa_m</v>
          </cell>
          <cell r="B10465" t="str">
            <v>dd369coa</v>
          </cell>
          <cell r="C10465" t="str">
            <v>(3Z,6Z,9Z)-dodecatrienoyl-CoA</v>
          </cell>
        </row>
        <row r="10466">
          <cell r="A10466" t="str">
            <v>3od69coa_m</v>
          </cell>
          <cell r="B10466" t="str">
            <v>3od69coa</v>
          </cell>
          <cell r="C10466" t="str">
            <v>3-oxo-(6Z,9Z)-dodecadienoyl-CoA</v>
          </cell>
        </row>
        <row r="10467">
          <cell r="A10467" t="str">
            <v>3hdc7coa_m</v>
          </cell>
          <cell r="B10467" t="str">
            <v>3hdc7coa</v>
          </cell>
          <cell r="C10467" t="str">
            <v>3-hydroxy-(7Z)-decenoyl-CoA</v>
          </cell>
        </row>
        <row r="10468">
          <cell r="A10468" t="str">
            <v>3hhd9coa_m</v>
          </cell>
          <cell r="B10468" t="str">
            <v>3hhd9coa</v>
          </cell>
          <cell r="C10468" t="str">
            <v>3-hydroxy-(9Z)-hexadecenoyl-CoA</v>
          </cell>
        </row>
        <row r="10469">
          <cell r="A10469" t="str">
            <v>3ohd9coa_m</v>
          </cell>
          <cell r="B10469" t="str">
            <v>3ohd9coa</v>
          </cell>
          <cell r="C10469" t="str">
            <v>3-oxo-(9Z)-hexadecenoyl-CoA</v>
          </cell>
        </row>
        <row r="10470">
          <cell r="A10470" t="str">
            <v>hd2912coa_m</v>
          </cell>
          <cell r="B10470" t="str">
            <v>hd2912coa</v>
          </cell>
          <cell r="C10470" t="str">
            <v>(2E,9Z,12Z)-hexadecatrienoyl-CoA</v>
          </cell>
        </row>
        <row r="10471">
          <cell r="A10471" t="str">
            <v>3ohd912coa_m</v>
          </cell>
          <cell r="B10471" t="str">
            <v>3ohd912coa</v>
          </cell>
          <cell r="C10471" t="str">
            <v>3-oxo-(9Z,12Z)-hexadecadienoyl-CoA</v>
          </cell>
        </row>
        <row r="10472">
          <cell r="A10472" t="str">
            <v>td710coa_m</v>
          </cell>
          <cell r="B10472" t="str">
            <v>td710coa</v>
          </cell>
          <cell r="C10472" t="str">
            <v>(7Z,10Z)-tetradecadienoyl-CoA</v>
          </cell>
        </row>
        <row r="10473">
          <cell r="A10473" t="str">
            <v>td2710coa_m</v>
          </cell>
          <cell r="B10473" t="str">
            <v>td2710coa</v>
          </cell>
          <cell r="C10473" t="str">
            <v>(2E,7Z,10Z)-tetradecatrienoyl-CoA</v>
          </cell>
        </row>
        <row r="10474">
          <cell r="A10474" t="str">
            <v>3odd58coa_m</v>
          </cell>
          <cell r="B10474" t="str">
            <v>3odd58coa</v>
          </cell>
          <cell r="C10474" t="str">
            <v>3-oxo-(5Z,8Z)-dodecadienoyl-CoA</v>
          </cell>
        </row>
        <row r="10475">
          <cell r="A10475" t="str">
            <v>3hdc6coa_m</v>
          </cell>
          <cell r="B10475" t="str">
            <v>3hdc6coa</v>
          </cell>
          <cell r="C10475" t="str">
            <v>3-hydroxy-(6Z)-decenoyl-CoA</v>
          </cell>
        </row>
        <row r="10476">
          <cell r="A10476" t="str">
            <v>oc3coa_m</v>
          </cell>
          <cell r="B10476" t="str">
            <v>oc3coa</v>
          </cell>
          <cell r="C10476" t="str">
            <v>(3E)-octenoyl-CoA</v>
          </cell>
        </row>
        <row r="10477">
          <cell r="A10477" t="str">
            <v>3hdd5811coa_m</v>
          </cell>
          <cell r="B10477" t="str">
            <v>3hdd5811coa</v>
          </cell>
          <cell r="C10477" t="str">
            <v>3-hydroxy-(5Z,8Z,11Z)-dodecatrienoyl-CoA</v>
          </cell>
        </row>
        <row r="10478">
          <cell r="A10478" t="str">
            <v>3odd5811coa_m</v>
          </cell>
          <cell r="B10478" t="str">
            <v>3odd5811coa</v>
          </cell>
          <cell r="C10478" t="str">
            <v>3-oxo-(5Z,8Z,11Z)-dodecatrienoyl-CoA</v>
          </cell>
        </row>
        <row r="10479">
          <cell r="A10479" t="str">
            <v>dc369coa_m</v>
          </cell>
          <cell r="B10479" t="str">
            <v>dc369coa</v>
          </cell>
          <cell r="C10479" t="str">
            <v>(3Z,6Z,9Z)-decatrienoyl-CoA</v>
          </cell>
        </row>
        <row r="10480">
          <cell r="A10480" t="str">
            <v>dc269coa_m</v>
          </cell>
          <cell r="B10480" t="str">
            <v>dc269coa</v>
          </cell>
          <cell r="C10480" t="str">
            <v>(2E,6Z,9Z)-decatrienoyl-CoA</v>
          </cell>
        </row>
        <row r="10481">
          <cell r="A10481" t="str">
            <v>oc47coa_m</v>
          </cell>
          <cell r="B10481" t="str">
            <v>oc47coa</v>
          </cell>
          <cell r="C10481" t="str">
            <v>(4Z,7Z)-octadienoyl-CoA</v>
          </cell>
        </row>
        <row r="10482">
          <cell r="A10482" t="str">
            <v>oc247coa_m</v>
          </cell>
          <cell r="B10482" t="str">
            <v>oc247coa</v>
          </cell>
          <cell r="C10482" t="str">
            <v>(2E,4Z,7Z)-octatrienoyl-CoA</v>
          </cell>
        </row>
        <row r="10483">
          <cell r="A10483" t="str">
            <v>vaccoa_m</v>
          </cell>
          <cell r="B10483" t="str">
            <v>vaccoa</v>
          </cell>
          <cell r="C10483" t="str">
            <v>Vinylacetyl-CoA</v>
          </cell>
        </row>
        <row r="10484">
          <cell r="A10484" t="str">
            <v>lipACP_m</v>
          </cell>
          <cell r="B10484" t="str">
            <v>lipACP</v>
          </cell>
          <cell r="C10484" t="str">
            <v>Lipoyl-[acp]</v>
          </cell>
        </row>
        <row r="10485">
          <cell r="A10485" t="str">
            <v>dad_5_m</v>
          </cell>
          <cell r="B10485" t="str">
            <v>dad_5</v>
          </cell>
          <cell r="C10485" t="str">
            <v>5'-Deoxyadenosine</v>
          </cell>
        </row>
        <row r="10486">
          <cell r="A10486" t="str">
            <v>3ohexACP_m</v>
          </cell>
          <cell r="B10486" t="str">
            <v>3ohexACP</v>
          </cell>
          <cell r="C10486" t="str">
            <v>3-Oxohexanoyl-[acyl-carrier protein]</v>
          </cell>
        </row>
        <row r="10487">
          <cell r="A10487" t="str">
            <v>thex2eACP_m</v>
          </cell>
          <cell r="B10487" t="str">
            <v>thex2eACP</v>
          </cell>
          <cell r="C10487" t="str">
            <v>Trans-Hex-2-enoyl-[acyl-carrier protein]</v>
          </cell>
        </row>
        <row r="10488">
          <cell r="A10488" t="str">
            <v>3hoctACP_m</v>
          </cell>
          <cell r="B10488" t="str">
            <v>3hoctACP</v>
          </cell>
          <cell r="C10488" t="str">
            <v>(R)-3-Hydroxyoctanoyl-[acyl-carrier protein]</v>
          </cell>
        </row>
        <row r="10489">
          <cell r="A10489" t="str">
            <v>tdec2eACP_m</v>
          </cell>
          <cell r="B10489" t="str">
            <v>tdec2eACP</v>
          </cell>
          <cell r="C10489" t="str">
            <v>Trans-Dec-2-enoyl-[acyl-carrier protein]</v>
          </cell>
        </row>
        <row r="10490">
          <cell r="A10490" t="str">
            <v>3oddecACP_m</v>
          </cell>
          <cell r="B10490" t="str">
            <v>3oddecACP</v>
          </cell>
          <cell r="C10490" t="str">
            <v>3-Oxododecanoyl-[acyl-carrier protein]</v>
          </cell>
        </row>
        <row r="10491">
          <cell r="A10491" t="str">
            <v>3hddecACP_m</v>
          </cell>
          <cell r="B10491" t="str">
            <v>3hddecACP</v>
          </cell>
          <cell r="C10491" t="str">
            <v>(R)-3-Hydroxydodecanoyl-[acyl-carrier protein]</v>
          </cell>
        </row>
        <row r="10492">
          <cell r="A10492" t="str">
            <v>tddec2eACP_m</v>
          </cell>
          <cell r="B10492" t="str">
            <v>tddec2eACP</v>
          </cell>
          <cell r="C10492" t="str">
            <v>Trans-Dodec-2-enoyl-[acyl-carrier protein]</v>
          </cell>
        </row>
        <row r="10493">
          <cell r="A10493" t="str">
            <v>3hpalmACP_m</v>
          </cell>
          <cell r="B10493" t="str">
            <v>3hpalmACP</v>
          </cell>
          <cell r="C10493" t="str">
            <v>R-3-hydroxypalmitoyl-[acyl-carrier protein]</v>
          </cell>
        </row>
        <row r="10494">
          <cell r="A10494" t="str">
            <v>2hglut_m</v>
          </cell>
          <cell r="B10494" t="str">
            <v>2hglut</v>
          </cell>
          <cell r="C10494" t="str">
            <v>2-Hydroxyglutarate</v>
          </cell>
        </row>
        <row r="10495">
          <cell r="A10495" t="str">
            <v>asn__L_h</v>
          </cell>
          <cell r="B10495" t="str">
            <v>asn__L</v>
          </cell>
          <cell r="C10495" t="str">
            <v>L-Asparagine</v>
          </cell>
        </row>
        <row r="10496">
          <cell r="A10496" t="str">
            <v>gal14lac_c</v>
          </cell>
          <cell r="B10496" t="str">
            <v>gal14lac</v>
          </cell>
          <cell r="C10496" t="str">
            <v>L-Galactono-1,4-lactone</v>
          </cell>
        </row>
        <row r="10497">
          <cell r="A10497" t="str">
            <v>ascb__L_m</v>
          </cell>
          <cell r="B10497" t="str">
            <v>ascb__L</v>
          </cell>
          <cell r="C10497" t="str">
            <v>L-Ascorbate</v>
          </cell>
        </row>
        <row r="10498">
          <cell r="A10498" t="str">
            <v>ascb__L_h</v>
          </cell>
          <cell r="B10498" t="str">
            <v>ascb__L</v>
          </cell>
          <cell r="C10498" t="str">
            <v>L-Ascorbate</v>
          </cell>
        </row>
        <row r="10499">
          <cell r="A10499" t="str">
            <v>cynt_m</v>
          </cell>
          <cell r="B10499" t="str">
            <v>cynt</v>
          </cell>
          <cell r="C10499" t="str">
            <v>Cyanate</v>
          </cell>
        </row>
        <row r="10500">
          <cell r="A10500" t="str">
            <v>chito2pdpl_c</v>
          </cell>
          <cell r="B10500" t="str">
            <v>chito2pdpl</v>
          </cell>
          <cell r="C10500" t="str">
            <v>PP-Dol(-a1)GlcNAc(4-b1)GlcNAc</v>
          </cell>
        </row>
        <row r="10501">
          <cell r="A10501" t="str">
            <v>m5mpdol_c</v>
          </cell>
          <cell r="B10501" t="str">
            <v>m5mpdol</v>
          </cell>
          <cell r="C10501" t="str">
            <v>(alpha-D-Mannosyl)5-beta-D-mannosyl-diacetylchitobiosyldiphosphodolichol</v>
          </cell>
        </row>
        <row r="10502">
          <cell r="A10502" t="str">
            <v>g3m8mpdol_c</v>
          </cell>
          <cell r="B10502" t="str">
            <v>g3m8mpdol</v>
          </cell>
          <cell r="C10502" t="str">
            <v>(alpha-D-Glucosyl)3-(alpha-D-mannosyl)8-beta-D-mannosyl-diacetylchitobiosyldiphosphodolichol</v>
          </cell>
        </row>
        <row r="10503">
          <cell r="A10503" t="str">
            <v>m4masn_c</v>
          </cell>
          <cell r="B10503" t="str">
            <v>m4masn</v>
          </cell>
          <cell r="C10503" t="str">
            <v>(alpha-D-mannosyl)4-beta-D-mannosyl-diacetylchitobiosyl-L-asparagine (protein)</v>
          </cell>
        </row>
        <row r="10504">
          <cell r="A10504" t="str">
            <v>m2masn_c</v>
          </cell>
          <cell r="B10504" t="str">
            <v>m2masn</v>
          </cell>
          <cell r="C10504" t="str">
            <v>Asn(-b1)GlcNAc(4-b1)GlcNAc(4-b1)Man[(6-a1)Man](3-a1)Man</v>
          </cell>
        </row>
        <row r="10505">
          <cell r="A10505" t="str">
            <v>3nphb_m</v>
          </cell>
          <cell r="B10505" t="str">
            <v>3nphb</v>
          </cell>
          <cell r="C10505" t="str">
            <v>3-Nonaprenyl-4-hydroxybenzoate</v>
          </cell>
        </row>
        <row r="10506">
          <cell r="A10506" t="str">
            <v>2np6mobq_m</v>
          </cell>
          <cell r="B10506" t="str">
            <v>2np6mobq</v>
          </cell>
          <cell r="C10506" t="str">
            <v>2-nonaprenyl-6-methoxy-1,4-benzoquinone</v>
          </cell>
        </row>
        <row r="10507">
          <cell r="A10507" t="str">
            <v>4ampm_h</v>
          </cell>
          <cell r="B10507" t="str">
            <v>4ampm</v>
          </cell>
          <cell r="C10507" t="str">
            <v>4-Amino-2-methyl-5-phosphomethylpyrimidine</v>
          </cell>
        </row>
        <row r="10508">
          <cell r="A10508" t="str">
            <v>dad_5_h</v>
          </cell>
          <cell r="B10508" t="str">
            <v>dad_5</v>
          </cell>
          <cell r="C10508" t="str">
            <v>5'-Deoxyadenosine</v>
          </cell>
        </row>
        <row r="10509">
          <cell r="A10509" t="str">
            <v>thissh_h</v>
          </cell>
          <cell r="B10509" t="str">
            <v>thissh</v>
          </cell>
          <cell r="C10509" t="str">
            <v>Thiamine biosynthesis intermediate 5</v>
          </cell>
        </row>
        <row r="10510">
          <cell r="A10510" t="str">
            <v>2shchc_h</v>
          </cell>
          <cell r="B10510" t="str">
            <v>2shchc</v>
          </cell>
          <cell r="C10510" t="str">
            <v>2-Succinyl-6-hydroxy-2,4-cyclohexadiene-1-carboxylate</v>
          </cell>
        </row>
        <row r="10511">
          <cell r="A10511" t="str">
            <v>sucbz_h</v>
          </cell>
          <cell r="B10511" t="str">
            <v>sucbz</v>
          </cell>
          <cell r="C10511" t="str">
            <v>O-Succinylbenzoate</v>
          </cell>
        </row>
        <row r="10512">
          <cell r="A10512" t="str">
            <v>sbzcoa_x</v>
          </cell>
          <cell r="B10512" t="str">
            <v>sbzcoa</v>
          </cell>
          <cell r="C10512" t="str">
            <v>O-Succinylbenzoyl-CoA</v>
          </cell>
        </row>
        <row r="10513">
          <cell r="A10513" t="str">
            <v>dhna_x</v>
          </cell>
          <cell r="B10513" t="str">
            <v>dhna</v>
          </cell>
          <cell r="C10513" t="str">
            <v>1,4-Dihydroxy-2-naphthoate</v>
          </cell>
        </row>
        <row r="10514">
          <cell r="A10514" t="str">
            <v>hptal_m</v>
          </cell>
          <cell r="B10514" t="str">
            <v>hptal</v>
          </cell>
          <cell r="C10514" t="str">
            <v>Heptanal</v>
          </cell>
        </row>
        <row r="10515">
          <cell r="A10515" t="str">
            <v>dtbt_m</v>
          </cell>
          <cell r="B10515" t="str">
            <v>dtbt</v>
          </cell>
          <cell r="C10515" t="str">
            <v>Dethiobiotin</v>
          </cell>
        </row>
        <row r="10516">
          <cell r="A10516" t="str">
            <v>accp_m</v>
          </cell>
          <cell r="B10516" t="str">
            <v>accp</v>
          </cell>
          <cell r="C10516" t="str">
            <v>Apo-carboxylase</v>
          </cell>
        </row>
        <row r="10517">
          <cell r="A10517" t="str">
            <v>trnagln_h</v>
          </cell>
          <cell r="B10517" t="str">
            <v>trnagln</v>
          </cell>
          <cell r="C10517" t="str">
            <v>TRNA(Gln)</v>
          </cell>
        </row>
        <row r="10518">
          <cell r="A10518" t="str">
            <v>glntrna_h</v>
          </cell>
          <cell r="B10518" t="str">
            <v>glntrna</v>
          </cell>
          <cell r="C10518" t="str">
            <v>L-Glutaminyl-tRNA(Gln)</v>
          </cell>
        </row>
        <row r="10519">
          <cell r="A10519" t="str">
            <v>trnasecys_h</v>
          </cell>
          <cell r="B10519" t="str">
            <v>trnasecys</v>
          </cell>
          <cell r="C10519" t="str">
            <v>TRNA(SeCys)</v>
          </cell>
        </row>
        <row r="10520">
          <cell r="A10520" t="str">
            <v>sertrna_sec_h</v>
          </cell>
          <cell r="B10520" t="str">
            <v>sertrna_sec</v>
          </cell>
          <cell r="C10520" t="str">
            <v>L-Seryl-tRNA(Sec)</v>
          </cell>
        </row>
        <row r="10521">
          <cell r="A10521" t="str">
            <v>trnaleu_h</v>
          </cell>
          <cell r="B10521" t="str">
            <v>trnaleu</v>
          </cell>
          <cell r="C10521" t="str">
            <v>TRNA(Leu)</v>
          </cell>
        </row>
        <row r="10522">
          <cell r="A10522" t="str">
            <v>leutrna_h</v>
          </cell>
          <cell r="B10522" t="str">
            <v>leutrna</v>
          </cell>
          <cell r="C10522" t="str">
            <v>L-Leucyl-tRNA(Leu)</v>
          </cell>
        </row>
        <row r="10523">
          <cell r="A10523" t="str">
            <v>histrna_h</v>
          </cell>
          <cell r="B10523" t="str">
            <v>histrna</v>
          </cell>
          <cell r="C10523" t="str">
            <v>L-Histidyl-tRNA(His)</v>
          </cell>
        </row>
        <row r="10524">
          <cell r="A10524" t="str">
            <v>phetrna_h</v>
          </cell>
          <cell r="B10524" t="str">
            <v>phetrna</v>
          </cell>
          <cell r="C10524" t="str">
            <v>L-Phenylalanyl-tRNA(Phe)</v>
          </cell>
        </row>
        <row r="10525">
          <cell r="A10525" t="str">
            <v>tczcaro_h</v>
          </cell>
          <cell r="B10525" t="str">
            <v>tczcaro</v>
          </cell>
          <cell r="C10525" t="str">
            <v>9,15,9-tricis-zeta-Carotene</v>
          </cell>
        </row>
        <row r="10526">
          <cell r="A10526" t="str">
            <v>ttclyco_h</v>
          </cell>
          <cell r="B10526" t="str">
            <v>ttclyco</v>
          </cell>
          <cell r="C10526" t="str">
            <v>7,9,7,9-tetracis-Lycopene</v>
          </cell>
        </row>
        <row r="10527">
          <cell r="A10527" t="str">
            <v>anxan_h</v>
          </cell>
          <cell r="B10527" t="str">
            <v>anxan</v>
          </cell>
          <cell r="C10527" t="str">
            <v>Antheraxanthin</v>
          </cell>
        </row>
        <row r="10528">
          <cell r="A10528" t="str">
            <v>vioxan_h</v>
          </cell>
          <cell r="B10528" t="str">
            <v>vioxan</v>
          </cell>
          <cell r="C10528" t="str">
            <v>Violaxanthin</v>
          </cell>
        </row>
        <row r="10529">
          <cell r="A10529" t="str">
            <v>fxanth_h</v>
          </cell>
          <cell r="B10529" t="str">
            <v>fxanth</v>
          </cell>
          <cell r="C10529" t="str">
            <v>Fucoxanthin</v>
          </cell>
        </row>
        <row r="10530">
          <cell r="A10530" t="str">
            <v>methsel_c</v>
          </cell>
          <cell r="B10530" t="str">
            <v>methsel</v>
          </cell>
          <cell r="C10530" t="str">
            <v>Methaneselenol</v>
          </cell>
        </row>
        <row r="10531">
          <cell r="A10531" t="str">
            <v>4aammp_c</v>
          </cell>
          <cell r="B10531" t="str">
            <v>4aammp</v>
          </cell>
          <cell r="C10531" t="str">
            <v>4-Amino-5-aminomethyl-2-methylpyrimidine</v>
          </cell>
        </row>
        <row r="10532">
          <cell r="A10532" t="str">
            <v>accp_h</v>
          </cell>
          <cell r="B10532" t="str">
            <v>accp</v>
          </cell>
          <cell r="C10532" t="str">
            <v>Apo-carboxylase</v>
          </cell>
        </row>
        <row r="10533">
          <cell r="A10533" t="str">
            <v>tag1619Z1619Z1819Z_c</v>
          </cell>
          <cell r="B10533" t="str">
            <v>tag1619Z1619Z1819Z</v>
          </cell>
          <cell r="C10533" t="str">
            <v>Triacylglycerol (16:1(9Z)/16:1(9Z)/18:1(9Z))</v>
          </cell>
        </row>
        <row r="10534">
          <cell r="A10534" t="str">
            <v>hptcrn_c</v>
          </cell>
          <cell r="B10534" t="str">
            <v>hptcrn</v>
          </cell>
          <cell r="C10534" t="str">
            <v>Heptanoyl-l-carnitine</v>
          </cell>
        </row>
        <row r="10535">
          <cell r="A10535" t="str">
            <v>hd2crn_m</v>
          </cell>
          <cell r="B10535" t="str">
            <v>hd2crn</v>
          </cell>
          <cell r="C10535" t="str">
            <v>(2E)-hexadecenoyl-l-carnitine</v>
          </cell>
        </row>
        <row r="10536">
          <cell r="A10536" t="str">
            <v>hptcoa_m</v>
          </cell>
          <cell r="B10536" t="str">
            <v>hptcoa</v>
          </cell>
          <cell r="C10536" t="str">
            <v>Heptanoyl-COA</v>
          </cell>
        </row>
        <row r="10537">
          <cell r="A10537" t="str">
            <v>biomass_pigm_h</v>
          </cell>
          <cell r="B10537" t="str">
            <v>biomass_pigm</v>
          </cell>
          <cell r="C10537" t="str">
            <v>Biomass: chlorophylls and pigments</v>
          </cell>
        </row>
        <row r="10538">
          <cell r="A10538" t="str">
            <v>biomass_mem_lipids_c</v>
          </cell>
          <cell r="B10538" t="str">
            <v>biomass_mem_lipids</v>
          </cell>
          <cell r="C10538" t="str">
            <v>Biomass: membrane lipids</v>
          </cell>
        </row>
        <row r="10539">
          <cell r="A10539" t="str">
            <v>biomass_tag_c</v>
          </cell>
          <cell r="B10539" t="str">
            <v>biomass_tag</v>
          </cell>
          <cell r="C10539" t="str">
            <v>Biomass: Triacylglycerides</v>
          </cell>
        </row>
        <row r="10540">
          <cell r="A10540" t="str">
            <v>biomass_c</v>
          </cell>
          <cell r="B10540" t="str">
            <v>biomass</v>
          </cell>
          <cell r="C10540" t="str">
            <v>Biomass: total</v>
          </cell>
        </row>
        <row r="10541">
          <cell r="A10541" t="str">
            <v>pc205n3162n4_c</v>
          </cell>
          <cell r="B10541" t="str">
            <v>pc205n3162n4</v>
          </cell>
          <cell r="C10541" t="str">
            <v>Phosphatidylcholine (20:5(5Z,8Z,11Z,14Z,17Z)/16:2(9Z,12Z))</v>
          </cell>
        </row>
        <row r="10542">
          <cell r="A10542" t="str">
            <v>dgta205n31619Z_c</v>
          </cell>
          <cell r="B10542" t="str">
            <v>dgta205n31619Z</v>
          </cell>
          <cell r="C10542" t="str">
            <v>Diacylglyceryl-N,N,N-trimethyl-beta-alanine (20:5(5Z,8Z,11Z,14Z,17Z)/16:1(9Z))</v>
          </cell>
        </row>
        <row r="10543">
          <cell r="A10543" t="str">
            <v>dgta205n3_c</v>
          </cell>
          <cell r="B10543" t="str">
            <v>dgta205n3</v>
          </cell>
          <cell r="C10543" t="str">
            <v>Diacylglyceryl-N,N,N-trimethyl-beta-alanine (20:5(5Z,8Z,11Z,14Z,17Z)/20:5(5Z,8Z,11Z,14Z,17Z))</v>
          </cell>
        </row>
        <row r="10544">
          <cell r="A10544" t="str">
            <v>dmsp_c</v>
          </cell>
          <cell r="B10544" t="str">
            <v>dmsp</v>
          </cell>
          <cell r="C10544" t="str">
            <v xml:space="preserve">3-(dimethylsulfonio)propanoate </v>
          </cell>
        </row>
        <row r="10545">
          <cell r="A10545" t="str">
            <v>octd11ecoa_m</v>
          </cell>
          <cell r="B10545" t="str">
            <v>octd11ecoa</v>
          </cell>
          <cell r="C10545" t="str">
            <v>11-Octadecenoyl Coenzyme A</v>
          </cell>
        </row>
        <row r="10546">
          <cell r="A10546" t="str">
            <v>HC01496_m</v>
          </cell>
          <cell r="B10546" t="str">
            <v>HC01496</v>
          </cell>
          <cell r="C10546" t="str">
            <v>2-Amino-3-Oxoadipate</v>
          </cell>
        </row>
        <row r="10547">
          <cell r="A10547" t="str">
            <v>HC01412_m</v>
          </cell>
          <cell r="B10547" t="str">
            <v>HC01412</v>
          </cell>
          <cell r="C10547" t="str">
            <v>(2E)-Tetradecenoyl Coenzyme A</v>
          </cell>
        </row>
        <row r="10548">
          <cell r="A10548" t="str">
            <v>HC01397_m</v>
          </cell>
          <cell r="B10548" t="str">
            <v>HC01397</v>
          </cell>
          <cell r="C10548" t="str">
            <v>3S-Hydroxyhexadecanoyl Coenzyme A</v>
          </cell>
        </row>
        <row r="10549">
          <cell r="A10549" t="str">
            <v>HC01405_m</v>
          </cell>
          <cell r="B10549" t="str">
            <v>HC01405</v>
          </cell>
          <cell r="C10549" t="str">
            <v>3S-Hydroxy-Octanoyl Coenzyme A</v>
          </cell>
        </row>
        <row r="10550">
          <cell r="A10550" t="str">
            <v>HC01406_m</v>
          </cell>
          <cell r="B10550" t="str">
            <v>HC01406</v>
          </cell>
          <cell r="C10550" t="str">
            <v>3-Oxo-Octanoyl Coenzyme A</v>
          </cell>
        </row>
        <row r="10551">
          <cell r="A10551" t="str">
            <v>atp_l</v>
          </cell>
          <cell r="B10551" t="str">
            <v>atp</v>
          </cell>
          <cell r="C10551" t="str">
            <v>ATP C10H12N5O13P3</v>
          </cell>
        </row>
        <row r="10552">
          <cell r="A10552" t="str">
            <v>cmp_r</v>
          </cell>
          <cell r="B10552" t="str">
            <v>cmp</v>
          </cell>
          <cell r="C10552" t="str">
            <v>CMP C9H12N3O8P</v>
          </cell>
        </row>
        <row r="10553">
          <cell r="A10553" t="str">
            <v>stcoa_r</v>
          </cell>
          <cell r="B10553" t="str">
            <v>stcoa</v>
          </cell>
          <cell r="C10553" t="str">
            <v>Stearoyl-CoA (n-C18:0CoA)</v>
          </cell>
        </row>
        <row r="10554">
          <cell r="A10554" t="str">
            <v>HC02022_r</v>
          </cell>
          <cell r="B10554" t="str">
            <v>HC02022</v>
          </cell>
          <cell r="C10554" t="str">
            <v>Cholest-5-En-3Beta-Yl Octadecanoate</v>
          </cell>
        </row>
        <row r="10555">
          <cell r="A10555" t="str">
            <v>HC10856_m</v>
          </cell>
          <cell r="B10555" t="str">
            <v>HC10856</v>
          </cell>
          <cell r="C10555" t="str">
            <v>Trans,Cis-Octadeca-2,9-Dienoyl Coenzyme A</v>
          </cell>
        </row>
        <row r="10556">
          <cell r="A10556" t="str">
            <v>CE0713_x</v>
          </cell>
          <cell r="B10556" t="str">
            <v>CE0713</v>
          </cell>
          <cell r="C10556" t="str">
            <v>3-oxolinoleoyl-CoA; 3-oxo-(9Z,12Z)-9,12-Octadecadienoyl CoA</v>
          </cell>
        </row>
        <row r="10557">
          <cell r="A10557" t="str">
            <v>CE2873_c</v>
          </cell>
          <cell r="B10557" t="str">
            <v>CE2873</v>
          </cell>
          <cell r="C10557" t="str">
            <v>3,5-Diiodo-L-Thyronine 4-O-Sulfate</v>
          </cell>
        </row>
        <row r="10558">
          <cell r="A10558" t="str">
            <v>CE0849_m</v>
          </cell>
          <cell r="B10558" t="str">
            <v>CE0849</v>
          </cell>
          <cell r="C10558" t="str">
            <v>Cis,Cis-Palmito-7,10-Dienoyl Coenzyme A</v>
          </cell>
        </row>
        <row r="10559">
          <cell r="A10559" t="str">
            <v>CE2433_x</v>
          </cell>
          <cell r="B10559" t="str">
            <v>CE2433</v>
          </cell>
          <cell r="C10559" t="str">
            <v>Trans,Cis,Cis-2,7,10-Hexadecatrienoyl Coenzyme A</v>
          </cell>
        </row>
        <row r="10560">
          <cell r="A10560" t="str">
            <v>CE2432_x</v>
          </cell>
          <cell r="B10560" t="str">
            <v>CE2432</v>
          </cell>
          <cell r="C10560" t="str">
            <v>Trans-2-Cis,Cis-5,8-Tetradecatrienoyl Coenzyme A</v>
          </cell>
        </row>
        <row r="10561">
          <cell r="A10561" t="str">
            <v>CE2420_x</v>
          </cell>
          <cell r="B10561" t="str">
            <v>CE2420</v>
          </cell>
          <cell r="C10561" t="str">
            <v>(3S)-3-hydroxydodec-cis-6-enoyl-CoA</v>
          </cell>
        </row>
        <row r="10562">
          <cell r="A10562" t="str">
            <v>CE2417_x</v>
          </cell>
          <cell r="B10562" t="str">
            <v>CE2417</v>
          </cell>
          <cell r="C10562" t="str">
            <v>3(S)-hydroxy-5Z,8Z-tetradecadienoyl-CoA</v>
          </cell>
        </row>
        <row r="10563">
          <cell r="A10563" t="str">
            <v>CE2422_m</v>
          </cell>
          <cell r="B10563" t="str">
            <v>CE2422</v>
          </cell>
          <cell r="C10563" t="str">
            <v>3-oxo-cis,cis-7,10-hexadecadienoyl-CoA</v>
          </cell>
        </row>
        <row r="10564">
          <cell r="A10564" t="str">
            <v>C05280_x</v>
          </cell>
          <cell r="B10564" t="str">
            <v>C05280</v>
          </cell>
          <cell r="C10564" t="str">
            <v>Cis,Cis-3,6-Dodecadienoyl Coenzyme A</v>
          </cell>
        </row>
        <row r="10565">
          <cell r="A10565" t="str">
            <v>pail345p_hs_r</v>
          </cell>
          <cell r="B10565" t="str">
            <v>pail345p_hs</v>
          </cell>
          <cell r="C10565" t="str">
            <v>Phosphatidylinositol-3,4,5-trisphosphate (Homo sapiens)</v>
          </cell>
        </row>
        <row r="10566">
          <cell r="A10566" t="str">
            <v>CE5854_c</v>
          </cell>
          <cell r="B10566" t="str">
            <v>CE5854</v>
          </cell>
          <cell r="C10566" t="str">
            <v>Gama-CEHC-glucuronide</v>
          </cell>
        </row>
        <row r="10567">
          <cell r="A10567" t="str">
            <v>C05109_c</v>
          </cell>
          <cell r="B10567" t="str">
            <v>C05109</v>
          </cell>
          <cell r="C10567" t="str">
            <v>24,25-Dihydrolanosterol</v>
          </cell>
        </row>
        <row r="10568">
          <cell r="A10568" t="str">
            <v>C01041_c</v>
          </cell>
          <cell r="B10568" t="str">
            <v>C01041</v>
          </cell>
          <cell r="C10568" t="str">
            <v>Monodehydroascorbate</v>
          </cell>
        </row>
        <row r="10569">
          <cell r="A10569" t="str">
            <v>crm_hs_e</v>
          </cell>
          <cell r="B10569" t="str">
            <v>crm_hs</v>
          </cell>
          <cell r="C10569" t="str">
            <v>Ceramide (homo sapiens)</v>
          </cell>
        </row>
        <row r="10570">
          <cell r="A10570" t="str">
            <v>CE2438_x</v>
          </cell>
          <cell r="B10570" t="str">
            <v>CE2438</v>
          </cell>
          <cell r="C10570" t="str">
            <v>3(S)-Hydroxy-6Z,9Z,12Z-Octadecatrienoyl Coenzyme A</v>
          </cell>
        </row>
        <row r="10571">
          <cell r="A10571" t="str">
            <v>CE5118_m</v>
          </cell>
          <cell r="B10571" t="str">
            <v>CE5118</v>
          </cell>
          <cell r="C10571" t="str">
            <v>Trans-2-Cis,Cis-4,8-Tetradecatrienoyl Coenzyme A</v>
          </cell>
        </row>
        <row r="10572">
          <cell r="A10572" t="str">
            <v>CE5119_m</v>
          </cell>
          <cell r="B10572" t="str">
            <v>CE5119</v>
          </cell>
          <cell r="C10572" t="str">
            <v>Trans-3-Cis-8-Tetradecadienoyl Coenzyme A</v>
          </cell>
        </row>
        <row r="10573">
          <cell r="A10573" t="str">
            <v>CE4792_m</v>
          </cell>
          <cell r="B10573" t="str">
            <v>CE4792</v>
          </cell>
          <cell r="C10573" t="str">
            <v>3-Oxo-Cis-8-Tetradecenoyl Coenzyme A</v>
          </cell>
        </row>
        <row r="10574">
          <cell r="A10574" t="str">
            <v>CE2038_x</v>
          </cell>
          <cell r="B10574" t="str">
            <v>CE2038</v>
          </cell>
          <cell r="C10574" t="str">
            <v>Trans-2,3-Dehydropristanoyl Coenzyme A</v>
          </cell>
        </row>
        <row r="10575">
          <cell r="A10575" t="str">
            <v>CE5934_x</v>
          </cell>
          <cell r="B10575" t="str">
            <v>CE5934</v>
          </cell>
          <cell r="C10575" t="str">
            <v>3(R)-Hydroxy-Pristanoyl Coenzyme A</v>
          </cell>
        </row>
        <row r="10576">
          <cell r="A10576" t="str">
            <v>clpndcoa_r</v>
          </cell>
          <cell r="B10576" t="str">
            <v>clpndcoa</v>
          </cell>
          <cell r="C10576" t="str">
            <v>Clupanodonyl CoA</v>
          </cell>
        </row>
        <row r="10577">
          <cell r="A10577" t="str">
            <v>CE2314_c</v>
          </cell>
          <cell r="B10577" t="str">
            <v>CE2314</v>
          </cell>
          <cell r="C10577" t="str">
            <v>4,4-dimethylcholesta-8(9)-en-3beta-ol</v>
          </cell>
        </row>
        <row r="10578">
          <cell r="A10578" t="str">
            <v>adrncoa_r</v>
          </cell>
          <cell r="B10578" t="str">
            <v>adrncoa</v>
          </cell>
          <cell r="C10578" t="str">
            <v>Adrenyl coenzyme A</v>
          </cell>
        </row>
        <row r="10579">
          <cell r="A10579" t="str">
            <v>CE4843_r</v>
          </cell>
          <cell r="B10579" t="str">
            <v>CE4843</v>
          </cell>
          <cell r="C10579" t="str">
            <v>Cis,cis-11,14-eicosadienoyl-CoA</v>
          </cell>
        </row>
        <row r="10580">
          <cell r="A10580" t="str">
            <v>CE4796_m</v>
          </cell>
          <cell r="B10580" t="str">
            <v>CE4796</v>
          </cell>
          <cell r="C10580" t="str">
            <v>3-Oxo-(2S)-Methylisocapryloyl Coenzyme A</v>
          </cell>
        </row>
        <row r="10581">
          <cell r="A10581" t="str">
            <v>12dgr120_e</v>
          </cell>
          <cell r="B10581" t="str">
            <v>12dgr120</v>
          </cell>
          <cell r="C10581" t="str">
            <v>1,2-Diacyl-sn-glycerol (didodecanoyl, n-C12:0)</v>
          </cell>
        </row>
        <row r="10582">
          <cell r="A10582" t="str">
            <v>C05767_c</v>
          </cell>
          <cell r="B10582" t="str">
            <v>C05767</v>
          </cell>
          <cell r="C10582" t="str">
            <v>Uroporphyrin I</v>
          </cell>
        </row>
        <row r="10583">
          <cell r="A10583" t="str">
            <v>c10crn_c</v>
          </cell>
          <cell r="B10583" t="str">
            <v>c10crn</v>
          </cell>
          <cell r="C10583" t="str">
            <v>Decanoyl Carnitine</v>
          </cell>
        </row>
        <row r="10584">
          <cell r="A10584" t="str">
            <v>ddece1crn_c</v>
          </cell>
          <cell r="B10584" t="str">
            <v>ddece1crn</v>
          </cell>
          <cell r="C10584" t="str">
            <v>Dodecenoyl Carnitine</v>
          </cell>
        </row>
        <row r="10585">
          <cell r="A10585" t="str">
            <v>dodecanac_x</v>
          </cell>
          <cell r="B10585" t="str">
            <v>dodecanac</v>
          </cell>
          <cell r="C10585" t="str">
            <v>Dodecanedioic Acid</v>
          </cell>
        </row>
        <row r="10586">
          <cell r="A10586" t="str">
            <v>dodecanac_c</v>
          </cell>
          <cell r="B10586" t="str">
            <v>dodecanac</v>
          </cell>
          <cell r="C10586" t="str">
            <v>Dodecanedioic Acid</v>
          </cell>
        </row>
        <row r="10587">
          <cell r="A10587" t="str">
            <v>c12dc_c</v>
          </cell>
          <cell r="B10587" t="str">
            <v>c12dc</v>
          </cell>
          <cell r="C10587" t="str">
            <v>Dodecanedioyl Carnitine</v>
          </cell>
        </row>
        <row r="10588">
          <cell r="A10588" t="str">
            <v>tetdece1coa_c</v>
          </cell>
          <cell r="B10588" t="str">
            <v>tetdece1coa</v>
          </cell>
          <cell r="C10588" t="str">
            <v>Tetradecenoyl-CoA;(2E)-Tetradecenoyl-CoA</v>
          </cell>
        </row>
        <row r="10589">
          <cell r="A10589" t="str">
            <v>3ttetddcoa_c</v>
          </cell>
          <cell r="B10589" t="str">
            <v>3ttetddcoa</v>
          </cell>
          <cell r="C10589" t="str">
            <v>3-Hydroxy Trans5,8Tetradecadienoyl Coenzyme A</v>
          </cell>
        </row>
        <row r="10590">
          <cell r="A10590" t="str">
            <v>tetdec2crn_c</v>
          </cell>
          <cell r="B10590" t="str">
            <v>tetdec2crn</v>
          </cell>
          <cell r="C10590" t="str">
            <v>Tetradecadienoyl Carnitine</v>
          </cell>
        </row>
        <row r="10591">
          <cell r="A10591" t="str">
            <v>3hdececrn_c</v>
          </cell>
          <cell r="B10591" t="str">
            <v>3hdececrn</v>
          </cell>
          <cell r="C10591" t="str">
            <v>3-Hydroxyhexadecenoylcarnitine</v>
          </cell>
        </row>
        <row r="10592">
          <cell r="A10592" t="str">
            <v>3thexddcoacrn_c</v>
          </cell>
          <cell r="B10592" t="str">
            <v>3thexddcoacrn</v>
          </cell>
          <cell r="C10592" t="str">
            <v>3-Hydroxy Trans7,10-Hexadecadienoyl Carnitine</v>
          </cell>
        </row>
        <row r="10593">
          <cell r="A10593" t="str">
            <v>3octdece1coa_c</v>
          </cell>
          <cell r="B10593" t="str">
            <v>3octdece1coa</v>
          </cell>
          <cell r="C10593" t="str">
            <v>3-Hydroxyoctadecenoyl Coenzyme A</v>
          </cell>
        </row>
        <row r="10594">
          <cell r="A10594" t="str">
            <v>3ocddcoa_c</v>
          </cell>
          <cell r="B10594" t="str">
            <v>3ocddcoa</v>
          </cell>
          <cell r="C10594" t="str">
            <v>3-Hydroxyoctadecadienoyl Coenzyme A</v>
          </cell>
        </row>
        <row r="10595">
          <cell r="A10595" t="str">
            <v>c3dc_e</v>
          </cell>
          <cell r="B10595" t="str">
            <v>c3dc</v>
          </cell>
          <cell r="C10595" t="str">
            <v>Malonyl Carnitine</v>
          </cell>
        </row>
        <row r="10596">
          <cell r="A10596" t="str">
            <v>c5dc_c</v>
          </cell>
          <cell r="B10596" t="str">
            <v>c5dc</v>
          </cell>
          <cell r="C10596" t="str">
            <v>Glutaryl Carnitine</v>
          </cell>
        </row>
        <row r="10597">
          <cell r="A10597" t="str">
            <v>c6crn_e</v>
          </cell>
          <cell r="B10597" t="str">
            <v>c6crn</v>
          </cell>
          <cell r="C10597" t="str">
            <v>Hexanoyl Carnitine</v>
          </cell>
        </row>
        <row r="10598">
          <cell r="A10598" t="str">
            <v>c81crn_e</v>
          </cell>
          <cell r="B10598" t="str">
            <v>c81crn</v>
          </cell>
          <cell r="C10598" t="str">
            <v>Octenoyl Carnitine</v>
          </cell>
        </row>
        <row r="10599">
          <cell r="A10599" t="str">
            <v>decdicrn_e</v>
          </cell>
          <cell r="B10599" t="str">
            <v>decdicrn</v>
          </cell>
          <cell r="C10599" t="str">
            <v>Decadienoyl Carnitine</v>
          </cell>
        </row>
        <row r="10600">
          <cell r="A10600" t="str">
            <v>doco13ac_e</v>
          </cell>
          <cell r="B10600" t="str">
            <v>doco13ac</v>
          </cell>
          <cell r="C10600" t="str">
            <v>13Z)-13-docosenoic acid</v>
          </cell>
        </row>
        <row r="10601">
          <cell r="A10601" t="str">
            <v>3octdece1crn_e</v>
          </cell>
          <cell r="B10601" t="str">
            <v>3octdece1crn</v>
          </cell>
          <cell r="C10601" t="str">
            <v>3-Hydroxy-Octadecenoyl Carnitine</v>
          </cell>
        </row>
        <row r="10602">
          <cell r="A10602" t="str">
            <v>dec47dicoa_m</v>
          </cell>
          <cell r="B10602" t="str">
            <v>dec47dicoa</v>
          </cell>
          <cell r="C10602" t="str">
            <v>4,7-Decadienoyl Coenzyme A</v>
          </cell>
        </row>
        <row r="10603">
          <cell r="A10603" t="str">
            <v>dectricoa_x</v>
          </cell>
          <cell r="B10603" t="str">
            <v>dectricoa</v>
          </cell>
          <cell r="C10603" t="str">
            <v>2,4,7-Decatrienoyl Coenzyme A</v>
          </cell>
        </row>
        <row r="10604">
          <cell r="A10604" t="str">
            <v>octe5coa_m</v>
          </cell>
          <cell r="B10604" t="str">
            <v>octe5coa</v>
          </cell>
          <cell r="C10604" t="str">
            <v>5-Octenoyl Coenzyme A</v>
          </cell>
        </row>
        <row r="10605">
          <cell r="A10605" t="str">
            <v>3decdicoa_m</v>
          </cell>
          <cell r="B10605" t="str">
            <v>3decdicoa</v>
          </cell>
          <cell r="C10605" t="str">
            <v>3,7-Decadienoyl Coenzyme A</v>
          </cell>
        </row>
        <row r="10606">
          <cell r="A10606" t="str">
            <v>noncoa_m</v>
          </cell>
          <cell r="B10606" t="str">
            <v>noncoa</v>
          </cell>
          <cell r="C10606" t="str">
            <v>Nonanoyl Coenzyme A</v>
          </cell>
        </row>
        <row r="10607">
          <cell r="A10607" t="str">
            <v>dd5ecoa_m</v>
          </cell>
          <cell r="B10607" t="str">
            <v>dd5ecoa</v>
          </cell>
          <cell r="C10607" t="str">
            <v>5-Dodecenoyl Coenzyme A</v>
          </cell>
        </row>
        <row r="10608">
          <cell r="A10608" t="str">
            <v>2dodtricoa_x</v>
          </cell>
          <cell r="B10608" t="str">
            <v>2dodtricoa</v>
          </cell>
          <cell r="C10608" t="str">
            <v>2,6,9-Dodecatrienoyl Coenzyme A</v>
          </cell>
        </row>
        <row r="10609">
          <cell r="A10609" t="str">
            <v>3dodtricoa_m</v>
          </cell>
          <cell r="B10609" t="str">
            <v>3dodtricoa</v>
          </cell>
          <cell r="C10609" t="str">
            <v>3,6,9-Dodecatrienoyl Coenzyme A</v>
          </cell>
        </row>
        <row r="10610">
          <cell r="A10610" t="str">
            <v>c12dc_x</v>
          </cell>
          <cell r="B10610" t="str">
            <v>c12dc</v>
          </cell>
          <cell r="C10610" t="str">
            <v>Dodecanedioyl Carnitine</v>
          </cell>
        </row>
        <row r="10611">
          <cell r="A10611" t="str">
            <v>ttetddcoa_m</v>
          </cell>
          <cell r="B10611" t="str">
            <v>ttetddcoa</v>
          </cell>
          <cell r="C10611" t="str">
            <v>Trans5,8Tetradecadienoyl Coenzyme A</v>
          </cell>
        </row>
        <row r="10612">
          <cell r="A10612" t="str">
            <v>3hdeccoa_m</v>
          </cell>
          <cell r="B10612" t="str">
            <v>3hdeccoa</v>
          </cell>
          <cell r="C10612" t="str">
            <v>3-Hydroxyhexadecenoyl Coenzyme A</v>
          </cell>
        </row>
        <row r="10613">
          <cell r="A10613" t="str">
            <v>4hexdtricoa_m</v>
          </cell>
          <cell r="B10613" t="str">
            <v>4hexdtricoa</v>
          </cell>
          <cell r="C10613" t="str">
            <v>4,7,10-Hexadecatrienoyl Coenzyme A</v>
          </cell>
        </row>
        <row r="10614">
          <cell r="A10614" t="str">
            <v>hexdectecoa_x</v>
          </cell>
          <cell r="B10614" t="str">
            <v>hexdectecoa</v>
          </cell>
          <cell r="C10614" t="str">
            <v>2,4,7,10-Hexadecatetraenoyl Coenzyme A</v>
          </cell>
        </row>
        <row r="10615">
          <cell r="A10615" t="str">
            <v>3hexdtricoa_m</v>
          </cell>
          <cell r="B10615" t="str">
            <v>3hexdtricoa</v>
          </cell>
          <cell r="C10615" t="str">
            <v>3,7,10-Hexadecatrienoyl Coenzyme A</v>
          </cell>
        </row>
        <row r="10616">
          <cell r="A10616" t="str">
            <v>3hexdtetcoa_m</v>
          </cell>
          <cell r="B10616" t="str">
            <v>3hexdtetcoa</v>
          </cell>
          <cell r="C10616" t="str">
            <v>3,7,10,13-Hexadecatetraenoyl Coenzyme A</v>
          </cell>
        </row>
        <row r="10617">
          <cell r="A10617" t="str">
            <v>2octdectecoa_m</v>
          </cell>
          <cell r="B10617" t="str">
            <v>2octdectecoa</v>
          </cell>
          <cell r="C10617" t="str">
            <v>2,6,9,12-Octadecatetraenoyl Coenzyme A</v>
          </cell>
        </row>
        <row r="10618">
          <cell r="A10618" t="str">
            <v>3octdectecoa_m</v>
          </cell>
          <cell r="B10618" t="str">
            <v>3octdectecoa</v>
          </cell>
          <cell r="C10618" t="str">
            <v>3,6,9,12-Octadecatetraenoyl Coenzyme A</v>
          </cell>
        </row>
        <row r="10619">
          <cell r="A10619" t="str">
            <v>2octpencoa_m</v>
          </cell>
          <cell r="B10619" t="str">
            <v>2octpencoa</v>
          </cell>
          <cell r="C10619" t="str">
            <v>2,6,9,12,15-Octadecapentenoyl Coenzyme A</v>
          </cell>
        </row>
        <row r="10620">
          <cell r="A10620" t="str">
            <v>eitetcoa_x</v>
          </cell>
          <cell r="B10620" t="str">
            <v>eitetcoa</v>
          </cell>
          <cell r="C10620" t="str">
            <v>5,8,11,14-Eicosatetraenoyl Coenzyme A</v>
          </cell>
        </row>
        <row r="10621">
          <cell r="A10621" t="str">
            <v>2docopencoa_m</v>
          </cell>
          <cell r="B10621" t="str">
            <v>2docopencoa</v>
          </cell>
          <cell r="C10621" t="str">
            <v>2,7,10,13,16-Docosapentenoyl Coenzyme A</v>
          </cell>
        </row>
        <row r="10622">
          <cell r="A10622" t="str">
            <v>3docopencoa_m</v>
          </cell>
          <cell r="B10622" t="str">
            <v>3docopencoa</v>
          </cell>
          <cell r="C10622" t="str">
            <v>3,7,10,13,16-Docosapentenoyl Coenzyme A</v>
          </cell>
        </row>
        <row r="10623">
          <cell r="A10623" t="str">
            <v>tddedi2coa_m</v>
          </cell>
          <cell r="B10623" t="str">
            <v>tddedi2coa</v>
          </cell>
          <cell r="C10623" t="str">
            <v>Trans2,6Dodecadienoyl Coenzyme A</v>
          </cell>
        </row>
        <row r="10624">
          <cell r="A10624" t="str">
            <v>tddedicoa_m</v>
          </cell>
          <cell r="B10624" t="str">
            <v>tddedicoa</v>
          </cell>
          <cell r="C10624" t="str">
            <v>Trans3,6Dodecadienoyl Coenzyme A</v>
          </cell>
        </row>
        <row r="10625">
          <cell r="A10625" t="str">
            <v>octdececrn_m</v>
          </cell>
          <cell r="B10625" t="str">
            <v>octdececrn</v>
          </cell>
          <cell r="C10625" t="str">
            <v>Octadecenoyl Carnitine (Hypothetical, Position Of Double Bond Unknown)</v>
          </cell>
        </row>
        <row r="10626">
          <cell r="A10626" t="str">
            <v>quln_e</v>
          </cell>
          <cell r="B10626" t="str">
            <v>quln</v>
          </cell>
          <cell r="C10626" t="str">
            <v>Quinolinate</v>
          </cell>
        </row>
        <row r="10627">
          <cell r="A10627" t="str">
            <v>nicrnt_e</v>
          </cell>
          <cell r="B10627" t="str">
            <v>nicrnt</v>
          </cell>
          <cell r="C10627" t="str">
            <v>Nicotinate D-ribonucleotide</v>
          </cell>
        </row>
        <row r="10628">
          <cell r="A10628" t="str">
            <v>pcrn_e</v>
          </cell>
          <cell r="B10628" t="str">
            <v>pcrn</v>
          </cell>
          <cell r="C10628" t="str">
            <v>Propionyl-carnitine</v>
          </cell>
        </row>
        <row r="10629">
          <cell r="A10629" t="str">
            <v>odecrn_e</v>
          </cell>
          <cell r="B10629" t="str">
            <v>odecrn</v>
          </cell>
          <cell r="C10629" t="str">
            <v>Octadecenoyl carnitine</v>
          </cell>
        </row>
        <row r="10630">
          <cell r="A10630" t="str">
            <v>pmtcrn_e</v>
          </cell>
          <cell r="B10630" t="str">
            <v>pmtcrn</v>
          </cell>
          <cell r="C10630" t="str">
            <v>L-Palmitoylcarnitine</v>
          </cell>
        </row>
        <row r="10631">
          <cell r="A10631" t="str">
            <v>hdcecrn_e</v>
          </cell>
          <cell r="B10631" t="str">
            <v>hdcecrn</v>
          </cell>
          <cell r="C10631" t="str">
            <v>Hexadecenoyl carnitine</v>
          </cell>
        </row>
        <row r="10632">
          <cell r="A10632" t="str">
            <v>bgly_e</v>
          </cell>
          <cell r="B10632" t="str">
            <v>bgly</v>
          </cell>
          <cell r="C10632" t="str">
            <v>N-Benzoylglycine</v>
          </cell>
        </row>
        <row r="10633">
          <cell r="A10633" t="str">
            <v>phlac_c</v>
          </cell>
          <cell r="B10633" t="str">
            <v>phlac</v>
          </cell>
          <cell r="C10633" t="str">
            <v>Phenyllactate</v>
          </cell>
        </row>
        <row r="10634">
          <cell r="A10634" t="str">
            <v>3mhis_c</v>
          </cell>
          <cell r="B10634" t="str">
            <v>3mhis</v>
          </cell>
          <cell r="C10634" t="str">
            <v>3-Methylhistidine</v>
          </cell>
        </row>
        <row r="10635">
          <cell r="A10635" t="str">
            <v>peole_hs_e</v>
          </cell>
          <cell r="B10635" t="str">
            <v>peole_hs</v>
          </cell>
          <cell r="C10635" t="str">
            <v>1-Oleoylglycerophosphoethanolamine (Delta 9)</v>
          </cell>
        </row>
        <row r="10636">
          <cell r="A10636" t="str">
            <v>peste_hs_e</v>
          </cell>
          <cell r="B10636" t="str">
            <v>peste_hs</v>
          </cell>
          <cell r="C10636" t="str">
            <v>1-Stearoylglycerophosphoethanolamine</v>
          </cell>
        </row>
        <row r="10637">
          <cell r="A10637" t="str">
            <v>pailste_hs_e</v>
          </cell>
          <cell r="B10637" t="str">
            <v>pailste_hs</v>
          </cell>
          <cell r="C10637" t="str">
            <v>1-Stearoylglycerophosphoinositol</v>
          </cell>
        </row>
        <row r="10638">
          <cell r="A10638" t="str">
            <v>pchol2ste_hs_e</v>
          </cell>
          <cell r="B10638" t="str">
            <v>pchol2ste_hs</v>
          </cell>
          <cell r="C10638" t="str">
            <v>2-Stearoylglycerophosphocholine</v>
          </cell>
        </row>
        <row r="10639">
          <cell r="A10639" t="str">
            <v>pcholn225_hs_e</v>
          </cell>
          <cell r="B10639" t="str">
            <v>pcholn225_hs</v>
          </cell>
          <cell r="C10639" t="str">
            <v>1-Docosapentenoylglycerophosphocholine (Delta 7, 10, 13, 16, 19), Sn1-Lpc (22:5)-W3</v>
          </cell>
        </row>
        <row r="10640">
          <cell r="A10640" t="str">
            <v>pe224_hs_e</v>
          </cell>
          <cell r="B10640" t="str">
            <v>pe224_hs</v>
          </cell>
          <cell r="C10640" t="str">
            <v>1-Docosatetraenoyglycerophosphoethanolamine (22:4, Delta 7, 10, 13, 16)</v>
          </cell>
        </row>
        <row r="10641">
          <cell r="A10641" t="str">
            <v>pedh203_hs_e</v>
          </cell>
          <cell r="B10641" t="str">
            <v>pedh203_hs</v>
          </cell>
          <cell r="C10641" t="str">
            <v>1-Dihomo-Linolenoylglycerophosphoethanolamine (20:3, Delta 8, 11, 14)</v>
          </cell>
        </row>
        <row r="10642">
          <cell r="A10642" t="str">
            <v>pe14_hs_e</v>
          </cell>
          <cell r="B10642" t="str">
            <v>pe14_hs</v>
          </cell>
          <cell r="C10642" t="str">
            <v>1-Myristoylglycerophosphoethanolamine (C14:0 Pe)</v>
          </cell>
        </row>
        <row r="10643">
          <cell r="A10643" t="str">
            <v>pe13_hs_e</v>
          </cell>
          <cell r="B10643" t="str">
            <v>pe13_hs</v>
          </cell>
          <cell r="C10643" t="str">
            <v>1-Tridecanoylglycerophosphoethanolamine (C13:0 Pe)</v>
          </cell>
        </row>
        <row r="10644">
          <cell r="A10644" t="str">
            <v>pcholeic_hs_e</v>
          </cell>
          <cell r="B10644" t="str">
            <v>pcholeic_hs</v>
          </cell>
          <cell r="C10644" t="str">
            <v>1-Eicosadienoylglycerophosphocholine (Delta 11,14)</v>
          </cell>
        </row>
        <row r="10645">
          <cell r="A10645" t="str">
            <v>sphmyln18121_hs_c</v>
          </cell>
          <cell r="B10645" t="str">
            <v>sphmyln18121_hs</v>
          </cell>
          <cell r="C10645" t="str">
            <v>Sm (D18:1/21:0), Sphingomyelin</v>
          </cell>
        </row>
        <row r="10646">
          <cell r="A10646" t="str">
            <v>sphmyln181221_hs_c</v>
          </cell>
          <cell r="B10646" t="str">
            <v>sphmyln181221_hs</v>
          </cell>
          <cell r="C10646" t="str">
            <v>Sm (D18:1/22:1), Sphingomyelin</v>
          </cell>
        </row>
        <row r="10647">
          <cell r="A10647" t="str">
            <v>sphmyln18122_hs_c</v>
          </cell>
          <cell r="B10647" t="str">
            <v>sphmyln18122_hs</v>
          </cell>
          <cell r="C10647" t="str">
            <v>Sm (D18:1/22:0), Sphingomyelin</v>
          </cell>
        </row>
        <row r="10648">
          <cell r="A10648" t="str">
            <v>xolest182_hs_l</v>
          </cell>
          <cell r="B10648" t="str">
            <v>xolest182_hs</v>
          </cell>
          <cell r="C10648" t="str">
            <v>1-Linoleoyl-Cholesterol, Cholesterol-Ester (18:2, Delta 9, 12)</v>
          </cell>
        </row>
        <row r="10649">
          <cell r="A10649" t="str">
            <v>tmndnc_l</v>
          </cell>
          <cell r="B10649" t="str">
            <v>tmndnc</v>
          </cell>
          <cell r="C10649" t="str">
            <v>Timnodonic acid C20:5, n-3</v>
          </cell>
        </row>
        <row r="10650">
          <cell r="A10650" t="str">
            <v>maglinl_hs_e</v>
          </cell>
          <cell r="B10650" t="str">
            <v>maglinl_hs</v>
          </cell>
          <cell r="C10650" t="str">
            <v>1-Linoleoylglycerol</v>
          </cell>
        </row>
        <row r="10651">
          <cell r="A10651" t="str">
            <v>magpalm_hs_e</v>
          </cell>
          <cell r="B10651" t="str">
            <v>magpalm_hs</v>
          </cell>
          <cell r="C10651" t="str">
            <v>1-Palmitoylglycerol</v>
          </cell>
        </row>
        <row r="10652">
          <cell r="A10652" t="str">
            <v>magarachi_hs_e</v>
          </cell>
          <cell r="B10652" t="str">
            <v>magarachi_hs</v>
          </cell>
          <cell r="C10652" t="str">
            <v>1-Arachidonoyl Glycerol</v>
          </cell>
        </row>
        <row r="10653">
          <cell r="A10653" t="str">
            <v>pcholmyr_hs_c</v>
          </cell>
          <cell r="B10653" t="str">
            <v>pcholmyr_hs</v>
          </cell>
          <cell r="C10653" t="str">
            <v>1-Myristoylglycerophosphocholine</v>
          </cell>
        </row>
        <row r="10654">
          <cell r="A10654" t="str">
            <v>pepalm_hs_c</v>
          </cell>
          <cell r="B10654" t="str">
            <v>pepalm_hs</v>
          </cell>
          <cell r="C10654" t="str">
            <v>1-Palmitoylglycerophosphoethanolamine</v>
          </cell>
        </row>
        <row r="10655">
          <cell r="A10655" t="str">
            <v>pailpalm_hs_c</v>
          </cell>
          <cell r="B10655" t="str">
            <v>pailpalm_hs</v>
          </cell>
          <cell r="C10655" t="str">
            <v>1-Palmitoylglycerophosphoinositol</v>
          </cell>
        </row>
        <row r="10656">
          <cell r="A10656" t="str">
            <v>pchol2linl_hs_c</v>
          </cell>
          <cell r="B10656" t="str">
            <v>pchol2linl_hs</v>
          </cell>
          <cell r="C10656" t="str">
            <v>2-Linoleoylglycerophosphocholine</v>
          </cell>
        </row>
        <row r="10657">
          <cell r="A10657" t="str">
            <v>pchol2ole_hs_c</v>
          </cell>
          <cell r="B10657" t="str">
            <v>pchol2ole_hs</v>
          </cell>
          <cell r="C10657" t="str">
            <v>2-Oleoylglycerophosphocholine</v>
          </cell>
        </row>
        <row r="10658">
          <cell r="A10658" t="str">
            <v>pchol2palm_hs_c</v>
          </cell>
          <cell r="B10658" t="str">
            <v>pchol2palm_hs</v>
          </cell>
          <cell r="C10658" t="str">
            <v>2-Palmitoylglycerophosphocholine</v>
          </cell>
        </row>
        <row r="10659">
          <cell r="A10659" t="str">
            <v>pcholn15_hs_c</v>
          </cell>
          <cell r="B10659" t="str">
            <v>pcholn15_hs</v>
          </cell>
          <cell r="C10659" t="str">
            <v>1-Pentadecanoylglycerophosphocholine, Sn1-Lpc (15:0)</v>
          </cell>
        </row>
        <row r="10660">
          <cell r="A10660" t="str">
            <v>pcholn183_hs_c</v>
          </cell>
          <cell r="B10660" t="str">
            <v>pcholn183_hs</v>
          </cell>
          <cell r="C10660" t="str">
            <v>1-Octadeca-Trienoylglycerophosphocholine, Sn1-Lpc (18:3, Delta 9, 12, 15)</v>
          </cell>
        </row>
        <row r="10661">
          <cell r="A10661" t="str">
            <v>pcholn204_hs_c</v>
          </cell>
          <cell r="B10661" t="str">
            <v>pcholn204_hs</v>
          </cell>
          <cell r="C10661" t="str">
            <v>1-Eicosatetraenoylglycerophosphocholine (Delta 8, 11, 14, 17), Sn1-Lpc (20:4)</v>
          </cell>
        </row>
        <row r="10662">
          <cell r="A10662" t="str">
            <v>pe203_hs_c</v>
          </cell>
          <cell r="B10662" t="str">
            <v>pe203_hs</v>
          </cell>
          <cell r="C10662" t="str">
            <v>1-Eicosatrienoylglycerophosphoethanolamine (Delta 11, 14, 17), Lpe (20:3)</v>
          </cell>
        </row>
        <row r="10663">
          <cell r="A10663" t="str">
            <v>pe12_hs_c</v>
          </cell>
          <cell r="B10663" t="str">
            <v>pe12_hs</v>
          </cell>
          <cell r="C10663" t="str">
            <v>1-Didecanoylglycerophosphoethanolamine (C12:0 Pe)</v>
          </cell>
        </row>
        <row r="10664">
          <cell r="A10664" t="str">
            <v>pe17_hs_c</v>
          </cell>
          <cell r="B10664" t="str">
            <v>pe17_hs</v>
          </cell>
          <cell r="C10664" t="str">
            <v>1-Heptadecanoylglycerophosphoethanolamine (C17:0 Pe)</v>
          </cell>
        </row>
        <row r="10665">
          <cell r="A10665" t="str">
            <v>pcholn24_hs_c</v>
          </cell>
          <cell r="B10665" t="str">
            <v>pcholn24_hs</v>
          </cell>
          <cell r="C10665" t="str">
            <v>1-Lignocericylglycerophosphocholine (24:0), Lysopc A C24</v>
          </cell>
        </row>
        <row r="10666">
          <cell r="A10666" t="str">
            <v>pcholn261_hs_c</v>
          </cell>
          <cell r="B10666" t="str">
            <v>pcholn261_hs</v>
          </cell>
          <cell r="C10666" t="str">
            <v>Lysopc A C26:1 (Delta 5)</v>
          </cell>
        </row>
        <row r="10667">
          <cell r="A10667" t="str">
            <v>pcholn281_hs_c</v>
          </cell>
          <cell r="B10667" t="str">
            <v>pcholn281_hs</v>
          </cell>
          <cell r="C10667" t="str">
            <v>Lysopc A C28:1 (Delta 5)</v>
          </cell>
        </row>
        <row r="10668">
          <cell r="A10668" t="str">
            <v>pcholn28_hs_c</v>
          </cell>
          <cell r="B10668" t="str">
            <v>pcholn28_hs</v>
          </cell>
          <cell r="C10668" t="str">
            <v>Lysopc A C28:0</v>
          </cell>
        </row>
        <row r="10669">
          <cell r="A10669" t="str">
            <v>pcholet_hs_c</v>
          </cell>
          <cell r="B10669" t="str">
            <v>pcholet_hs</v>
          </cell>
          <cell r="C10669" t="str">
            <v>1-Eicosatrienoylglycerophosphocholine (Delta 11, 14, 17)</v>
          </cell>
        </row>
        <row r="10670">
          <cell r="A10670" t="str">
            <v>pcholhep_hs_c</v>
          </cell>
          <cell r="B10670" t="str">
            <v>pcholhep_hs</v>
          </cell>
          <cell r="C10670" t="str">
            <v>1-Heptadecanoylglycerophosphocholine</v>
          </cell>
        </row>
        <row r="10671">
          <cell r="A10671" t="str">
            <v>pchollinl_hs_c</v>
          </cell>
          <cell r="B10671" t="str">
            <v>pchollinl_hs</v>
          </cell>
          <cell r="C10671" t="str">
            <v>1-Linoleoylglycerophosphocholine (Delta 9,12)</v>
          </cell>
        </row>
        <row r="10672">
          <cell r="A10672" t="str">
            <v>tetdeca511ac_c</v>
          </cell>
          <cell r="B10672" t="str">
            <v>tetdeca511ac</v>
          </cell>
          <cell r="C10672" t="str">
            <v>Cia-5,8, Tetradecadienoic Acid</v>
          </cell>
        </row>
        <row r="10673">
          <cell r="A10673" t="str">
            <v>aclys_c</v>
          </cell>
          <cell r="B10673" t="str">
            <v>aclys</v>
          </cell>
          <cell r="C10673" t="str">
            <v>Acetyl-L-Lysine</v>
          </cell>
        </row>
        <row r="10674">
          <cell r="A10674" t="str">
            <v>4mtob_c</v>
          </cell>
          <cell r="B10674" t="str">
            <v>4mtob</v>
          </cell>
          <cell r="C10674" t="str">
            <v>4-Methyl-Thio-Oxo-Butyrate</v>
          </cell>
        </row>
        <row r="10675">
          <cell r="A10675" t="str">
            <v>15HPET_e</v>
          </cell>
          <cell r="B10675" t="str">
            <v>15HPET</v>
          </cell>
          <cell r="C10675" t="str">
            <v>15-Hydroperoxyeicosatetraenoic acid</v>
          </cell>
        </row>
        <row r="10676">
          <cell r="A10676" t="str">
            <v>21hprgnlone_e</v>
          </cell>
          <cell r="B10676" t="str">
            <v>21hprgnlone</v>
          </cell>
          <cell r="C10676" t="str">
            <v>21-Hydroxypregnenolone</v>
          </cell>
        </row>
        <row r="10677">
          <cell r="A10677" t="str">
            <v>34hpl_e</v>
          </cell>
          <cell r="B10677" t="str">
            <v>34hpl</v>
          </cell>
          <cell r="C10677" t="str">
            <v>3  4 Hydroxyphenyl lactate C9H9O4</v>
          </cell>
        </row>
        <row r="10678">
          <cell r="A10678" t="str">
            <v>3hpppnohgluc_e</v>
          </cell>
          <cell r="B10678" t="str">
            <v>3hpppnohgluc</v>
          </cell>
          <cell r="C10678" t="str">
            <v>3-(3-Hydroxy-Phenyl)Propionate Hydroxy Derivative Glucuronide</v>
          </cell>
        </row>
        <row r="10679">
          <cell r="A10679" t="str">
            <v>3hpppnoh_c</v>
          </cell>
          <cell r="B10679" t="str">
            <v>3hpppnoh</v>
          </cell>
          <cell r="C10679" t="str">
            <v>3-(3-Hydroxy-Phenyl)Propionate Hydroxy Derivative</v>
          </cell>
        </row>
        <row r="10680">
          <cell r="A10680" t="str">
            <v>4aabutn_e</v>
          </cell>
          <cell r="B10680" t="str">
            <v>4aabutn</v>
          </cell>
          <cell r="C10680" t="str">
            <v>4 Acetamidobutanoate C6H10NO3</v>
          </cell>
        </row>
        <row r="10681">
          <cell r="A10681" t="str">
            <v>4tmeabutn_e</v>
          </cell>
          <cell r="B10681" t="str">
            <v>4tmeabutn</v>
          </cell>
          <cell r="C10681" t="str">
            <v>4-Trimethylammoniobutanoate</v>
          </cell>
        </row>
        <row r="10682">
          <cell r="A10682" t="str">
            <v>56dthm_e</v>
          </cell>
          <cell r="B10682" t="str">
            <v>56dthm</v>
          </cell>
          <cell r="C10682" t="str">
            <v>5,6-Dihydrothymine</v>
          </cell>
        </row>
        <row r="10683">
          <cell r="A10683" t="str">
            <v>acglu_e</v>
          </cell>
          <cell r="B10683" t="str">
            <v>acglu</v>
          </cell>
          <cell r="C10683" t="str">
            <v>N-Acetyl-L-glutamate</v>
          </cell>
        </row>
        <row r="10684">
          <cell r="A10684" t="str">
            <v>acgly_e</v>
          </cell>
          <cell r="B10684" t="str">
            <v>acgly</v>
          </cell>
          <cell r="C10684" t="str">
            <v>Acetyl-Glycine</v>
          </cell>
        </row>
        <row r="10685">
          <cell r="A10685" t="str">
            <v>acorn_e</v>
          </cell>
          <cell r="B10685" t="str">
            <v>acorn</v>
          </cell>
          <cell r="C10685" t="str">
            <v>N2-Acetyl-L-ornithine</v>
          </cell>
        </row>
        <row r="10686">
          <cell r="A10686" t="str">
            <v>acthr__L_m</v>
          </cell>
          <cell r="B10686" t="str">
            <v>acthr__L</v>
          </cell>
          <cell r="C10686" t="str">
            <v xml:space="preserve">Acetyl-Threonine </v>
          </cell>
        </row>
        <row r="10687">
          <cell r="A10687" t="str">
            <v>adpoh_e</v>
          </cell>
          <cell r="B10687" t="str">
            <v>adpoh</v>
          </cell>
          <cell r="C10687" t="str">
            <v>2-Hydroxyadipic Acid</v>
          </cell>
        </row>
        <row r="10688">
          <cell r="A10688" t="str">
            <v>biliverd_e</v>
          </cell>
          <cell r="B10688" t="str">
            <v>biliverd</v>
          </cell>
          <cell r="C10688" t="str">
            <v>Biliverdin cytosol</v>
          </cell>
        </row>
        <row r="10689">
          <cell r="A10689" t="str">
            <v>CE1243_e</v>
          </cell>
          <cell r="B10689" t="str">
            <v>CE1243</v>
          </cell>
          <cell r="C10689" t="str">
            <v>12S-HHT</v>
          </cell>
        </row>
        <row r="10690">
          <cell r="A10690" t="str">
            <v>CE7082_e</v>
          </cell>
          <cell r="B10690" t="str">
            <v>CE7082</v>
          </cell>
          <cell r="C10690" t="str">
            <v>15(S)-HEPE</v>
          </cell>
        </row>
        <row r="10691">
          <cell r="A10691" t="str">
            <v>forglu_e</v>
          </cell>
          <cell r="B10691" t="str">
            <v>forglu</v>
          </cell>
          <cell r="C10691" t="str">
            <v>N-Formimidoyl-L-glutamate</v>
          </cell>
        </row>
        <row r="10692">
          <cell r="A10692" t="str">
            <v>HC00900_e</v>
          </cell>
          <cell r="B10692" t="str">
            <v>HC00900</v>
          </cell>
          <cell r="C10692" t="str">
            <v>Methylmalonate</v>
          </cell>
        </row>
        <row r="10693">
          <cell r="A10693" t="str">
            <v>hexdeceeth_e</v>
          </cell>
          <cell r="B10693" t="str">
            <v>hexdeceeth</v>
          </cell>
          <cell r="C10693" t="str">
            <v>Hexadecenoyl Ethanolamide, C16:1-Ethanolamide (Delta 9)</v>
          </cell>
        </row>
        <row r="10694">
          <cell r="A10694" t="str">
            <v>hmcr_e</v>
          </cell>
          <cell r="B10694" t="str">
            <v>hmcr</v>
          </cell>
          <cell r="C10694" t="str">
            <v>Homocitrulline</v>
          </cell>
        </row>
        <row r="10695">
          <cell r="A10695" t="str">
            <v>leuktrB4woh_e</v>
          </cell>
          <cell r="B10695" t="str">
            <v>leuktrB4woh</v>
          </cell>
          <cell r="C10695" t="str">
            <v>W-hydroxyl leukotriene B4</v>
          </cell>
        </row>
        <row r="10696">
          <cell r="A10696" t="str">
            <v>lineth_e</v>
          </cell>
          <cell r="B10696" t="str">
            <v>lineth</v>
          </cell>
          <cell r="C10696" t="str">
            <v>Linoleoyl Ethanolamide</v>
          </cell>
        </row>
        <row r="10697">
          <cell r="A10697" t="str">
            <v>lthstrl_e</v>
          </cell>
          <cell r="B10697" t="str">
            <v>lthstrl</v>
          </cell>
          <cell r="C10697" t="str">
            <v>5alpha-Cholest-7-en-3beta-ol</v>
          </cell>
        </row>
        <row r="10698">
          <cell r="A10698" t="str">
            <v>saccrp__L_e</v>
          </cell>
          <cell r="B10698" t="str">
            <v>saccrp__L</v>
          </cell>
          <cell r="C10698" t="str">
            <v>L Saccharopine C11H19N2O6</v>
          </cell>
        </row>
        <row r="10699">
          <cell r="A10699" t="str">
            <v>sphmyln180241_hs_e</v>
          </cell>
          <cell r="B10699" t="str">
            <v>sphmyln180241_hs</v>
          </cell>
          <cell r="C10699" t="str">
            <v>Sm (D18:0/24:1), Sphingomyelin</v>
          </cell>
        </row>
        <row r="10700">
          <cell r="A10700" t="str">
            <v>sphmyln18114_hs_e</v>
          </cell>
          <cell r="B10700" t="str">
            <v>sphmyln18114_hs</v>
          </cell>
          <cell r="C10700" t="str">
            <v>Sm (D18:1/14:0), Sphingomyelin</v>
          </cell>
        </row>
        <row r="10701">
          <cell r="A10701" t="str">
            <v>sphmyln18116_hs_e</v>
          </cell>
          <cell r="B10701" t="str">
            <v>sphmyln18116_hs</v>
          </cell>
          <cell r="C10701" t="str">
            <v>Sm (D18:1/16:0), Sphingomyelin</v>
          </cell>
        </row>
        <row r="10702">
          <cell r="A10702" t="str">
            <v>sphmyln18118_hs_e</v>
          </cell>
          <cell r="B10702" t="str">
            <v>sphmyln18118_hs</v>
          </cell>
          <cell r="C10702" t="str">
            <v>Sm (D18:1/18:0), Sphingomyelin</v>
          </cell>
        </row>
        <row r="10703">
          <cell r="A10703" t="str">
            <v>sphmyln18120_hs_e</v>
          </cell>
          <cell r="B10703" t="str">
            <v>sphmyln18120_hs</v>
          </cell>
          <cell r="C10703" t="str">
            <v>Sm (D18:1/20:0), Sphingomyelin</v>
          </cell>
        </row>
        <row r="10704">
          <cell r="A10704" t="str">
            <v>sphmyln181201_hs_e</v>
          </cell>
          <cell r="B10704" t="str">
            <v>sphmyln181201_hs</v>
          </cell>
          <cell r="C10704" t="str">
            <v>Sm (D18:1/20:1), Sphingomyelin</v>
          </cell>
        </row>
        <row r="10705">
          <cell r="A10705" t="str">
            <v>steeth_e</v>
          </cell>
          <cell r="B10705" t="str">
            <v>steeth</v>
          </cell>
          <cell r="C10705" t="str">
            <v>Stearoyl Ethanolamide</v>
          </cell>
        </row>
        <row r="10706">
          <cell r="A10706" t="str">
            <v>hxa_m</v>
          </cell>
          <cell r="B10706" t="str">
            <v>hxa</v>
          </cell>
          <cell r="C10706" t="str">
            <v>Hexanoate (n-C6:0)</v>
          </cell>
        </row>
        <row r="10707">
          <cell r="A10707" t="str">
            <v>acile__L_e</v>
          </cell>
          <cell r="B10707" t="str">
            <v>acile__L</v>
          </cell>
          <cell r="C10707" t="str">
            <v>Acetyl Isoleucine (Chemspider Id: 9964364)</v>
          </cell>
        </row>
        <row r="10708">
          <cell r="A10708" t="str">
            <v>acleu__L_e</v>
          </cell>
          <cell r="B10708" t="str">
            <v>acleu__L</v>
          </cell>
          <cell r="C10708" t="str">
            <v>N-Acetylleucine</v>
          </cell>
        </row>
        <row r="10709">
          <cell r="A10709" t="str">
            <v>estriol_e</v>
          </cell>
          <cell r="B10709" t="str">
            <v>estriol</v>
          </cell>
          <cell r="C10709" t="str">
            <v>Estriol c</v>
          </cell>
        </row>
        <row r="10710">
          <cell r="A10710" t="str">
            <v>bzcoa_m</v>
          </cell>
          <cell r="B10710" t="str">
            <v>bzcoa</v>
          </cell>
          <cell r="C10710" t="str">
            <v>Benzoyl Coenzyme A</v>
          </cell>
        </row>
        <row r="10711">
          <cell r="A10711" t="str">
            <v>pcresol_e</v>
          </cell>
          <cell r="B10711" t="str">
            <v>pcresol</v>
          </cell>
          <cell r="C10711" t="str">
            <v>P-Cresol</v>
          </cell>
        </row>
        <row r="10712">
          <cell r="A10712" t="str">
            <v>C05300_e</v>
          </cell>
          <cell r="B10712" t="str">
            <v>C05300</v>
          </cell>
          <cell r="C10712" t="str">
            <v>16alpha-Hydroxyestrone</v>
          </cell>
        </row>
        <row r="10713">
          <cell r="A10713" t="str">
            <v>argalathr_e</v>
          </cell>
          <cell r="B10713" t="str">
            <v>argalathr</v>
          </cell>
          <cell r="C10713" t="str">
            <v>Arginyl-Alanyl-Threonine</v>
          </cell>
        </row>
        <row r="10714">
          <cell r="A10714" t="str">
            <v>argglupro_e</v>
          </cell>
          <cell r="B10714" t="str">
            <v>argglupro</v>
          </cell>
          <cell r="C10714" t="str">
            <v>Arginyl-Glutamyl-Proline</v>
          </cell>
        </row>
        <row r="10715">
          <cell r="A10715" t="str">
            <v>argphearg_e</v>
          </cell>
          <cell r="B10715" t="str">
            <v>argphearg</v>
          </cell>
          <cell r="C10715" t="str">
            <v>Arginyl-Phenylalanine-Arginine</v>
          </cell>
        </row>
        <row r="10716">
          <cell r="A10716" t="str">
            <v>argvalcys_e</v>
          </cell>
          <cell r="B10716" t="str">
            <v>argvalcys</v>
          </cell>
          <cell r="C10716" t="str">
            <v>Arginyl-Valyl-Cysteine</v>
          </cell>
        </row>
        <row r="10717">
          <cell r="A10717" t="str">
            <v>asnasnarg_e</v>
          </cell>
          <cell r="B10717" t="str">
            <v>asnasnarg</v>
          </cell>
          <cell r="C10717" t="str">
            <v>Asparaginyl-Asparaginyl-Arginine</v>
          </cell>
        </row>
        <row r="10718">
          <cell r="A10718" t="str">
            <v>asnpheasp_e</v>
          </cell>
          <cell r="B10718" t="str">
            <v>asnpheasp</v>
          </cell>
          <cell r="C10718" t="str">
            <v>Asparaginyl-Phenylalanyl-Aspartate</v>
          </cell>
        </row>
        <row r="10719">
          <cell r="A10719" t="str">
            <v>asntyrphe_e</v>
          </cell>
          <cell r="B10719" t="str">
            <v>asntyrphe</v>
          </cell>
          <cell r="C10719" t="str">
            <v>Asparaginyl-Tyrosyl-Phenylalanine</v>
          </cell>
        </row>
        <row r="10720">
          <cell r="A10720" t="str">
            <v>aspglupro_e</v>
          </cell>
          <cell r="B10720" t="str">
            <v>aspglupro</v>
          </cell>
          <cell r="C10720" t="str">
            <v>Aspartyl-Glutamyl-Proline</v>
          </cell>
        </row>
        <row r="10721">
          <cell r="A10721" t="str">
            <v>asphiscys_e</v>
          </cell>
          <cell r="B10721" t="str">
            <v>asphiscys</v>
          </cell>
          <cell r="C10721" t="str">
            <v>Aspartyl-Histidyl-Cysteine</v>
          </cell>
        </row>
        <row r="10722">
          <cell r="A10722" t="str">
            <v>asplyshis_e</v>
          </cell>
          <cell r="B10722" t="str">
            <v>asplyshis</v>
          </cell>
          <cell r="C10722" t="str">
            <v>Aspartyl-Lysyl-Histidine</v>
          </cell>
        </row>
        <row r="10723">
          <cell r="A10723" t="str">
            <v>aspvalasn_e</v>
          </cell>
          <cell r="B10723" t="str">
            <v>aspvalasn</v>
          </cell>
          <cell r="C10723" t="str">
            <v>Aspartyl-Valyl-Asparagine</v>
          </cell>
        </row>
        <row r="10724">
          <cell r="A10724" t="str">
            <v>cyscys_e</v>
          </cell>
          <cell r="B10724" t="str">
            <v>cyscys</v>
          </cell>
          <cell r="C10724" t="str">
            <v>Cystyl-Cysteine</v>
          </cell>
        </row>
        <row r="10725">
          <cell r="A10725" t="str">
            <v>cysleuthr_e</v>
          </cell>
          <cell r="B10725" t="str">
            <v>cysleuthr</v>
          </cell>
          <cell r="C10725" t="str">
            <v>Cystyl-Leucyl-Threonine</v>
          </cell>
        </row>
        <row r="10726">
          <cell r="A10726" t="str">
            <v>cystyrasn_e</v>
          </cell>
          <cell r="B10726" t="str">
            <v>cystyrasn</v>
          </cell>
          <cell r="C10726" t="str">
            <v>Cystyl-Tyrosyl-Asparagine</v>
          </cell>
        </row>
        <row r="10727">
          <cell r="A10727" t="str">
            <v>glntrpglu_e</v>
          </cell>
          <cell r="B10727" t="str">
            <v>glntrpglu</v>
          </cell>
          <cell r="C10727" t="str">
            <v>Glutaminyl-Tryptophanyl-Glutamate</v>
          </cell>
        </row>
        <row r="10728">
          <cell r="A10728" t="str">
            <v>gluleu_e</v>
          </cell>
          <cell r="B10728" t="str">
            <v>gluleu</v>
          </cell>
          <cell r="C10728" t="str">
            <v>Glutamyl-Leucine</v>
          </cell>
        </row>
        <row r="10729">
          <cell r="A10729" t="str">
            <v>glumethis_e</v>
          </cell>
          <cell r="B10729" t="str">
            <v>glumethis</v>
          </cell>
          <cell r="C10729" t="str">
            <v>Glutamyl-Methioninyl-Histidine</v>
          </cell>
        </row>
        <row r="10730">
          <cell r="A10730" t="str">
            <v>glyhisasn_e</v>
          </cell>
          <cell r="B10730" t="str">
            <v>glyhisasn</v>
          </cell>
          <cell r="C10730" t="str">
            <v>Glycyl-Histidyl-Asparagine</v>
          </cell>
        </row>
        <row r="10731">
          <cell r="A10731" t="str">
            <v>glyhislys_e</v>
          </cell>
          <cell r="B10731" t="str">
            <v>glyhislys</v>
          </cell>
          <cell r="C10731" t="str">
            <v>Glycyl-Histidyl-Lysine</v>
          </cell>
        </row>
        <row r="10732">
          <cell r="A10732" t="str">
            <v>glylyscys_e</v>
          </cell>
          <cell r="B10732" t="str">
            <v>glylyscys</v>
          </cell>
          <cell r="C10732" t="str">
            <v>Glycyl-Lysyl-Cysteine</v>
          </cell>
        </row>
        <row r="10733">
          <cell r="A10733" t="str">
            <v>hisglu_e</v>
          </cell>
          <cell r="B10733" t="str">
            <v>hisglu</v>
          </cell>
          <cell r="C10733" t="str">
            <v>Histidyl-Glutamate</v>
          </cell>
        </row>
        <row r="10734">
          <cell r="A10734" t="str">
            <v>hishislys_e</v>
          </cell>
          <cell r="B10734" t="str">
            <v>hishislys</v>
          </cell>
          <cell r="C10734" t="str">
            <v>Histidyl-Histidyl-Lysine</v>
          </cell>
        </row>
        <row r="10735">
          <cell r="A10735" t="str">
            <v>hislysala_e</v>
          </cell>
          <cell r="B10735" t="str">
            <v>hislysala</v>
          </cell>
          <cell r="C10735" t="str">
            <v>Histidyl-Lysyl-Alanine</v>
          </cell>
        </row>
        <row r="10736">
          <cell r="A10736" t="str">
            <v>hislysglu_e</v>
          </cell>
          <cell r="B10736" t="str">
            <v>hislysglu</v>
          </cell>
          <cell r="C10736" t="str">
            <v>Histidyl-Lysyl-Glutamate</v>
          </cell>
        </row>
        <row r="10737">
          <cell r="A10737" t="str">
            <v>hislysile_e</v>
          </cell>
          <cell r="B10737" t="str">
            <v>hislysile</v>
          </cell>
          <cell r="C10737" t="str">
            <v>Histidyl-Lysyl-Isoleucine</v>
          </cell>
        </row>
        <row r="10738">
          <cell r="A10738" t="str">
            <v>hisphearg_e</v>
          </cell>
          <cell r="B10738" t="str">
            <v>hisphearg</v>
          </cell>
          <cell r="C10738" t="str">
            <v>Histidyl-Phenylalanyl-Arginine</v>
          </cell>
        </row>
        <row r="10739">
          <cell r="A10739" t="str">
            <v>histrphis_e</v>
          </cell>
          <cell r="B10739" t="str">
            <v>histrphis</v>
          </cell>
          <cell r="C10739" t="str">
            <v>Histidyl-Tryptophanyl-Histidine</v>
          </cell>
        </row>
        <row r="10740">
          <cell r="A10740" t="str">
            <v>ileasp_e</v>
          </cell>
          <cell r="B10740" t="str">
            <v>ileasp</v>
          </cell>
          <cell r="C10740" t="str">
            <v>Isolecyl-Aspartate</v>
          </cell>
        </row>
        <row r="10741">
          <cell r="A10741" t="str">
            <v>ileprolys_e</v>
          </cell>
          <cell r="B10741" t="str">
            <v>ileprolys</v>
          </cell>
          <cell r="C10741" t="str">
            <v>Isolecyl-Prolyl-Lysine</v>
          </cell>
        </row>
        <row r="10742">
          <cell r="A10742" t="str">
            <v>ileserarg_e</v>
          </cell>
          <cell r="B10742" t="str">
            <v>ileserarg</v>
          </cell>
          <cell r="C10742" t="str">
            <v>Isolecyl-Seryl-Arginine</v>
          </cell>
        </row>
        <row r="10743">
          <cell r="A10743" t="str">
            <v>leuasplys_e</v>
          </cell>
          <cell r="B10743" t="str">
            <v>leuasplys</v>
          </cell>
          <cell r="C10743" t="str">
            <v>Leucyl-Aspartyl-Lysine</v>
          </cell>
        </row>
        <row r="10744">
          <cell r="A10744" t="str">
            <v>leuleutrp_e</v>
          </cell>
          <cell r="B10744" t="str">
            <v>leuleutrp</v>
          </cell>
          <cell r="C10744" t="str">
            <v>Leucyl-Leucyl-Tryptophan</v>
          </cell>
        </row>
        <row r="10745">
          <cell r="A10745" t="str">
            <v>leuval_e</v>
          </cell>
          <cell r="B10745" t="str">
            <v>leuval</v>
          </cell>
          <cell r="C10745" t="str">
            <v>Leucyl-Valine</v>
          </cell>
        </row>
        <row r="10746">
          <cell r="A10746" t="str">
            <v>lyscyshis_e</v>
          </cell>
          <cell r="B10746" t="str">
            <v>lyscyshis</v>
          </cell>
          <cell r="C10746" t="str">
            <v>Lysyl-Cysteinyl-Histidine</v>
          </cell>
        </row>
        <row r="10747">
          <cell r="A10747" t="str">
            <v>lysglnphe_e</v>
          </cell>
          <cell r="B10747" t="str">
            <v>lysglnphe</v>
          </cell>
          <cell r="C10747" t="str">
            <v>Lysyl-Glutaminyl-Phenylalanine</v>
          </cell>
        </row>
        <row r="10748">
          <cell r="A10748" t="str">
            <v>lyslyslys_e</v>
          </cell>
          <cell r="B10748" t="str">
            <v>lyslyslys</v>
          </cell>
          <cell r="C10748" t="str">
            <v>Lysyl-Lysyl-Lysine</v>
          </cell>
        </row>
        <row r="10749">
          <cell r="A10749" t="str">
            <v>lystrparg_e</v>
          </cell>
          <cell r="B10749" t="str">
            <v>lystrparg</v>
          </cell>
          <cell r="C10749" t="str">
            <v>Lysyl-Tryptophanyl-Arginine</v>
          </cell>
        </row>
        <row r="10750">
          <cell r="A10750" t="str">
            <v>lysvaltrp_e</v>
          </cell>
          <cell r="B10750" t="str">
            <v>lysvaltrp</v>
          </cell>
          <cell r="C10750" t="str">
            <v>Lysyl-Valyl-Tryptophan</v>
          </cell>
        </row>
        <row r="10751">
          <cell r="A10751" t="str">
            <v>metglntyr_e</v>
          </cell>
          <cell r="B10751" t="str">
            <v>metglntyr</v>
          </cell>
          <cell r="C10751" t="str">
            <v>Methionyl-Glutaminyl-Tyrosine</v>
          </cell>
        </row>
        <row r="10752">
          <cell r="A10752" t="str">
            <v>metglyarg_e</v>
          </cell>
          <cell r="B10752" t="str">
            <v>metglyarg</v>
          </cell>
          <cell r="C10752" t="str">
            <v>Methionyl-Glycyl-Arginine</v>
          </cell>
        </row>
        <row r="10753">
          <cell r="A10753" t="str">
            <v>methislys_e</v>
          </cell>
          <cell r="B10753" t="str">
            <v>methislys</v>
          </cell>
          <cell r="C10753" t="str">
            <v>Methionyl-Histidyl-Lysine</v>
          </cell>
        </row>
        <row r="10754">
          <cell r="A10754" t="str">
            <v>pheasp_e</v>
          </cell>
          <cell r="B10754" t="str">
            <v>pheasp</v>
          </cell>
          <cell r="C10754" t="str">
            <v>Phenylalanyl-Aspartate</v>
          </cell>
        </row>
        <row r="10755">
          <cell r="A10755" t="str">
            <v>pheglnphe_e</v>
          </cell>
          <cell r="B10755" t="str">
            <v>pheglnphe</v>
          </cell>
          <cell r="C10755" t="str">
            <v>Phenylalanyl-Glutaminyl-Phenylalanine</v>
          </cell>
        </row>
        <row r="10756">
          <cell r="A10756" t="str">
            <v>phepheasn_e</v>
          </cell>
          <cell r="B10756" t="str">
            <v>phepheasn</v>
          </cell>
          <cell r="C10756" t="str">
            <v>Phenylalanyl-Phenylalaninyl-Asparagine</v>
          </cell>
        </row>
        <row r="10757">
          <cell r="A10757" t="str">
            <v>phesertrp_e</v>
          </cell>
          <cell r="B10757" t="str">
            <v>phesertrp</v>
          </cell>
          <cell r="C10757" t="str">
            <v>Phenylalanyl-Seryl-Tryptophan</v>
          </cell>
        </row>
        <row r="10758">
          <cell r="A10758" t="str">
            <v>proglnpro_e</v>
          </cell>
          <cell r="B10758" t="str">
            <v>proglnpro</v>
          </cell>
          <cell r="C10758" t="str">
            <v>Prolyl-Glutaminyl-Proline</v>
          </cell>
        </row>
        <row r="10759">
          <cell r="A10759" t="str">
            <v>prohis_e</v>
          </cell>
          <cell r="B10759" t="str">
            <v>prohis</v>
          </cell>
          <cell r="C10759" t="str">
            <v>Prolyl-Histidine</v>
          </cell>
        </row>
        <row r="10760">
          <cell r="A10760" t="str">
            <v>protrplys_e</v>
          </cell>
          <cell r="B10760" t="str">
            <v>protrplys</v>
          </cell>
          <cell r="C10760" t="str">
            <v>Prolyl-Tryptophanyl-Lysine</v>
          </cell>
        </row>
        <row r="10761">
          <cell r="A10761" t="str">
            <v>protrpthr_e</v>
          </cell>
          <cell r="B10761" t="str">
            <v>protrpthr</v>
          </cell>
          <cell r="C10761" t="str">
            <v>Prolyl-Tryptophanyl-Threonine</v>
          </cell>
        </row>
        <row r="10762">
          <cell r="A10762" t="str">
            <v>provalgln_e</v>
          </cell>
          <cell r="B10762" t="str">
            <v>provalgln</v>
          </cell>
          <cell r="C10762" t="str">
            <v>Prolyl-Valyl-Glutamine</v>
          </cell>
        </row>
        <row r="10763">
          <cell r="A10763" t="str">
            <v>sercysarg_e</v>
          </cell>
          <cell r="B10763" t="str">
            <v>sercysarg</v>
          </cell>
          <cell r="C10763" t="str">
            <v>Seryl-Cysteinyl-Arginine</v>
          </cell>
        </row>
        <row r="10764">
          <cell r="A10764" t="str">
            <v>thrglnglu_e</v>
          </cell>
          <cell r="B10764" t="str">
            <v>thrglnglu</v>
          </cell>
          <cell r="C10764" t="str">
            <v>Threonyl-Glutaminyl-Glutamate</v>
          </cell>
        </row>
        <row r="10765">
          <cell r="A10765" t="str">
            <v>thrglntyr_e</v>
          </cell>
          <cell r="B10765" t="str">
            <v>thrglntyr</v>
          </cell>
          <cell r="C10765" t="str">
            <v>Threonyl-Glutaminyl-Tyrosine</v>
          </cell>
        </row>
        <row r="10766">
          <cell r="A10766" t="str">
            <v>thrhishis_e</v>
          </cell>
          <cell r="B10766" t="str">
            <v>thrhishis</v>
          </cell>
          <cell r="C10766" t="str">
            <v>Threonyl-Histidinyl-Histidine</v>
          </cell>
        </row>
        <row r="10767">
          <cell r="A10767" t="str">
            <v>trpargala_e</v>
          </cell>
          <cell r="B10767" t="str">
            <v>trpargala</v>
          </cell>
          <cell r="C10767" t="str">
            <v>Tryptophanyl-Arginyl-Alanine</v>
          </cell>
        </row>
        <row r="10768">
          <cell r="A10768" t="str">
            <v>trpaspasp_e</v>
          </cell>
          <cell r="B10768" t="str">
            <v>trpaspasp</v>
          </cell>
          <cell r="C10768" t="str">
            <v>Tryptophanyl-Aspartyl-Aspartate</v>
          </cell>
        </row>
        <row r="10769">
          <cell r="A10769" t="str">
            <v>trpglupro_e</v>
          </cell>
          <cell r="B10769" t="str">
            <v>trpglupro</v>
          </cell>
          <cell r="C10769" t="str">
            <v>Tryptophanyl-Glutamyl-Proline</v>
          </cell>
        </row>
        <row r="10770">
          <cell r="A10770" t="str">
            <v>trpglyphe_e</v>
          </cell>
          <cell r="B10770" t="str">
            <v>trpglyphe</v>
          </cell>
          <cell r="C10770" t="str">
            <v>Tryptophanyl-Glycyl-Phenylalanine</v>
          </cell>
        </row>
        <row r="10771">
          <cell r="A10771" t="str">
            <v>trpglyval_e</v>
          </cell>
          <cell r="B10771" t="str">
            <v>trpglyval</v>
          </cell>
          <cell r="C10771" t="str">
            <v>Tryptophanyl-Glycyl-Valine</v>
          </cell>
        </row>
        <row r="10772">
          <cell r="A10772" t="str">
            <v>trpiletrp_e</v>
          </cell>
          <cell r="B10772" t="str">
            <v>trpiletrp</v>
          </cell>
          <cell r="C10772" t="str">
            <v>Tryptophanyl-Isoleucyl-Tryptophan</v>
          </cell>
        </row>
        <row r="10773">
          <cell r="A10773" t="str">
            <v>trpprogly_e</v>
          </cell>
          <cell r="B10773" t="str">
            <v>trpprogly</v>
          </cell>
          <cell r="C10773" t="str">
            <v>Tryptophanyl-Prolyl-Glycine</v>
          </cell>
        </row>
        <row r="10774">
          <cell r="A10774" t="str">
            <v>trpproval_e</v>
          </cell>
          <cell r="B10774" t="str">
            <v>trpproval</v>
          </cell>
          <cell r="C10774" t="str">
            <v>Tryptophanyl-Prolyl-Valine</v>
          </cell>
        </row>
        <row r="10775">
          <cell r="A10775" t="str">
            <v>trpthrile_e</v>
          </cell>
          <cell r="B10775" t="str">
            <v>trpthrile</v>
          </cell>
          <cell r="C10775" t="str">
            <v>Tryptophanyl-Threonyl-Isoleucine</v>
          </cell>
        </row>
        <row r="10776">
          <cell r="A10776" t="str">
            <v>tyrargglu_e</v>
          </cell>
          <cell r="B10776" t="str">
            <v>tyrargglu</v>
          </cell>
          <cell r="C10776" t="str">
            <v>Tyrosyl-Arginyl-Glutamate</v>
          </cell>
        </row>
        <row r="10777">
          <cell r="A10777" t="str">
            <v>tyrglu_e</v>
          </cell>
          <cell r="B10777" t="str">
            <v>tyrglu</v>
          </cell>
          <cell r="C10777" t="str">
            <v>Tyrosyl-Glutamate</v>
          </cell>
        </row>
        <row r="10778">
          <cell r="A10778" t="str">
            <v>vallystyr_e</v>
          </cell>
          <cell r="B10778" t="str">
            <v>vallystyr</v>
          </cell>
          <cell r="C10778" t="str">
            <v>Valyl-Lysyl-Tyrosine</v>
          </cell>
        </row>
        <row r="10779">
          <cell r="A10779" t="str">
            <v>valprotrp_e</v>
          </cell>
          <cell r="B10779" t="str">
            <v>valprotrp</v>
          </cell>
          <cell r="C10779" t="str">
            <v>Valyl-Prolyl-Tryptophan</v>
          </cell>
        </row>
        <row r="10780">
          <cell r="A10780" t="str">
            <v>valtrpval_e</v>
          </cell>
          <cell r="B10780" t="str">
            <v>valtrpval</v>
          </cell>
          <cell r="C10780" t="str">
            <v>Valyl-Tryptophanyl-Valine</v>
          </cell>
        </row>
        <row r="10781">
          <cell r="A10781" t="str">
            <v>alalysthr_c</v>
          </cell>
          <cell r="B10781" t="str">
            <v>alalysthr</v>
          </cell>
          <cell r="C10781" t="str">
            <v>Alanyl-Lysine-Threonine</v>
          </cell>
        </row>
        <row r="10782">
          <cell r="A10782" t="str">
            <v>argalaala_c</v>
          </cell>
          <cell r="B10782" t="str">
            <v>argalaala</v>
          </cell>
          <cell r="C10782" t="str">
            <v>Arginyl-Alanyl-Alanine</v>
          </cell>
        </row>
        <row r="10783">
          <cell r="A10783" t="str">
            <v>argarg_c</v>
          </cell>
          <cell r="B10783" t="str">
            <v>argarg</v>
          </cell>
          <cell r="C10783" t="str">
            <v>Arginyl-Arginine</v>
          </cell>
        </row>
        <row r="10784">
          <cell r="A10784" t="str">
            <v>arggluglu_c</v>
          </cell>
          <cell r="B10784" t="str">
            <v>arggluglu</v>
          </cell>
          <cell r="C10784" t="str">
            <v>Arginyl-Glutamyl-Glutamate</v>
          </cell>
        </row>
        <row r="10785">
          <cell r="A10785" t="str">
            <v>argprothr_c</v>
          </cell>
          <cell r="B10785" t="str">
            <v>argprothr</v>
          </cell>
          <cell r="C10785" t="str">
            <v>Arginyl-Prolyl-Threonine</v>
          </cell>
        </row>
        <row r="10786">
          <cell r="A10786" t="str">
            <v>argserser_c</v>
          </cell>
          <cell r="B10786" t="str">
            <v>argserser</v>
          </cell>
          <cell r="C10786" t="str">
            <v>Arginyl-Seryl-Serine</v>
          </cell>
        </row>
        <row r="10787">
          <cell r="A10787" t="str">
            <v>asntyrgly_c</v>
          </cell>
          <cell r="B10787" t="str">
            <v>asntyrgly</v>
          </cell>
          <cell r="C10787" t="str">
            <v>Asparaginyl-Tyrosyl-Glycine</v>
          </cell>
        </row>
        <row r="10788">
          <cell r="A10788" t="str">
            <v>aspasnglu_c</v>
          </cell>
          <cell r="B10788" t="str">
            <v>aspasnglu</v>
          </cell>
          <cell r="C10788" t="str">
            <v>Aspartyl-Asparaginyl-Glutamate</v>
          </cell>
        </row>
        <row r="10789">
          <cell r="A10789" t="str">
            <v>asplysglu_c</v>
          </cell>
          <cell r="B10789" t="str">
            <v>asplysglu</v>
          </cell>
          <cell r="C10789" t="str">
            <v>Aspartyl-Lysyl-Glutamate</v>
          </cell>
        </row>
        <row r="10790">
          <cell r="A10790" t="str">
            <v>cysasnmet_c</v>
          </cell>
          <cell r="B10790" t="str">
            <v>cysasnmet</v>
          </cell>
          <cell r="C10790" t="str">
            <v>Cystyl-Asparaginyl-Methionine</v>
          </cell>
        </row>
        <row r="10791">
          <cell r="A10791" t="str">
            <v>cysglnmet_c</v>
          </cell>
          <cell r="B10791" t="str">
            <v>cysglnmet</v>
          </cell>
          <cell r="C10791" t="str">
            <v>Cystyl-Glutaminyl-Methionine</v>
          </cell>
        </row>
        <row r="10792">
          <cell r="A10792" t="str">
            <v>cysgluhis_c</v>
          </cell>
          <cell r="B10792" t="str">
            <v>cysgluhis</v>
          </cell>
          <cell r="C10792" t="str">
            <v>Cystyl-Glutamyl-Histidine</v>
          </cell>
        </row>
        <row r="10793">
          <cell r="A10793" t="str">
            <v>cysglutrp_c</v>
          </cell>
          <cell r="B10793" t="str">
            <v>cysglutrp</v>
          </cell>
          <cell r="C10793" t="str">
            <v>Cystyl-Glutamyl-Tryptophan</v>
          </cell>
        </row>
        <row r="10794">
          <cell r="A10794" t="str">
            <v>glnasngln_c</v>
          </cell>
          <cell r="B10794" t="str">
            <v>glnasngln</v>
          </cell>
          <cell r="C10794" t="str">
            <v>Glutaminyl-Asparaginyl-Glutamine</v>
          </cell>
        </row>
        <row r="10795">
          <cell r="A10795" t="str">
            <v>glnlyslys_c</v>
          </cell>
          <cell r="B10795" t="str">
            <v>glnlyslys</v>
          </cell>
          <cell r="C10795" t="str">
            <v>Glutaminyl-Lysyl-Lysine</v>
          </cell>
        </row>
        <row r="10796">
          <cell r="A10796" t="str">
            <v>glnproglu_c</v>
          </cell>
          <cell r="B10796" t="str">
            <v>glnproglu</v>
          </cell>
          <cell r="C10796" t="str">
            <v>Glutaminyl-Prolyl-Glutamate</v>
          </cell>
        </row>
        <row r="10797">
          <cell r="A10797" t="str">
            <v>glntyrleu_c</v>
          </cell>
          <cell r="B10797" t="str">
            <v>glntyrleu</v>
          </cell>
          <cell r="C10797" t="str">
            <v>Glutaminyl-Tyrosyl-Leucine</v>
          </cell>
        </row>
        <row r="10798">
          <cell r="A10798" t="str">
            <v>gluilelys_c</v>
          </cell>
          <cell r="B10798" t="str">
            <v>gluilelys</v>
          </cell>
          <cell r="C10798" t="str">
            <v>Glutamyl-Isoleucyl-Lysine</v>
          </cell>
        </row>
        <row r="10799">
          <cell r="A10799" t="str">
            <v>glumet_c</v>
          </cell>
          <cell r="B10799" t="str">
            <v>glumet</v>
          </cell>
          <cell r="C10799" t="str">
            <v>Glutamyl-Methionine</v>
          </cell>
        </row>
        <row r="10800">
          <cell r="A10800" t="str">
            <v>gluthrlys_c</v>
          </cell>
          <cell r="B10800" t="str">
            <v>gluthrlys</v>
          </cell>
          <cell r="C10800" t="str">
            <v>Glutamyl-Threonyl-Lysine</v>
          </cell>
        </row>
        <row r="10801">
          <cell r="A10801" t="str">
            <v>glutrpala_c</v>
          </cell>
          <cell r="B10801" t="str">
            <v>glutrpala</v>
          </cell>
          <cell r="C10801" t="str">
            <v>Glutamyl-Tryptophanyl-Alanine</v>
          </cell>
        </row>
        <row r="10802">
          <cell r="A10802" t="str">
            <v>hisargser_c</v>
          </cell>
          <cell r="B10802" t="str">
            <v>hisargser</v>
          </cell>
          <cell r="C10802" t="str">
            <v>Histidyl-Arginyl-Serine</v>
          </cell>
        </row>
        <row r="10803">
          <cell r="A10803" t="str">
            <v>hisglnala_c</v>
          </cell>
          <cell r="B10803" t="str">
            <v>hisglnala</v>
          </cell>
          <cell r="C10803" t="str">
            <v>Histidyl-Glutaminyl-Alanine</v>
          </cell>
        </row>
        <row r="10804">
          <cell r="A10804" t="str">
            <v>hislysthr_c</v>
          </cell>
          <cell r="B10804" t="str">
            <v>hislysthr</v>
          </cell>
          <cell r="C10804" t="str">
            <v>Histidyl-Lysyl-Threonine</v>
          </cell>
        </row>
        <row r="10805">
          <cell r="A10805" t="str">
            <v>hismetgln_c</v>
          </cell>
          <cell r="B10805" t="str">
            <v>hismetgln</v>
          </cell>
          <cell r="C10805" t="str">
            <v>Histidyl-Methionyl-Glutamine</v>
          </cell>
        </row>
        <row r="10806">
          <cell r="A10806" t="str">
            <v>hisprolys_c</v>
          </cell>
          <cell r="B10806" t="str">
            <v>hisprolys</v>
          </cell>
          <cell r="C10806" t="str">
            <v>Histidyl-Prolyl-Lysine</v>
          </cell>
        </row>
        <row r="10807">
          <cell r="A10807" t="str">
            <v>ileglyarg_c</v>
          </cell>
          <cell r="B10807" t="str">
            <v>ileglyarg</v>
          </cell>
          <cell r="C10807" t="str">
            <v>Isolecyl-Glycyl-Arginine</v>
          </cell>
        </row>
        <row r="10808">
          <cell r="A10808" t="str">
            <v>leuasnasp_c</v>
          </cell>
          <cell r="B10808" t="str">
            <v>leuasnasp</v>
          </cell>
          <cell r="C10808" t="str">
            <v>Leucyl-Asparaginyl-Aspartate</v>
          </cell>
        </row>
        <row r="10809">
          <cell r="A10809" t="str">
            <v>leuproarg_c</v>
          </cell>
          <cell r="B10809" t="str">
            <v>leuproarg</v>
          </cell>
          <cell r="C10809" t="str">
            <v>Leucyl-Prolyl-Arginine</v>
          </cell>
        </row>
        <row r="10810">
          <cell r="A10810" t="str">
            <v>leutyrtyr_c</v>
          </cell>
          <cell r="B10810" t="str">
            <v>leutyrtyr</v>
          </cell>
          <cell r="C10810" t="str">
            <v>Leucyl-Tyrosyl-Tyrosine</v>
          </cell>
        </row>
        <row r="10811">
          <cell r="A10811" t="str">
            <v>lystyrile_c</v>
          </cell>
          <cell r="B10811" t="str">
            <v>lystyrile</v>
          </cell>
          <cell r="C10811" t="str">
            <v>Lysyl-Tyrosyl-Isoleucine</v>
          </cell>
        </row>
        <row r="10812">
          <cell r="A10812" t="str">
            <v>mettrpphe_c</v>
          </cell>
          <cell r="B10812" t="str">
            <v>mettrpphe</v>
          </cell>
          <cell r="C10812" t="str">
            <v>Methionyl-Tryptophanyl-Phenylalanine</v>
          </cell>
        </row>
        <row r="10813">
          <cell r="A10813" t="str">
            <v>pheleuhis_c</v>
          </cell>
          <cell r="B10813" t="str">
            <v>pheleuhis</v>
          </cell>
          <cell r="C10813" t="str">
            <v>Phenylalanyl-Leucyl-Histidine</v>
          </cell>
        </row>
        <row r="10814">
          <cell r="A10814" t="str">
            <v>phelysala_c</v>
          </cell>
          <cell r="B10814" t="str">
            <v>phelysala</v>
          </cell>
          <cell r="C10814" t="str">
            <v>Phenylalanyl-Lysyl-Alanine</v>
          </cell>
        </row>
        <row r="10815">
          <cell r="A10815" t="str">
            <v>phelyspro_c</v>
          </cell>
          <cell r="B10815" t="str">
            <v>phelyspro</v>
          </cell>
          <cell r="C10815" t="str">
            <v>Phenylalanyl-Lysyl-Proline</v>
          </cell>
        </row>
        <row r="10816">
          <cell r="A10816" t="str">
            <v>phephethr_c</v>
          </cell>
          <cell r="B10816" t="str">
            <v>phephethr</v>
          </cell>
          <cell r="C10816" t="str">
            <v>Phenylalanyl-Phenylalaninyl-Threonine</v>
          </cell>
        </row>
        <row r="10817">
          <cell r="A10817" t="str">
            <v>pheproarg_c</v>
          </cell>
          <cell r="B10817" t="str">
            <v>pheproarg</v>
          </cell>
          <cell r="C10817" t="str">
            <v>Phenylalanyl-Prolyl-Arginine</v>
          </cell>
        </row>
        <row r="10818">
          <cell r="A10818" t="str">
            <v>proglulys_c</v>
          </cell>
          <cell r="B10818" t="str">
            <v>proglulys</v>
          </cell>
          <cell r="C10818" t="str">
            <v>Prolyl-Glutamatsyl-Lysine</v>
          </cell>
        </row>
        <row r="10819">
          <cell r="A10819" t="str">
            <v>prolyspro_c</v>
          </cell>
          <cell r="B10819" t="str">
            <v>prolyspro</v>
          </cell>
          <cell r="C10819" t="str">
            <v>Prolyl-Lysyl-Proline</v>
          </cell>
        </row>
        <row r="10820">
          <cell r="A10820" t="str">
            <v>serglyglu_c</v>
          </cell>
          <cell r="B10820" t="str">
            <v>serglyglu</v>
          </cell>
          <cell r="C10820" t="str">
            <v>Seryl-Glycyl-Glutamate</v>
          </cell>
        </row>
        <row r="10821">
          <cell r="A10821" t="str">
            <v>serlyshis_c</v>
          </cell>
          <cell r="B10821" t="str">
            <v>serlyshis</v>
          </cell>
          <cell r="C10821" t="str">
            <v>Seryl-Lysyl-Histidine</v>
          </cell>
        </row>
        <row r="10822">
          <cell r="A10822" t="str">
            <v>serphelys_c</v>
          </cell>
          <cell r="B10822" t="str">
            <v>serphelys</v>
          </cell>
          <cell r="C10822" t="str">
            <v>Seryl-Phenylalanyl-Lysine</v>
          </cell>
        </row>
        <row r="10823">
          <cell r="A10823" t="str">
            <v>sertrphis_c</v>
          </cell>
          <cell r="B10823" t="str">
            <v>sertrphis</v>
          </cell>
          <cell r="C10823" t="str">
            <v>Seryl-Tryptophanyl-Histidine</v>
          </cell>
        </row>
        <row r="10824">
          <cell r="A10824" t="str">
            <v>thrserarg_c</v>
          </cell>
          <cell r="B10824" t="str">
            <v>thrserarg</v>
          </cell>
          <cell r="C10824" t="str">
            <v>Threonyl-Seryl-Arginine</v>
          </cell>
        </row>
        <row r="10825">
          <cell r="A10825" t="str">
            <v>thrtyrmet_c</v>
          </cell>
          <cell r="B10825" t="str">
            <v>thrtyrmet</v>
          </cell>
          <cell r="C10825" t="str">
            <v>Threonyl-Tyrosyl-Methionine</v>
          </cell>
        </row>
        <row r="10826">
          <cell r="A10826" t="str">
            <v>trpgluleu_c</v>
          </cell>
          <cell r="B10826" t="str">
            <v>trpgluleu</v>
          </cell>
          <cell r="C10826" t="str">
            <v>Tryptophanyl-Glutamyl-Leucine</v>
          </cell>
        </row>
        <row r="10827">
          <cell r="A10827" t="str">
            <v>trpmetarg_c</v>
          </cell>
          <cell r="B10827" t="str">
            <v>trpmetarg</v>
          </cell>
          <cell r="C10827" t="str">
            <v>Tryptophanyl-Methionyl-Arginine</v>
          </cell>
        </row>
        <row r="10828">
          <cell r="A10828" t="str">
            <v>trpphe_c</v>
          </cell>
          <cell r="B10828" t="str">
            <v>trpphe</v>
          </cell>
          <cell r="C10828" t="str">
            <v>Tryptophanyl-Phenylalanine</v>
          </cell>
        </row>
        <row r="10829">
          <cell r="A10829" t="str">
            <v>trpproleu_c</v>
          </cell>
          <cell r="B10829" t="str">
            <v>trpproleu</v>
          </cell>
          <cell r="C10829" t="str">
            <v>Tryptophanyl-Prolyl-Leucine</v>
          </cell>
        </row>
        <row r="10830">
          <cell r="A10830" t="str">
            <v>trpsertyr_c</v>
          </cell>
          <cell r="B10830" t="str">
            <v>trpsertyr</v>
          </cell>
          <cell r="C10830" t="str">
            <v>Tryptophanyl-Seryl-Tyrosine</v>
          </cell>
        </row>
        <row r="10831">
          <cell r="A10831" t="str">
            <v>trpthrtyr_c</v>
          </cell>
          <cell r="B10831" t="str">
            <v>trpthrtyr</v>
          </cell>
          <cell r="C10831" t="str">
            <v>Tryptophanyl-Threonyl-Tyrosine</v>
          </cell>
        </row>
        <row r="10832">
          <cell r="A10832" t="str">
            <v>trptyrgln_c</v>
          </cell>
          <cell r="B10832" t="str">
            <v>trptyrgln</v>
          </cell>
          <cell r="C10832" t="str">
            <v>Tryptophanyl-Tyrosyl-Glutamine</v>
          </cell>
        </row>
        <row r="10833">
          <cell r="A10833" t="str">
            <v>tyrasparg_c</v>
          </cell>
          <cell r="B10833" t="str">
            <v>tyrasparg</v>
          </cell>
          <cell r="C10833" t="str">
            <v>Tyrosyl-Aspartyl-Arginine</v>
          </cell>
        </row>
        <row r="10834">
          <cell r="A10834" t="str">
            <v>valhisasn_c</v>
          </cell>
          <cell r="B10834" t="str">
            <v>valhisasn</v>
          </cell>
          <cell r="C10834" t="str">
            <v>Valyl-Histidyl-Asparagine</v>
          </cell>
        </row>
        <row r="10835">
          <cell r="A10835" t="str">
            <v>valphearg_c</v>
          </cell>
          <cell r="B10835" t="str">
            <v>valphearg</v>
          </cell>
          <cell r="C10835" t="str">
            <v>Valyl-Phenylalanyl-Arginine</v>
          </cell>
        </row>
        <row r="10836">
          <cell r="A10836" t="str">
            <v>valtrpphe_c</v>
          </cell>
          <cell r="B10836" t="str">
            <v>valtrpphe</v>
          </cell>
          <cell r="C10836" t="str">
            <v>Valyl-Tryptophanyl-Phenylalanine</v>
          </cell>
        </row>
        <row r="10837">
          <cell r="A10837" t="str">
            <v>xolest183_hs_c</v>
          </cell>
          <cell r="B10837" t="str">
            <v>xolest183_hs</v>
          </cell>
          <cell r="C10837" t="str">
            <v>1-Gamma-Linolenoyl-Cholesterol, Cholesterol-Ester (18:3, Delta 6, 9, 12)</v>
          </cell>
        </row>
        <row r="10838">
          <cell r="A10838" t="str">
            <v>xolest205_hs_c</v>
          </cell>
          <cell r="B10838" t="str">
            <v>xolest205_hs</v>
          </cell>
          <cell r="C10838" t="str">
            <v>1-Timnodnoyl-Cholesterol, Cholesterol-Ester (20:5, Delta 5,8,11,14,17)</v>
          </cell>
        </row>
        <row r="10839">
          <cell r="A10839" t="str">
            <v>gncore1_e</v>
          </cell>
          <cell r="B10839" t="str">
            <v>gncore1</v>
          </cell>
          <cell r="C10839" t="str">
            <v>GlcNAc-alpha-1,4-Core 1</v>
          </cell>
        </row>
        <row r="10840">
          <cell r="A10840" t="str">
            <v>pglyc_hs_m</v>
          </cell>
          <cell r="B10840" t="str">
            <v>pglyc_hs</v>
          </cell>
          <cell r="C10840" t="str">
            <v>Phosphatidylglycerol (homo sapiens)</v>
          </cell>
        </row>
        <row r="10841">
          <cell r="A10841" t="str">
            <v>mqn10_c</v>
          </cell>
          <cell r="B10841" t="str">
            <v>mqn10</v>
          </cell>
          <cell r="C10841" t="str">
            <v>Menaquinone-10</v>
          </cell>
        </row>
        <row r="10842">
          <cell r="A10842" t="str">
            <v>mqn11_c</v>
          </cell>
          <cell r="B10842" t="str">
            <v>mqn11</v>
          </cell>
          <cell r="C10842" t="str">
            <v>Menaquinone-11</v>
          </cell>
        </row>
        <row r="10843">
          <cell r="A10843" t="str">
            <v>mqn7_e</v>
          </cell>
          <cell r="B10843" t="str">
            <v>mqn7</v>
          </cell>
          <cell r="C10843" t="str">
            <v>Menaquinone 7 C46H64O2</v>
          </cell>
        </row>
        <row r="10844">
          <cell r="A10844" t="str">
            <v>CE2934_e</v>
          </cell>
          <cell r="B10844" t="str">
            <v>CE2934</v>
          </cell>
          <cell r="C10844" t="str">
            <v>O-methylhippurate</v>
          </cell>
        </row>
        <row r="10845">
          <cell r="A10845" t="str">
            <v>thcholstoic_e</v>
          </cell>
          <cell r="B10845" t="str">
            <v>thcholstoic</v>
          </cell>
          <cell r="C10845" t="str">
            <v>3alpha,7alpha,12alpha-Trihydroxy-5beta-cholestanoate</v>
          </cell>
        </row>
        <row r="10846">
          <cell r="A10846" t="str">
            <v>7klitchol_e</v>
          </cell>
          <cell r="B10846" t="str">
            <v>7klitchol</v>
          </cell>
          <cell r="C10846" t="str">
            <v>7-Ketolithocholate</v>
          </cell>
        </row>
        <row r="10847">
          <cell r="A10847" t="str">
            <v>sucaceto_e</v>
          </cell>
          <cell r="B10847" t="str">
            <v>sucaceto</v>
          </cell>
          <cell r="C10847" t="str">
            <v>Succinylacetone</v>
          </cell>
        </row>
        <row r="10848">
          <cell r="A10848" t="str">
            <v>vanillac_c</v>
          </cell>
          <cell r="B10848" t="str">
            <v>vanillac</v>
          </cell>
          <cell r="C10848" t="str">
            <v>Vanil-Lactate</v>
          </cell>
        </row>
        <row r="10849">
          <cell r="A10849" t="str">
            <v>2h3mv_c</v>
          </cell>
          <cell r="B10849" t="str">
            <v>2h3mv</v>
          </cell>
          <cell r="C10849" t="str">
            <v>2-Hydroxy-3-Methyl-Valerate</v>
          </cell>
        </row>
        <row r="10850">
          <cell r="A10850" t="str">
            <v>2m3hvac_c</v>
          </cell>
          <cell r="B10850" t="str">
            <v>2m3hvac</v>
          </cell>
          <cell r="C10850" t="str">
            <v>2-Methyl-3-Hydroxy-Valerate</v>
          </cell>
        </row>
        <row r="10851">
          <cell r="A10851" t="str">
            <v>3h3mglt_e</v>
          </cell>
          <cell r="B10851" t="str">
            <v>3h3mglt</v>
          </cell>
          <cell r="C10851" t="str">
            <v>3-Hydroxy-3-Methyl-Glutarate</v>
          </cell>
        </row>
        <row r="10852">
          <cell r="A10852" t="str">
            <v>ppiogly_m</v>
          </cell>
          <cell r="B10852" t="str">
            <v>ppiogly</v>
          </cell>
          <cell r="C10852" t="str">
            <v>Propionyl-Glycine</v>
          </cell>
        </row>
        <row r="10853">
          <cell r="A10853" t="str">
            <v>tiggly_m</v>
          </cell>
          <cell r="B10853" t="str">
            <v>tiggly</v>
          </cell>
          <cell r="C10853" t="str">
            <v>Tiglyl Glycine</v>
          </cell>
        </row>
        <row r="10854">
          <cell r="A10854" t="str">
            <v>glutacoa_m</v>
          </cell>
          <cell r="B10854" t="str">
            <v>glutacoa</v>
          </cell>
          <cell r="C10854" t="str">
            <v>Glutaconyl Coenzyme A</v>
          </cell>
        </row>
        <row r="10855">
          <cell r="A10855" t="str">
            <v>glutcon_m</v>
          </cell>
          <cell r="B10855" t="str">
            <v>glutcon</v>
          </cell>
          <cell r="C10855" t="str">
            <v>Glutaconate</v>
          </cell>
        </row>
        <row r="10856">
          <cell r="A10856" t="str">
            <v>3hivac_c</v>
          </cell>
          <cell r="B10856" t="str">
            <v>3hivac</v>
          </cell>
          <cell r="C10856" t="str">
            <v>3-Hydroxyisovaleric Acid</v>
          </cell>
        </row>
        <row r="10857">
          <cell r="A10857" t="str">
            <v>3hadpac_x</v>
          </cell>
          <cell r="B10857" t="str">
            <v>3hadpac</v>
          </cell>
          <cell r="C10857" t="str">
            <v>3-Hydroxy-Adipate</v>
          </cell>
        </row>
        <row r="10858">
          <cell r="A10858" t="str">
            <v>3hadpac_c</v>
          </cell>
          <cell r="B10858" t="str">
            <v>3hadpac</v>
          </cell>
          <cell r="C10858" t="str">
            <v>3-Hydroxy-Adipate</v>
          </cell>
        </row>
        <row r="10859">
          <cell r="A10859" t="str">
            <v>3ohsebcoa_x</v>
          </cell>
          <cell r="B10859" t="str">
            <v>3ohsebcoa</v>
          </cell>
          <cell r="C10859" t="str">
            <v>3-Hydroxy-Sebacoyl Coenzyme A</v>
          </cell>
        </row>
        <row r="10860">
          <cell r="A10860" t="str">
            <v>5ohhexa_c</v>
          </cell>
          <cell r="B10860" t="str">
            <v>5ohhexa</v>
          </cell>
          <cell r="C10860" t="str">
            <v>5-Hydroxyhexanoic Acid</v>
          </cell>
        </row>
        <row r="10861">
          <cell r="A10861" t="str">
            <v>7ohocata_c</v>
          </cell>
          <cell r="B10861" t="str">
            <v>7ohocata</v>
          </cell>
          <cell r="C10861" t="str">
            <v>7-Hydroxy-Octanoate</v>
          </cell>
        </row>
        <row r="10862">
          <cell r="A10862" t="str">
            <v>ethmalcoa_c</v>
          </cell>
          <cell r="B10862" t="str">
            <v>ethmalcoa</v>
          </cell>
          <cell r="C10862" t="str">
            <v>Ethylmalonyl Coenzyme A</v>
          </cell>
        </row>
        <row r="10863">
          <cell r="A10863" t="str">
            <v>ethmalac_c</v>
          </cell>
          <cell r="B10863" t="str">
            <v>ethmalac</v>
          </cell>
          <cell r="C10863" t="str">
            <v>Ethylmalonic Acid</v>
          </cell>
        </row>
        <row r="10864">
          <cell r="A10864" t="str">
            <v>methsucc_e</v>
          </cell>
          <cell r="B10864" t="str">
            <v>methsucc</v>
          </cell>
          <cell r="C10864" t="str">
            <v>Methyl-Succinate</v>
          </cell>
        </row>
        <row r="10865">
          <cell r="A10865" t="str">
            <v>subgly_e</v>
          </cell>
          <cell r="B10865" t="str">
            <v>subgly</v>
          </cell>
          <cell r="C10865" t="str">
            <v>Suberyl-Glycine</v>
          </cell>
        </row>
        <row r="10866">
          <cell r="A10866" t="str">
            <v>4ohbut_e</v>
          </cell>
          <cell r="B10866" t="str">
            <v>4ohbut</v>
          </cell>
          <cell r="C10866" t="str">
            <v>4-Hydroxy-Butyrate</v>
          </cell>
        </row>
        <row r="10867">
          <cell r="A10867" t="str">
            <v>2hydog_c</v>
          </cell>
          <cell r="B10867" t="str">
            <v>2hydog</v>
          </cell>
          <cell r="C10867" t="str">
            <v>2-Hydroxy-Glutarate</v>
          </cell>
        </row>
        <row r="10868">
          <cell r="A10868" t="str">
            <v>thexdd_m</v>
          </cell>
          <cell r="B10868" t="str">
            <v>thexdd</v>
          </cell>
          <cell r="C10868" t="str">
            <v>7Z,10Z-Hexadecadienoic Acid</v>
          </cell>
        </row>
        <row r="10869">
          <cell r="A10869" t="str">
            <v>hexdtr_m</v>
          </cell>
          <cell r="B10869" t="str">
            <v>hexdtr</v>
          </cell>
          <cell r="C10869" t="str">
            <v>(Z,Z,Z)-7,10,13-Hexadecatrienoic Acid</v>
          </cell>
        </row>
        <row r="10870">
          <cell r="A10870" t="str">
            <v>hpdececoa_m</v>
          </cell>
          <cell r="B10870" t="str">
            <v>hpdececoa</v>
          </cell>
          <cell r="C10870" t="str">
            <v>Trans-Delta-2-Heptadecanoyl Coenzyme A</v>
          </cell>
        </row>
        <row r="10871">
          <cell r="A10871" t="str">
            <v>hpdece_e</v>
          </cell>
          <cell r="B10871" t="str">
            <v>hpdece</v>
          </cell>
          <cell r="C10871" t="str">
            <v>Trans-Delta-2-Heptadecanoic Acid</v>
          </cell>
        </row>
        <row r="10872">
          <cell r="A10872" t="str">
            <v>eic21114tr_e</v>
          </cell>
          <cell r="B10872" t="str">
            <v>eic21114tr</v>
          </cell>
          <cell r="C10872" t="str">
            <v>Trans,Cis,Cis-2,11,14-Eicosatrienoic Acid</v>
          </cell>
        </row>
        <row r="10873">
          <cell r="A10873" t="str">
            <v>andrstandn_e</v>
          </cell>
          <cell r="B10873" t="str">
            <v>andrstandn</v>
          </cell>
          <cell r="C10873" t="str">
            <v>5alpha-androstane-3,17-dione</v>
          </cell>
        </row>
        <row r="10874">
          <cell r="A10874" t="str">
            <v>CE5072_e</v>
          </cell>
          <cell r="B10874" t="str">
            <v>CE5072</v>
          </cell>
          <cell r="C10874" t="str">
            <v>21-hydroxyallopregnanolone</v>
          </cell>
        </row>
        <row r="10875">
          <cell r="A10875" t="str">
            <v>prgnlone_e</v>
          </cell>
          <cell r="B10875" t="str">
            <v>prgnlone</v>
          </cell>
          <cell r="C10875" t="str">
            <v>Prgnlone c</v>
          </cell>
        </row>
        <row r="10876">
          <cell r="A10876" t="str">
            <v>17ahprgnlone_e</v>
          </cell>
          <cell r="B10876" t="str">
            <v>17ahprgnlone</v>
          </cell>
          <cell r="C10876" t="str">
            <v>17alpha-Hydroxypregnenolone</v>
          </cell>
        </row>
        <row r="10877">
          <cell r="A10877" t="str">
            <v>C09642_e</v>
          </cell>
          <cell r="B10877" t="str">
            <v>C09642</v>
          </cell>
          <cell r="C10877" t="str">
            <v>(-)-Salsolinol</v>
          </cell>
        </row>
        <row r="10878">
          <cell r="A10878" t="str">
            <v>ppp9_e</v>
          </cell>
          <cell r="B10878" t="str">
            <v>ppp9</v>
          </cell>
          <cell r="C10878" t="str">
            <v>Protoporphyrin</v>
          </cell>
        </row>
        <row r="10879">
          <cell r="A10879" t="str">
            <v>C05770_e</v>
          </cell>
          <cell r="B10879" t="str">
            <v>C05770</v>
          </cell>
          <cell r="C10879" t="str">
            <v>Coproporphyrin Iii</v>
          </cell>
        </row>
        <row r="10880">
          <cell r="A10880" t="str">
            <v>1a25dhvitd3_e</v>
          </cell>
          <cell r="B10880" t="str">
            <v>1a25dhvitd3</v>
          </cell>
          <cell r="C10880" t="str">
            <v>1-alpha,25-Dihydroxyvitamin D3</v>
          </cell>
        </row>
        <row r="10881">
          <cell r="A10881" t="str">
            <v>CE1310_e</v>
          </cell>
          <cell r="B10881" t="str">
            <v>CE1310</v>
          </cell>
          <cell r="C10881" t="str">
            <v>N-acetyl-L-cysteine</v>
          </cell>
        </row>
        <row r="10882">
          <cell r="A10882" t="str">
            <v>CE7081_c</v>
          </cell>
          <cell r="B10882" t="str">
            <v>CE7081</v>
          </cell>
          <cell r="C10882" t="str">
            <v>15(R)-HEPE</v>
          </cell>
        </row>
        <row r="10883">
          <cell r="A10883" t="str">
            <v>12harachd_e</v>
          </cell>
          <cell r="B10883" t="str">
            <v>12harachd</v>
          </cell>
          <cell r="C10883" t="str">
            <v>12 hydroxy arachidonic acid</v>
          </cell>
        </row>
        <row r="10884">
          <cell r="A10884" t="str">
            <v>18harachd_e</v>
          </cell>
          <cell r="B10884" t="str">
            <v>18harachd</v>
          </cell>
          <cell r="C10884" t="str">
            <v>18 hydroxy arachidonic acid</v>
          </cell>
        </row>
        <row r="10885">
          <cell r="A10885" t="str">
            <v>orn__D_e</v>
          </cell>
          <cell r="B10885" t="str">
            <v>orn__D</v>
          </cell>
          <cell r="C10885" t="str">
            <v>D-Ornithine</v>
          </cell>
        </row>
        <row r="10886">
          <cell r="A10886" t="str">
            <v>5g2oxpt_e</v>
          </cell>
          <cell r="B10886" t="str">
            <v>5g2oxpt</v>
          </cell>
          <cell r="C10886" t="str">
            <v>2-Oxoarginine</v>
          </cell>
        </row>
        <row r="10887">
          <cell r="A10887" t="str">
            <v>xol27oh_e</v>
          </cell>
          <cell r="B10887" t="str">
            <v>xol27oh</v>
          </cell>
          <cell r="C10887" t="str">
            <v>27-Hydroxycholesterol</v>
          </cell>
        </row>
        <row r="10888">
          <cell r="A10888" t="str">
            <v>chsterols_e</v>
          </cell>
          <cell r="B10888" t="str">
            <v>chsterols</v>
          </cell>
          <cell r="C10888" t="str">
            <v>Cholesterol sulfate</v>
          </cell>
        </row>
        <row r="10889">
          <cell r="A10889" t="str">
            <v>3ityr__L_e</v>
          </cell>
          <cell r="B10889" t="str">
            <v>3ityr__L</v>
          </cell>
          <cell r="C10889" t="str">
            <v>3-Iodo-L-tyrosine</v>
          </cell>
        </row>
        <row r="10890">
          <cell r="A10890" t="str">
            <v>HC00005_e</v>
          </cell>
          <cell r="B10890" t="str">
            <v>HC00005</v>
          </cell>
          <cell r="C10890" t="str">
            <v>ApoB100</v>
          </cell>
        </row>
        <row r="10891">
          <cell r="A10891" t="str">
            <v>HC00008_e</v>
          </cell>
          <cell r="B10891" t="str">
            <v>HC00008</v>
          </cell>
          <cell r="C10891" t="str">
            <v>ApoC3</v>
          </cell>
        </row>
        <row r="10892">
          <cell r="A10892" t="str">
            <v>HC00009_e</v>
          </cell>
          <cell r="B10892" t="str">
            <v>HC00009</v>
          </cell>
          <cell r="C10892" t="str">
            <v>ApoE</v>
          </cell>
        </row>
        <row r="10893">
          <cell r="A10893" t="str">
            <v>ldl_hs_e</v>
          </cell>
          <cell r="B10893" t="str">
            <v>ldl_hs</v>
          </cell>
          <cell r="C10893" t="str">
            <v>Low Density Lipoprotein</v>
          </cell>
        </row>
        <row r="10894">
          <cell r="A10894" t="str">
            <v>melatn_e</v>
          </cell>
          <cell r="B10894" t="str">
            <v>melatn</v>
          </cell>
          <cell r="C10894" t="str">
            <v>Melatn c</v>
          </cell>
        </row>
        <row r="10895">
          <cell r="A10895" t="str">
            <v>C10164_e</v>
          </cell>
          <cell r="B10895" t="str">
            <v>C10164</v>
          </cell>
          <cell r="C10895" t="str">
            <v>Picolinic acid; pyridine-2-carboxylic acid</v>
          </cell>
        </row>
        <row r="10896">
          <cell r="A10896" t="str">
            <v>ppbng_e</v>
          </cell>
          <cell r="B10896" t="str">
            <v>ppbng</v>
          </cell>
          <cell r="C10896" t="str">
            <v>Porphobilinogen</v>
          </cell>
        </row>
        <row r="10897">
          <cell r="A10897" t="str">
            <v>ametam_e</v>
          </cell>
          <cell r="B10897" t="str">
            <v>ametam</v>
          </cell>
          <cell r="C10897" t="str">
            <v>S-Adenosylmethioninamine</v>
          </cell>
        </row>
        <row r="10898">
          <cell r="A10898" t="str">
            <v>C13856_e</v>
          </cell>
          <cell r="B10898" t="str">
            <v>C13856</v>
          </cell>
          <cell r="C10898" t="str">
            <v>2-Arachidonoylglycerol</v>
          </cell>
        </row>
        <row r="10899">
          <cell r="A10899" t="str">
            <v>coke_c</v>
          </cell>
          <cell r="B10899" t="str">
            <v>coke</v>
          </cell>
          <cell r="C10899" t="str">
            <v>Cocaine</v>
          </cell>
        </row>
        <row r="10900">
          <cell r="A10900" t="str">
            <v>dopa4sf_c</v>
          </cell>
          <cell r="B10900" t="str">
            <v>dopa4sf</v>
          </cell>
          <cell r="C10900" t="str">
            <v>Dopamine 4-O-Sulphate</v>
          </cell>
        </row>
        <row r="10901">
          <cell r="A10901" t="str">
            <v>dopa4glcur_e</v>
          </cell>
          <cell r="B10901" t="str">
            <v>dopa4glcur</v>
          </cell>
          <cell r="C10901" t="str">
            <v>Dopamine-4-O-Glucuronide</v>
          </cell>
        </row>
        <row r="10902">
          <cell r="A10902" t="str">
            <v>CE5026_e</v>
          </cell>
          <cell r="B10902" t="str">
            <v>CE5026</v>
          </cell>
          <cell r="C10902" t="str">
            <v>5-S-glutathionyl-L-DOPA</v>
          </cell>
        </row>
        <row r="10903">
          <cell r="A10903" t="str">
            <v>CE1261_e</v>
          </cell>
          <cell r="B10903" t="str">
            <v>CE1261</v>
          </cell>
          <cell r="C10903" t="str">
            <v>5-S-Cysteinyldopa</v>
          </cell>
        </row>
        <row r="10904">
          <cell r="A10904" t="str">
            <v>23dh1i56dio_c</v>
          </cell>
          <cell r="B10904" t="str">
            <v>23dh1i56dio</v>
          </cell>
          <cell r="C10904" t="str">
            <v>2,3-Dihydro-1H-Indole-5,6-Dione</v>
          </cell>
        </row>
        <row r="10905">
          <cell r="A10905" t="str">
            <v>CE5025_e</v>
          </cell>
          <cell r="B10905" t="str">
            <v>CE5025</v>
          </cell>
          <cell r="C10905" t="str">
            <v>5-S-glutathionyl-dopamine</v>
          </cell>
        </row>
        <row r="10906">
          <cell r="A10906" t="str">
            <v>Rtotal_r</v>
          </cell>
          <cell r="B10906" t="str">
            <v>Rtotal</v>
          </cell>
          <cell r="C10906" t="str">
            <v>Rtotal c</v>
          </cell>
        </row>
        <row r="10907">
          <cell r="A10907" t="str">
            <v>sphgn_g</v>
          </cell>
          <cell r="B10907" t="str">
            <v>sphgn</v>
          </cell>
          <cell r="C10907" t="str">
            <v>Sphinganine C18H40NO2</v>
          </cell>
        </row>
        <row r="10908">
          <cell r="A10908" t="str">
            <v>phsphings_g</v>
          </cell>
          <cell r="B10908" t="str">
            <v>phsphings</v>
          </cell>
          <cell r="C10908" t="str">
            <v>Phytosphingosine</v>
          </cell>
        </row>
        <row r="10909">
          <cell r="A10909" t="str">
            <v>phcrm_hs_r</v>
          </cell>
          <cell r="B10909" t="str">
            <v>phcrm_hs</v>
          </cell>
          <cell r="C10909" t="str">
            <v>Phytoceramide</v>
          </cell>
        </row>
        <row r="10910">
          <cell r="A10910" t="str">
            <v>gm2_hs_l</v>
          </cell>
          <cell r="B10910" t="str">
            <v>gm2_hs</v>
          </cell>
          <cell r="C10910" t="str">
            <v>Ganglioside GM2 (homo sapiens)</v>
          </cell>
        </row>
        <row r="10911">
          <cell r="A10911" t="str">
            <v>phcrm_hs_c</v>
          </cell>
          <cell r="B10911" t="str">
            <v>phcrm_hs</v>
          </cell>
          <cell r="C10911" t="str">
            <v>Phytoceramide</v>
          </cell>
        </row>
        <row r="10912">
          <cell r="A10912" t="str">
            <v>gm3_hs_e</v>
          </cell>
          <cell r="B10912" t="str">
            <v>gm3_hs</v>
          </cell>
          <cell r="C10912" t="str">
            <v>Ganglioside GM3 (homo sapiens)</v>
          </cell>
        </row>
        <row r="10913">
          <cell r="A10913" t="str">
            <v>gd3_hs_l</v>
          </cell>
          <cell r="B10913" t="str">
            <v>gd3_hs</v>
          </cell>
          <cell r="C10913" t="str">
            <v>GD3 (homo sapiens)</v>
          </cell>
        </row>
        <row r="10914">
          <cell r="A10914" t="str">
            <v>gm1_hs_e</v>
          </cell>
          <cell r="B10914" t="str">
            <v>gm1_hs</v>
          </cell>
          <cell r="C10914" t="str">
            <v>Ganglioside GM1 (homo sapiens)</v>
          </cell>
        </row>
        <row r="10915">
          <cell r="A10915" t="str">
            <v>gd1a_hs_c</v>
          </cell>
          <cell r="B10915" t="str">
            <v>gd1a_hs</v>
          </cell>
          <cell r="C10915" t="str">
            <v>GD1a (homo sapiens)</v>
          </cell>
        </row>
        <row r="10916">
          <cell r="A10916" t="str">
            <v>ga1_hs_c</v>
          </cell>
          <cell r="B10916" t="str">
            <v>ga1_hs</v>
          </cell>
          <cell r="C10916" t="str">
            <v>GA1 (homo sapiens)</v>
          </cell>
        </row>
        <row r="10917">
          <cell r="A10917" t="str">
            <v>ga2_hs_c</v>
          </cell>
          <cell r="B10917" t="str">
            <v>ga2_hs</v>
          </cell>
          <cell r="C10917" t="str">
            <v>GA2 (homo sapiens)</v>
          </cell>
        </row>
        <row r="10918">
          <cell r="A10918" t="str">
            <v>sphgn_n</v>
          </cell>
          <cell r="B10918" t="str">
            <v>sphgn</v>
          </cell>
          <cell r="C10918" t="str">
            <v>Sphinganine C18H40NO2</v>
          </cell>
        </row>
        <row r="10919">
          <cell r="A10919" t="str">
            <v>cholp_n</v>
          </cell>
          <cell r="B10919" t="str">
            <v>cholp</v>
          </cell>
          <cell r="C10919" t="str">
            <v>Choline phosphate C5H13NO4P</v>
          </cell>
        </row>
        <row r="10920">
          <cell r="A10920" t="str">
            <v>gd3_hs_m</v>
          </cell>
          <cell r="B10920" t="str">
            <v>gd3_hs</v>
          </cell>
          <cell r="C10920" t="str">
            <v>GD3 (homo sapiens)</v>
          </cell>
        </row>
        <row r="10921">
          <cell r="A10921" t="str">
            <v>M00241_e</v>
          </cell>
          <cell r="B10921" t="str">
            <v>M00241</v>
          </cell>
          <cell r="C10921" t="str">
            <v>1,2-Diacylglycerol-VLDL-Pool</v>
          </cell>
        </row>
        <row r="10922">
          <cell r="A10922" t="str">
            <v>M00017_e</v>
          </cell>
          <cell r="B10922" t="str">
            <v>M00017</v>
          </cell>
          <cell r="C10922" t="str">
            <v>13Z-Eicosenoic Acid</v>
          </cell>
        </row>
        <row r="10923">
          <cell r="A10923" t="str">
            <v>M00115_e</v>
          </cell>
          <cell r="B10923" t="str">
            <v>M00115</v>
          </cell>
          <cell r="C10923" t="str">
            <v>7Z-Octadecenoic Acid</v>
          </cell>
        </row>
        <row r="10924">
          <cell r="A10924" t="str">
            <v>M01207_e</v>
          </cell>
          <cell r="B10924" t="str">
            <v>M01207</v>
          </cell>
          <cell r="C10924" t="str">
            <v>8Z,11Z-Eicosadienoic Acid</v>
          </cell>
        </row>
        <row r="10925">
          <cell r="A10925" t="str">
            <v>M01235_e</v>
          </cell>
          <cell r="B10925" t="str">
            <v>M01235</v>
          </cell>
          <cell r="C10925" t="str">
            <v>9Z-Eicosenoic Acid</v>
          </cell>
        </row>
        <row r="10926">
          <cell r="A10926" t="str">
            <v>M01238_e</v>
          </cell>
          <cell r="B10926" t="str">
            <v>M01238</v>
          </cell>
          <cell r="C10926" t="str">
            <v>9Z-Heptadecenoic Acid</v>
          </cell>
        </row>
        <row r="10927">
          <cell r="A10927" t="str">
            <v>M03051_e</v>
          </cell>
          <cell r="B10927" t="str">
            <v>M03051</v>
          </cell>
          <cell r="C10927" t="str">
            <v>Tridecanoic Acid</v>
          </cell>
        </row>
        <row r="10928">
          <cell r="A10928" t="str">
            <v>M02909_e</v>
          </cell>
          <cell r="B10928" t="str">
            <v>M02909</v>
          </cell>
          <cell r="C10928" t="str">
            <v>Smcfa-Blood-Pool</v>
          </cell>
        </row>
        <row r="10929">
          <cell r="A10929" t="str">
            <v>xolest2_hs_r</v>
          </cell>
          <cell r="B10929" t="str">
            <v>xolest2_hs</v>
          </cell>
          <cell r="C10929" t="str">
            <v>Cholesterol ester (from FULLR2)</v>
          </cell>
        </row>
        <row r="10930">
          <cell r="A10930" t="str">
            <v>M03134_c</v>
          </cell>
          <cell r="B10930" t="str">
            <v>M03134</v>
          </cell>
          <cell r="C10930" t="str">
            <v>Valeric Acid</v>
          </cell>
        </row>
        <row r="10931">
          <cell r="A10931" t="str">
            <v>M02616_m</v>
          </cell>
          <cell r="B10931" t="str">
            <v>M02616</v>
          </cell>
          <cell r="C10931" t="str">
            <v>Nonanoyl Coenzyme A</v>
          </cell>
        </row>
        <row r="10932">
          <cell r="A10932" t="str">
            <v>M03116_c</v>
          </cell>
          <cell r="B10932" t="str">
            <v>M03116</v>
          </cell>
          <cell r="C10932" t="str">
            <v>Undecanoyl Coenzyme A</v>
          </cell>
        </row>
        <row r="10933">
          <cell r="A10933" t="str">
            <v>M00117_c</v>
          </cell>
          <cell r="B10933" t="str">
            <v>M00117</v>
          </cell>
          <cell r="C10933" t="str">
            <v>7Z-Tetradecenoic Acid</v>
          </cell>
        </row>
        <row r="10934">
          <cell r="A10934" t="str">
            <v>M02745_c</v>
          </cell>
          <cell r="B10934" t="str">
            <v>M02745</v>
          </cell>
          <cell r="C10934" t="str">
            <v>5Z-Tetradecenoic Acid</v>
          </cell>
        </row>
        <row r="10935">
          <cell r="A10935" t="str">
            <v>M00003_c</v>
          </cell>
          <cell r="B10935" t="str">
            <v>M00003</v>
          </cell>
          <cell r="C10935" t="str">
            <v>10Z-Heptadecenoic Acid</v>
          </cell>
        </row>
        <row r="10936">
          <cell r="A10936" t="str">
            <v>M00004_c</v>
          </cell>
          <cell r="B10936" t="str">
            <v>M00004</v>
          </cell>
          <cell r="C10936" t="str">
            <v>10Z-Heptadecenoyl Coenzyme A</v>
          </cell>
        </row>
        <row r="10937">
          <cell r="A10937" t="str">
            <v>M01237_c</v>
          </cell>
          <cell r="B10937" t="str">
            <v>M01237</v>
          </cell>
          <cell r="C10937" t="str">
            <v>9Z-Heptadecenoyl Coenzyme A</v>
          </cell>
        </row>
        <row r="10938">
          <cell r="A10938" t="str">
            <v>M00018_c</v>
          </cell>
          <cell r="B10938" t="str">
            <v>M00018</v>
          </cell>
          <cell r="C10938" t="str">
            <v>13Z-Eicosenoyl Coenzyme A</v>
          </cell>
        </row>
        <row r="10939">
          <cell r="A10939" t="str">
            <v>M00101_c</v>
          </cell>
          <cell r="B10939" t="str">
            <v>M00101</v>
          </cell>
          <cell r="C10939" t="str">
            <v>5Z,8Z,11Z-Eicosatrienoyl Coenzyme A</v>
          </cell>
        </row>
        <row r="10940">
          <cell r="A10940" t="str">
            <v>M02053_c</v>
          </cell>
          <cell r="B10940" t="str">
            <v>M02053</v>
          </cell>
          <cell r="C10940" t="str">
            <v>Heneicosanoic Acid</v>
          </cell>
        </row>
        <row r="10941">
          <cell r="A10941" t="str">
            <v>M01582_c</v>
          </cell>
          <cell r="B10941" t="str">
            <v>M01582</v>
          </cell>
          <cell r="C10941" t="str">
            <v>11Z-Docosenoic Acid</v>
          </cell>
        </row>
        <row r="10942">
          <cell r="A10942" t="str">
            <v>M00006_c</v>
          </cell>
          <cell r="B10942" t="str">
            <v>M00006</v>
          </cell>
          <cell r="C10942" t="str">
            <v>11Z-Docosenoyl Coenzyme A</v>
          </cell>
        </row>
        <row r="10943">
          <cell r="A10943" t="str">
            <v>M03047_c</v>
          </cell>
          <cell r="B10943" t="str">
            <v>M03047</v>
          </cell>
          <cell r="C10943" t="str">
            <v>Tricosanoyl Coenzyme A</v>
          </cell>
        </row>
        <row r="10944">
          <cell r="A10944" t="str">
            <v>M03153_c</v>
          </cell>
          <cell r="B10944" t="str">
            <v>M03153</v>
          </cell>
          <cell r="C10944" t="str">
            <v>17Z-Hexacosenoic Acid</v>
          </cell>
        </row>
        <row r="10945">
          <cell r="A10945" t="str">
            <v>M00023_c</v>
          </cell>
          <cell r="B10945" t="str">
            <v>M00023</v>
          </cell>
          <cell r="C10945" t="str">
            <v>13Z,16Z-Docosadienoyl Coenzyme A</v>
          </cell>
        </row>
        <row r="10946">
          <cell r="A10946" t="str">
            <v>M00265_c</v>
          </cell>
          <cell r="B10946" t="str">
            <v>M00265</v>
          </cell>
          <cell r="C10946" t="str">
            <v>10Z,13Z,16Z-Docosatriynoic Acid</v>
          </cell>
        </row>
        <row r="10947">
          <cell r="A10947" t="str">
            <v>HC02060_c</v>
          </cell>
          <cell r="B10947" t="str">
            <v>HC02060</v>
          </cell>
          <cell r="C10947" t="str">
            <v>1,2-Diacylglycerol-Ld-Sm-Pool</v>
          </cell>
        </row>
        <row r="10948">
          <cell r="A10948" t="str">
            <v>sphmyln_hs_r</v>
          </cell>
          <cell r="B10948" t="str">
            <v>sphmyln_hs</v>
          </cell>
          <cell r="C10948" t="str">
            <v>Sphingomyelin (homo sapiens)</v>
          </cell>
        </row>
        <row r="10949">
          <cell r="A10949" t="str">
            <v>galgluside_hs_r</v>
          </cell>
          <cell r="B10949" t="str">
            <v>galgluside_hs</v>
          </cell>
          <cell r="C10949" t="str">
            <v>Galactosyl glucosyl ceramide</v>
          </cell>
        </row>
        <row r="10950">
          <cell r="A10950" t="str">
            <v>M03131_c</v>
          </cell>
          <cell r="B10950" t="str">
            <v>M03131</v>
          </cell>
          <cell r="C10950" t="str">
            <v>V3(Neuac)2-Gb5Cer ((Gal)3 (GalNAc)1 (Glc)1 (Neu5Ac)2 (Cer)1)</v>
          </cell>
        </row>
        <row r="10951">
          <cell r="A10951" t="str">
            <v>gm1b_hs_c</v>
          </cell>
          <cell r="B10951" t="str">
            <v>gm1b_hs</v>
          </cell>
          <cell r="C10951" t="str">
            <v>GM1b (homo sapiens)</v>
          </cell>
        </row>
        <row r="10952">
          <cell r="A10952" t="str">
            <v>M02012_l</v>
          </cell>
          <cell r="B10952" t="str">
            <v>M02012</v>
          </cell>
          <cell r="C10952" t="str">
            <v>Gm2A</v>
          </cell>
        </row>
        <row r="10953">
          <cell r="A10953" t="str">
            <v>acglcgalgluside_hs_c</v>
          </cell>
          <cell r="B10953" t="str">
            <v>acglcgalgluside_hs</v>
          </cell>
          <cell r="C10953" t="str">
            <v>(Gal)1 (Glc)1 (GlcNAc)1 (Cer)1</v>
          </cell>
        </row>
        <row r="10954">
          <cell r="A10954" t="str">
            <v>M01881_c</v>
          </cell>
          <cell r="B10954" t="str">
            <v>M01881</v>
          </cell>
          <cell r="C10954" t="str">
            <v>(Gal)4 (Glc)1 (GlcNAc)3 (LFuc)2 (Cer)1</v>
          </cell>
        </row>
        <row r="10955">
          <cell r="A10955" t="str">
            <v>gthox_r</v>
          </cell>
          <cell r="B10955" t="str">
            <v>gthox</v>
          </cell>
          <cell r="C10955" t="str">
            <v>Oxidized glutathione</v>
          </cell>
        </row>
        <row r="10956">
          <cell r="A10956" t="str">
            <v>HC02217_r</v>
          </cell>
          <cell r="B10956" t="str">
            <v>HC02217</v>
          </cell>
          <cell r="C10956" t="str">
            <v>Prostaglandin-g2</v>
          </cell>
        </row>
        <row r="10957">
          <cell r="A10957" t="str">
            <v>M00957_c</v>
          </cell>
          <cell r="B10957" t="str">
            <v>M00957</v>
          </cell>
          <cell r="C10957" t="str">
            <v>4'-Formyl-4'-Methyl-5'-Cholesta-8,24-Dien-3'-Ol</v>
          </cell>
        </row>
        <row r="10958">
          <cell r="A10958" t="str">
            <v>M00962_c</v>
          </cell>
          <cell r="B10958" t="str">
            <v>M00962</v>
          </cell>
          <cell r="C10958" t="str">
            <v>4'-Hydroxymethyl-4'-Methyl-5'-Cholesta-8-En-3'-Ol</v>
          </cell>
        </row>
        <row r="10959">
          <cell r="A10959" t="str">
            <v>M00958_c</v>
          </cell>
          <cell r="B10959" t="str">
            <v>M00958</v>
          </cell>
          <cell r="C10959" t="str">
            <v>4'-Formyl-4'-Methyl-5'-Cholesta-8-En-3'-Ol</v>
          </cell>
        </row>
        <row r="10960">
          <cell r="A10960" t="str">
            <v>M00956_c</v>
          </cell>
          <cell r="B10960" t="str">
            <v>M00956</v>
          </cell>
          <cell r="C10960" t="str">
            <v>4'-Carboxy-5'-Cholesta-8-En-3'-Ol</v>
          </cell>
        </row>
        <row r="10961">
          <cell r="A10961" t="str">
            <v>M01083_c</v>
          </cell>
          <cell r="B10961" t="str">
            <v>M01083</v>
          </cell>
          <cell r="C10961" t="str">
            <v>7Alpha,24Alpha-Dihydroxy-5Beta-Cholestan-3-One</v>
          </cell>
        </row>
        <row r="10962">
          <cell r="A10962" t="str">
            <v>M00742_m</v>
          </cell>
          <cell r="B10962" t="str">
            <v>M00742</v>
          </cell>
          <cell r="C10962" t="str">
            <v>3,7,24THCA</v>
          </cell>
        </row>
        <row r="10963">
          <cell r="A10963" t="str">
            <v>M00615_c</v>
          </cell>
          <cell r="B10963" t="str">
            <v>M00615</v>
          </cell>
          <cell r="C10963" t="str">
            <v>25(R)Tetrahca Coenzyme A</v>
          </cell>
        </row>
        <row r="10964">
          <cell r="A10964" t="str">
            <v>M00615_x</v>
          </cell>
          <cell r="B10964" t="str">
            <v>M00615</v>
          </cell>
          <cell r="C10964" t="str">
            <v>25(R)Tetrahca Coenzyme A</v>
          </cell>
        </row>
        <row r="10965">
          <cell r="A10965" t="str">
            <v>M00605_c</v>
          </cell>
          <cell r="B10965" t="str">
            <v>M00605</v>
          </cell>
          <cell r="C10965" t="str">
            <v>21-Hydroxypregnenolone</v>
          </cell>
        </row>
        <row r="10966">
          <cell r="A10966" t="str">
            <v>M02760_c</v>
          </cell>
          <cell r="B10966" t="str">
            <v>M02760</v>
          </cell>
          <cell r="C10966" t="str">
            <v>Pregn-5-Ene-3,20-Dione</v>
          </cell>
        </row>
        <row r="10967">
          <cell r="A10967" t="str">
            <v>M00285_c</v>
          </cell>
          <cell r="B10967" t="str">
            <v>M00285</v>
          </cell>
          <cell r="C10967" t="str">
            <v>11Beta-Hydroxyprogesterone</v>
          </cell>
        </row>
        <row r="10968">
          <cell r="A10968" t="str">
            <v>hestratriol_l</v>
          </cell>
          <cell r="B10968" t="str">
            <v>hestratriol</v>
          </cell>
          <cell r="C10968" t="str">
            <v>4,17 dihydroxy estradiol</v>
          </cell>
        </row>
        <row r="10969">
          <cell r="A10969" t="str">
            <v>M00790_c</v>
          </cell>
          <cell r="B10969" t="str">
            <v>M00790</v>
          </cell>
          <cell r="C10969" t="str">
            <v>3-Hydroxynonadecanoyl Coenzyme A</v>
          </cell>
        </row>
        <row r="10970">
          <cell r="A10970" t="str">
            <v>M00054_c</v>
          </cell>
          <cell r="B10970" t="str">
            <v>M00054</v>
          </cell>
          <cell r="C10970" t="str">
            <v>(2E)-Nonadecenoyl Coenzyme A</v>
          </cell>
        </row>
        <row r="10971">
          <cell r="A10971" t="str">
            <v>M00702_c</v>
          </cell>
          <cell r="B10971" t="str">
            <v>M00702</v>
          </cell>
          <cell r="C10971" t="str">
            <v>3(S)-Hydroxy-13-Cis-Eicosenoyl Coenzyme A</v>
          </cell>
        </row>
        <row r="10972">
          <cell r="A10972" t="str">
            <v>M00699_c</v>
          </cell>
          <cell r="B10972" t="str">
            <v>M00699</v>
          </cell>
          <cell r="C10972" t="str">
            <v>3(S)-Hydroxy-11Cis-Docosenoyl Coenzyme A</v>
          </cell>
        </row>
        <row r="10973">
          <cell r="A10973" t="str">
            <v>M03011_c</v>
          </cell>
          <cell r="B10973" t="str">
            <v>M03011</v>
          </cell>
          <cell r="C10973" t="str">
            <v>Trans,Cis-2,11-Docosadienoyl Coenzyme A</v>
          </cell>
        </row>
        <row r="10974">
          <cell r="A10974" t="str">
            <v>M03017_c</v>
          </cell>
          <cell r="B10974" t="str">
            <v>M03017</v>
          </cell>
          <cell r="C10974" t="str">
            <v>Trans,Cis-2,8,11-Eicosatrienoyl Coenzyme A</v>
          </cell>
        </row>
        <row r="10975">
          <cell r="A10975" t="str">
            <v>M00086_c</v>
          </cell>
          <cell r="B10975" t="str">
            <v>M00086</v>
          </cell>
          <cell r="C10975" t="str">
            <v>(3S)-Hydroxy-Eicosa-Cis,Cis,Cis-11,14,17-Trienoyl Coenzyme A</v>
          </cell>
        </row>
        <row r="10976">
          <cell r="A10976" t="str">
            <v>M03005_c</v>
          </cell>
          <cell r="B10976" t="str">
            <v>M03005</v>
          </cell>
          <cell r="C10976" t="str">
            <v>Trans,Cis,Cis,Cis-2,11,14,17-Eicosatetraenoyl Coenzyme A</v>
          </cell>
        </row>
        <row r="10977">
          <cell r="A10977" t="str">
            <v>M03006_c</v>
          </cell>
          <cell r="B10977" t="str">
            <v>M03006</v>
          </cell>
          <cell r="C10977" t="str">
            <v>Trans,Cis,Cis,Cis-2,13,16,19-Docosatetraenoyl Coenzyme A</v>
          </cell>
        </row>
        <row r="10978">
          <cell r="A10978" t="str">
            <v>M01729_m</v>
          </cell>
          <cell r="B10978" t="str">
            <v>M01729</v>
          </cell>
          <cell r="C10978" t="str">
            <v>Dodecanoylcarnitine</v>
          </cell>
        </row>
        <row r="10979">
          <cell r="A10979" t="str">
            <v>M03050_m</v>
          </cell>
          <cell r="B10979" t="str">
            <v>M03050</v>
          </cell>
          <cell r="C10979" t="str">
            <v>Tridecanoyl Coenzyme A</v>
          </cell>
        </row>
        <row r="10980">
          <cell r="A10980" t="str">
            <v>M02973_m</v>
          </cell>
          <cell r="B10980" t="str">
            <v>M02973</v>
          </cell>
          <cell r="C10980" t="str">
            <v>Tetradecanoylcarnitine</v>
          </cell>
        </row>
        <row r="10981">
          <cell r="A10981" t="str">
            <v>M00129_m</v>
          </cell>
          <cell r="B10981" t="str">
            <v>M00129</v>
          </cell>
          <cell r="C10981" t="str">
            <v>9E-Tetradecenoyl Coenzyme A</v>
          </cell>
        </row>
        <row r="10982">
          <cell r="A10982" t="str">
            <v>M01191_m</v>
          </cell>
          <cell r="B10982" t="str">
            <v>M01191</v>
          </cell>
          <cell r="C10982" t="str">
            <v>7Z-Hexadecenoyl Coenzyme A</v>
          </cell>
        </row>
        <row r="10983">
          <cell r="A10983" t="str">
            <v>M02102_c</v>
          </cell>
          <cell r="B10983" t="str">
            <v>M02102</v>
          </cell>
          <cell r="C10983" t="str">
            <v>Heptadecenoylcarnitine(7)</v>
          </cell>
        </row>
        <row r="10984">
          <cell r="A10984" t="str">
            <v>M00020_m</v>
          </cell>
          <cell r="B10984" t="str">
            <v>M00020</v>
          </cell>
          <cell r="C10984" t="str">
            <v>13Z-Octadecenoyl Coenzyme A</v>
          </cell>
        </row>
        <row r="10985">
          <cell r="A10985" t="str">
            <v>M02638_c</v>
          </cell>
          <cell r="B10985" t="str">
            <v>M02638</v>
          </cell>
          <cell r="C10985" t="str">
            <v>Octadecenoylcarnitine(11)</v>
          </cell>
        </row>
        <row r="10986">
          <cell r="A10986" t="str">
            <v>M02611_c</v>
          </cell>
          <cell r="B10986" t="str">
            <v>M02611</v>
          </cell>
          <cell r="C10986" t="str">
            <v>Nonadecanoylcarnitine</v>
          </cell>
        </row>
        <row r="10987">
          <cell r="A10987" t="str">
            <v>CE5151_m</v>
          </cell>
          <cell r="B10987" t="str">
            <v>CE5151</v>
          </cell>
          <cell r="C10987" t="str">
            <v>11-cis-eicosenoyl-CoA</v>
          </cell>
        </row>
        <row r="10988">
          <cell r="A10988" t="str">
            <v>M01236_m</v>
          </cell>
          <cell r="B10988" t="str">
            <v>M01236</v>
          </cell>
          <cell r="C10988" t="str">
            <v>9Z-Eicosenoyl Coenzyme A</v>
          </cell>
        </row>
        <row r="10989">
          <cell r="A10989" t="str">
            <v>M00100_c</v>
          </cell>
          <cell r="B10989" t="str">
            <v>M00100</v>
          </cell>
          <cell r="C10989" t="str">
            <v>5Z,8Z,11Z-Eicosatrienoylcarnitine</v>
          </cell>
        </row>
        <row r="10990">
          <cell r="A10990" t="str">
            <v>M02051_m</v>
          </cell>
          <cell r="B10990" t="str">
            <v>M02051</v>
          </cell>
          <cell r="C10990" t="str">
            <v>Heneicosanoylcarnitine</v>
          </cell>
        </row>
        <row r="10991">
          <cell r="A10991" t="str">
            <v>M01726_m</v>
          </cell>
          <cell r="B10991" t="str">
            <v>M01726</v>
          </cell>
          <cell r="C10991" t="str">
            <v>Docosenoylcarnitine(11)</v>
          </cell>
        </row>
        <row r="10992">
          <cell r="A10992" t="str">
            <v>M00012_m</v>
          </cell>
          <cell r="B10992" t="str">
            <v>M00012</v>
          </cell>
          <cell r="C10992" t="str">
            <v>11Z,14Z,17Z-Eicosatrienoyl Coenzyme A</v>
          </cell>
        </row>
        <row r="10993">
          <cell r="A10993" t="str">
            <v>M00342_m</v>
          </cell>
          <cell r="B10993" t="str">
            <v>M00342</v>
          </cell>
          <cell r="C10993" t="str">
            <v>13Z,16Z,19Z-Docosatrienoylcarnitine</v>
          </cell>
        </row>
        <row r="10994">
          <cell r="A10994" t="str">
            <v>M00263_m</v>
          </cell>
          <cell r="B10994" t="str">
            <v>M00263</v>
          </cell>
          <cell r="C10994" t="str">
            <v>10Z,13Z,16Z-Docosatrienoylcarnitine</v>
          </cell>
        </row>
        <row r="10995">
          <cell r="A10995" t="str">
            <v>ddcacoa_r</v>
          </cell>
          <cell r="B10995" t="str">
            <v>ddcacoa</v>
          </cell>
          <cell r="C10995" t="str">
            <v>Dodecanoyl-CoA (n-C12:0CoA)</v>
          </cell>
        </row>
        <row r="10996">
          <cell r="A10996" t="str">
            <v>ptdcacoa_r</v>
          </cell>
          <cell r="B10996" t="str">
            <v>ptdcacoa</v>
          </cell>
          <cell r="C10996" t="str">
            <v>Pentadecanoyl Coenzyme A</v>
          </cell>
        </row>
        <row r="10997">
          <cell r="A10997" t="str">
            <v>M00004_r</v>
          </cell>
          <cell r="B10997" t="str">
            <v>M00004</v>
          </cell>
          <cell r="C10997" t="str">
            <v>10Z-Heptadecenoyl Coenzyme A</v>
          </cell>
        </row>
        <row r="10998">
          <cell r="A10998" t="str">
            <v>M01237_r</v>
          </cell>
          <cell r="B10998" t="str">
            <v>M01237</v>
          </cell>
          <cell r="C10998" t="str">
            <v>9Z-Heptadecenoyl Coenzyme A</v>
          </cell>
        </row>
        <row r="10999">
          <cell r="A10999" t="str">
            <v>vacccoa_r</v>
          </cell>
          <cell r="B10999" t="str">
            <v>vacccoa</v>
          </cell>
          <cell r="C10999" t="str">
            <v>Vaccenyl coenzyme A</v>
          </cell>
        </row>
        <row r="11000">
          <cell r="A11000" t="str">
            <v>M00018_r</v>
          </cell>
          <cell r="B11000" t="str">
            <v>M00018</v>
          </cell>
          <cell r="C11000" t="str">
            <v>13Z-Eicosenoyl Coenzyme A</v>
          </cell>
        </row>
        <row r="11001">
          <cell r="A11001" t="str">
            <v>M00101_r</v>
          </cell>
          <cell r="B11001" t="str">
            <v>M00101</v>
          </cell>
          <cell r="C11001" t="str">
            <v>5Z,8Z,11Z-Eicosatrienoyl Coenzyme A</v>
          </cell>
        </row>
        <row r="11002">
          <cell r="A11002" t="str">
            <v>M00006_r</v>
          </cell>
          <cell r="B11002" t="str">
            <v>M00006</v>
          </cell>
          <cell r="C11002" t="str">
            <v>11Z-Docosenoyl Coenzyme A</v>
          </cell>
        </row>
        <row r="11003">
          <cell r="A11003" t="str">
            <v>strdnccrn_r</v>
          </cell>
          <cell r="B11003" t="str">
            <v>strdnccrn</v>
          </cell>
          <cell r="C11003" t="str">
            <v>Stearidonyl carnitine</v>
          </cell>
        </row>
        <row r="11004">
          <cell r="A11004" t="str">
            <v>c226coa_r</v>
          </cell>
          <cell r="B11004" t="str">
            <v>c226coa</v>
          </cell>
          <cell r="C11004" t="str">
            <v>Cervonyl coenzyme A</v>
          </cell>
        </row>
        <row r="11005">
          <cell r="A11005" t="str">
            <v>lnlncgcrn_r</v>
          </cell>
          <cell r="B11005" t="str">
            <v>lnlncgcrn</v>
          </cell>
          <cell r="C11005" t="str">
            <v>Gamma-linolenyl carnitine</v>
          </cell>
        </row>
        <row r="11006">
          <cell r="A11006" t="str">
            <v>M00023_r</v>
          </cell>
          <cell r="B11006" t="str">
            <v>M00023</v>
          </cell>
          <cell r="C11006" t="str">
            <v>13Z,16Z-Docosadienoyl Coenzyme A</v>
          </cell>
        </row>
        <row r="11007">
          <cell r="A11007" t="str">
            <v>M03047_r</v>
          </cell>
          <cell r="B11007" t="str">
            <v>M03047</v>
          </cell>
          <cell r="C11007" t="str">
            <v>Tricosanoyl Coenzyme A</v>
          </cell>
        </row>
        <row r="11008">
          <cell r="A11008" t="str">
            <v>tettet6coa_r</v>
          </cell>
          <cell r="B11008" t="str">
            <v>tettet6coa</v>
          </cell>
          <cell r="C11008" t="str">
            <v>Tetracosatetraenoyl coenzyme A</v>
          </cell>
        </row>
        <row r="11009">
          <cell r="A11009" t="str">
            <v>M02745_r</v>
          </cell>
          <cell r="B11009" t="str">
            <v>M02745</v>
          </cell>
          <cell r="C11009" t="str">
            <v>5Z-Tetradecenoic Acid</v>
          </cell>
        </row>
        <row r="11010">
          <cell r="A11010" t="str">
            <v>M00117_r</v>
          </cell>
          <cell r="B11010" t="str">
            <v>M00117</v>
          </cell>
          <cell r="C11010" t="str">
            <v>7Z-Tetradecenoic Acid</v>
          </cell>
        </row>
        <row r="11011">
          <cell r="A11011" t="str">
            <v>hpdca_r</v>
          </cell>
          <cell r="B11011" t="str">
            <v>hpdca</v>
          </cell>
          <cell r="C11011" t="str">
            <v>Heptadecanoate  C170  C17H33O2</v>
          </cell>
        </row>
        <row r="11012">
          <cell r="A11012" t="str">
            <v>M00003_r</v>
          </cell>
          <cell r="B11012" t="str">
            <v>M00003</v>
          </cell>
          <cell r="C11012" t="str">
            <v>10Z-Heptadecenoic Acid</v>
          </cell>
        </row>
        <row r="11013">
          <cell r="A11013" t="str">
            <v>elaid_r</v>
          </cell>
          <cell r="B11013" t="str">
            <v>elaid</v>
          </cell>
          <cell r="C11013" t="str">
            <v>Elaidic acid</v>
          </cell>
        </row>
        <row r="11014">
          <cell r="A11014" t="str">
            <v>M02053_r</v>
          </cell>
          <cell r="B11014" t="str">
            <v>M02053</v>
          </cell>
          <cell r="C11014" t="str">
            <v>Heneicosanoic Acid</v>
          </cell>
        </row>
        <row r="11015">
          <cell r="A11015" t="str">
            <v>M01582_r</v>
          </cell>
          <cell r="B11015" t="str">
            <v>M01582</v>
          </cell>
          <cell r="C11015" t="str">
            <v>11Z-Docosenoic Acid</v>
          </cell>
        </row>
        <row r="11016">
          <cell r="A11016" t="str">
            <v>M03153_r</v>
          </cell>
          <cell r="B11016" t="str">
            <v>M03153</v>
          </cell>
          <cell r="C11016" t="str">
            <v>17Z-Hexacosenoic Acid</v>
          </cell>
        </row>
        <row r="11017">
          <cell r="A11017" t="str">
            <v>tettet6_r</v>
          </cell>
          <cell r="B11017" t="str">
            <v>tettet6</v>
          </cell>
          <cell r="C11017" t="str">
            <v>Tetracosatetraenoic acid n-6</v>
          </cell>
        </row>
        <row r="11018">
          <cell r="A11018" t="str">
            <v>M03047_x</v>
          </cell>
          <cell r="B11018" t="str">
            <v>M03047</v>
          </cell>
          <cell r="C11018" t="str">
            <v>Tricosanoyl Coenzyme A</v>
          </cell>
        </row>
        <row r="11019">
          <cell r="A11019" t="str">
            <v>CE2242_x</v>
          </cell>
          <cell r="B11019" t="str">
            <v>CE2242</v>
          </cell>
          <cell r="C11019" t="str">
            <v>Trans-docos-2-enoyl-CoA</v>
          </cell>
        </row>
        <row r="11020">
          <cell r="A11020" t="str">
            <v>CE2246_x</v>
          </cell>
          <cell r="B11020" t="str">
            <v>CE2246</v>
          </cell>
          <cell r="C11020" t="str">
            <v>3-hydroxydocosanoyl-CoA (4-)</v>
          </cell>
        </row>
        <row r="11021">
          <cell r="A11021" t="str">
            <v>HC01407_x</v>
          </cell>
          <cell r="B11021" t="str">
            <v>HC01407</v>
          </cell>
          <cell r="C11021" t="str">
            <v>3S-Hydroxy-Hexanoyl Coenzyme A</v>
          </cell>
        </row>
        <row r="11022">
          <cell r="A11022" t="str">
            <v>HC01408_x</v>
          </cell>
          <cell r="B11022" t="str">
            <v>HC01408</v>
          </cell>
          <cell r="C11022" t="str">
            <v>3-Oxo-Hexanoyl Coenzyme A</v>
          </cell>
        </row>
        <row r="11023">
          <cell r="A11023" t="str">
            <v>CE2248_m</v>
          </cell>
          <cell r="B11023" t="str">
            <v>CE2248</v>
          </cell>
          <cell r="C11023" t="str">
            <v>3-hydroxyoctadecanoyl-CoA(4-)</v>
          </cell>
        </row>
        <row r="11024">
          <cell r="A11024" t="str">
            <v>M00044_m</v>
          </cell>
          <cell r="B11024" t="str">
            <v>M00044</v>
          </cell>
          <cell r="C11024" t="str">
            <v>(2E)-Heneicosenoyl Coenzyme A</v>
          </cell>
        </row>
        <row r="11025">
          <cell r="A11025" t="str">
            <v>M00061_m</v>
          </cell>
          <cell r="B11025" t="str">
            <v>M00061</v>
          </cell>
          <cell r="C11025" t="str">
            <v>(2E)-Pentadecenoyl Coenzyme A</v>
          </cell>
        </row>
        <row r="11026">
          <cell r="A11026" t="str">
            <v>M00795_m</v>
          </cell>
          <cell r="B11026" t="str">
            <v>M00795</v>
          </cell>
          <cell r="C11026" t="str">
            <v>3-Hydroxypentadecanoyl Coenzyme A</v>
          </cell>
        </row>
        <row r="11027">
          <cell r="A11027" t="str">
            <v>M00071_m</v>
          </cell>
          <cell r="B11027" t="str">
            <v>M00071</v>
          </cell>
          <cell r="C11027" t="str">
            <v>(2E)-Undecenoyl Coenzyme A</v>
          </cell>
        </row>
        <row r="11028">
          <cell r="A11028" t="str">
            <v>M00806_m</v>
          </cell>
          <cell r="B11028" t="str">
            <v>M00806</v>
          </cell>
          <cell r="C11028" t="str">
            <v>3-Hydroxyundecanoyl Coenzyme A</v>
          </cell>
        </row>
        <row r="11029">
          <cell r="A11029" t="str">
            <v>M00782_m</v>
          </cell>
          <cell r="B11029" t="str">
            <v>M00782</v>
          </cell>
          <cell r="C11029" t="str">
            <v>3-Hydroxyheptanoyl Coenzyme A</v>
          </cell>
        </row>
        <row r="11030">
          <cell r="A11030" t="str">
            <v>M00063_m</v>
          </cell>
          <cell r="B11030" t="str">
            <v>M00063</v>
          </cell>
          <cell r="C11030" t="str">
            <v>(2E)-Pentenoyl Coenzyme A</v>
          </cell>
        </row>
        <row r="11031">
          <cell r="A11031" t="str">
            <v>CE5154_m</v>
          </cell>
          <cell r="B11031" t="str">
            <v>CE5154</v>
          </cell>
          <cell r="C11031" t="str">
            <v>Trans,cis-2,13-docosadienoyl-CoA</v>
          </cell>
        </row>
        <row r="11032">
          <cell r="A11032" t="str">
            <v>CE5152_m</v>
          </cell>
          <cell r="B11032" t="str">
            <v>CE5152</v>
          </cell>
          <cell r="C11032" t="str">
            <v>3-oxo-13cis-docosenoyl-CoA</v>
          </cell>
        </row>
        <row r="11033">
          <cell r="A11033" t="str">
            <v>M03019_m</v>
          </cell>
          <cell r="B11033" t="str">
            <v>M03019</v>
          </cell>
          <cell r="C11033" t="str">
            <v>Trans,Cis-Hexadeca-2,7-Dienoyl Coenzyme A</v>
          </cell>
        </row>
        <row r="11034">
          <cell r="A11034" t="str">
            <v>M00849_m</v>
          </cell>
          <cell r="B11034" t="str">
            <v>M00849</v>
          </cell>
          <cell r="C11034" t="str">
            <v>3-Oxo-7-Hexadecenoyl Coenzyme A</v>
          </cell>
        </row>
        <row r="11035">
          <cell r="A11035" t="str">
            <v>CE5158_x</v>
          </cell>
          <cell r="B11035" t="str">
            <v>CE5158</v>
          </cell>
          <cell r="C11035" t="str">
            <v>Trans,cis-2,15-tetracosadienoyl-CoA</v>
          </cell>
        </row>
        <row r="11036">
          <cell r="A11036" t="str">
            <v>M00172_x</v>
          </cell>
          <cell r="B11036" t="str">
            <v>M00172</v>
          </cell>
          <cell r="C11036" t="str">
            <v>(S)-3-Hydroxy-7-Hexadecenoyl Coenzyme A</v>
          </cell>
        </row>
        <row r="11037">
          <cell r="A11037" t="str">
            <v>M03022_x</v>
          </cell>
          <cell r="B11037" t="str">
            <v>M03022</v>
          </cell>
          <cell r="C11037" t="str">
            <v>Trans,Cis-Myristo-2,5-Dienoyl Coenzyme A</v>
          </cell>
        </row>
        <row r="11038">
          <cell r="A11038" t="str">
            <v>CE5116_m</v>
          </cell>
          <cell r="B11038" t="str">
            <v>CE5116</v>
          </cell>
          <cell r="C11038" t="str">
            <v>Trans-3-Cis-8,11,14-Eicosatetraenoyl Coenzyme A</v>
          </cell>
        </row>
        <row r="11039">
          <cell r="A11039" t="str">
            <v>CE2437_m</v>
          </cell>
          <cell r="B11039" t="str">
            <v>CE2437</v>
          </cell>
          <cell r="C11039" t="str">
            <v>2E,6Z,9Z,12Z-Octadecatetraenoyl Coenzyme A</v>
          </cell>
        </row>
        <row r="11040">
          <cell r="A11040" t="str">
            <v>CE2439_m</v>
          </cell>
          <cell r="B11040" t="str">
            <v>CE2439</v>
          </cell>
          <cell r="C11040" t="str">
            <v>3-Oxo-6Z,9Z,12Z-Octadecatrienoyl Coenzyme A</v>
          </cell>
        </row>
        <row r="11041">
          <cell r="A11041" t="str">
            <v>M01455_r</v>
          </cell>
          <cell r="B11041" t="str">
            <v>M01455</v>
          </cell>
          <cell r="C11041" t="str">
            <v>Cholesterol-Ester-11,14,17-Eico</v>
          </cell>
        </row>
        <row r="11042">
          <cell r="A11042" t="str">
            <v>M01456_r</v>
          </cell>
          <cell r="B11042" t="str">
            <v>M01456</v>
          </cell>
          <cell r="C11042" t="str">
            <v>Cholest-5-En-3Beta-Yl (11Z,14Z-Eicosadienoate)</v>
          </cell>
        </row>
        <row r="11043">
          <cell r="A11043" t="str">
            <v>M01457_r</v>
          </cell>
          <cell r="B11043" t="str">
            <v>M01457</v>
          </cell>
          <cell r="C11043" t="str">
            <v>Cholesterol-Ester-11-Docose</v>
          </cell>
        </row>
        <row r="11044">
          <cell r="A11044" t="str">
            <v>M01465_r</v>
          </cell>
          <cell r="B11044" t="str">
            <v>M01465</v>
          </cell>
          <cell r="C11044" t="str">
            <v>Cholest-5-En-3Beta-Yl (15Z-Tetracosenoate)</v>
          </cell>
        </row>
        <row r="11045">
          <cell r="A11045" t="str">
            <v>M01467_r</v>
          </cell>
          <cell r="B11045" t="str">
            <v>M01467</v>
          </cell>
          <cell r="C11045" t="str">
            <v>Cholesterol-Ester-4,7,10,13,16-Docosa</v>
          </cell>
        </row>
        <row r="11046">
          <cell r="A11046" t="str">
            <v>M01476_r</v>
          </cell>
          <cell r="B11046" t="str">
            <v>M01476</v>
          </cell>
          <cell r="C11046" t="str">
            <v>Cholest-5-En-3Beta-Yl (7Z,10Z,13Z,16Z-Docosatetraenoate)</v>
          </cell>
        </row>
        <row r="11047">
          <cell r="A11047" t="str">
            <v>M01479_r</v>
          </cell>
          <cell r="B11047" t="str">
            <v>M01479</v>
          </cell>
          <cell r="C11047" t="str">
            <v>Cholesterol-Ester-7-Tetrade</v>
          </cell>
        </row>
        <row r="11048">
          <cell r="A11048" t="str">
            <v>M01480_r</v>
          </cell>
          <cell r="B11048" t="str">
            <v>M01480</v>
          </cell>
          <cell r="C11048" t="str">
            <v>Cholesterol-Ester-8,11,14,17-Eico</v>
          </cell>
        </row>
        <row r="11049">
          <cell r="A11049" t="str">
            <v>M01484_r</v>
          </cell>
          <cell r="B11049" t="str">
            <v>M01484</v>
          </cell>
          <cell r="C11049" t="str">
            <v>Cholesterol-Ester-9-Eicose</v>
          </cell>
        </row>
        <row r="11050">
          <cell r="A11050" t="str">
            <v>M01490_r</v>
          </cell>
          <cell r="B11050" t="str">
            <v>M01490</v>
          </cell>
          <cell r="C11050" t="str">
            <v>Cholest-5-En-3Beta-Yl (8Z,11Z,14Z-Eicosatrienoate)</v>
          </cell>
        </row>
        <row r="11051">
          <cell r="A11051" t="str">
            <v>M01494_r</v>
          </cell>
          <cell r="B11051" t="str">
            <v>M01494</v>
          </cell>
          <cell r="C11051" t="str">
            <v>Cholesterol-Ester-Heneico</v>
          </cell>
        </row>
        <row r="11052">
          <cell r="A11052" t="str">
            <v>M01508_r</v>
          </cell>
          <cell r="B11052" t="str">
            <v>M01508</v>
          </cell>
          <cell r="C11052" t="str">
            <v>Cholesterol-Ester-Tetraco</v>
          </cell>
        </row>
        <row r="11053">
          <cell r="A11053" t="str">
            <v>pail5p_hs_g</v>
          </cell>
          <cell r="B11053" t="str">
            <v>pail5p_hs</v>
          </cell>
          <cell r="C11053" t="str">
            <v>1-Phosphatidyl-1D-myo-inositol 5-phosphate (Homo sapiens)</v>
          </cell>
        </row>
        <row r="11054">
          <cell r="A11054" t="str">
            <v>M01165_m</v>
          </cell>
          <cell r="B11054" t="str">
            <v>M01165</v>
          </cell>
          <cell r="C11054" t="str">
            <v>6-Methoxy-3-Methyl-2-All-Trans-Decaprenyl-1,4-Benzoquinol</v>
          </cell>
        </row>
        <row r="11055">
          <cell r="A11055" t="str">
            <v>peplys_c</v>
          </cell>
          <cell r="B11055" t="str">
            <v>peplys</v>
          </cell>
          <cell r="C11055" t="str">
            <v>Peptidyl-L-lysine</v>
          </cell>
        </row>
        <row r="11056">
          <cell r="A11056" t="str">
            <v>Ntmelys_c</v>
          </cell>
          <cell r="B11056" t="str">
            <v>Ntmelys</v>
          </cell>
          <cell r="C11056" t="str">
            <v>Protein N6,N6,N6-trimethyl-L-lysine</v>
          </cell>
        </row>
        <row r="11057">
          <cell r="A11057" t="str">
            <v>sTn_antigen_c</v>
          </cell>
          <cell r="B11057" t="str">
            <v>sTn_antigen</v>
          </cell>
          <cell r="C11057" t="str">
            <v>STn antigen g</v>
          </cell>
        </row>
        <row r="11058">
          <cell r="A11058" t="str">
            <v>HC01361_c</v>
          </cell>
          <cell r="B11058" t="str">
            <v>HC01361</v>
          </cell>
          <cell r="C11058" t="str">
            <v>Dihydroneopterin</v>
          </cell>
        </row>
        <row r="11059">
          <cell r="A11059" t="str">
            <v>M02449_c</v>
          </cell>
          <cell r="B11059" t="str">
            <v>M02449</v>
          </cell>
          <cell r="C11059" t="str">
            <v>Maltopentaose</v>
          </cell>
        </row>
        <row r="11060">
          <cell r="A11060" t="str">
            <v>M02451_c</v>
          </cell>
          <cell r="B11060" t="str">
            <v>M02451</v>
          </cell>
          <cell r="C11060" t="str">
            <v>Maltotetraose</v>
          </cell>
        </row>
        <row r="11061">
          <cell r="A11061" t="str">
            <v>M01966_c</v>
          </cell>
          <cell r="B11061" t="str">
            <v>M01966</v>
          </cell>
          <cell r="C11061" t="str">
            <v>D-Glucose 1,6-Bisphosphate</v>
          </cell>
        </row>
        <row r="11062">
          <cell r="A11062" t="str">
            <v>adpman_e</v>
          </cell>
          <cell r="B11062" t="str">
            <v>adpman</v>
          </cell>
          <cell r="C11062" t="str">
            <v>Adenosine-5'-Diphosphate-D-Mannose</v>
          </cell>
        </row>
        <row r="11063">
          <cell r="A11063" t="str">
            <v>M02035_c</v>
          </cell>
          <cell r="B11063" t="str">
            <v>M02035</v>
          </cell>
          <cell r="C11063" t="str">
            <v>Guanidine</v>
          </cell>
        </row>
        <row r="11064">
          <cell r="A11064" t="str">
            <v>mem2emgacpail_prot_hs_c</v>
          </cell>
          <cell r="B11064" t="str">
            <v>mem2emgacpail_prot_hs</v>
          </cell>
          <cell r="C11064" t="str">
            <v>({[(mannosyl),(phosphoethanolaminyl)]-dimannosyl},{phosphoethanolaminyl})-mannosyl-glucosaminyl-acylphosphatidylinositol-Protein (M4B)</v>
          </cell>
        </row>
        <row r="11065">
          <cell r="A11065" t="str">
            <v>core7_c</v>
          </cell>
          <cell r="B11065" t="str">
            <v>core7</v>
          </cell>
          <cell r="C11065" t="str">
            <v>Core7 g</v>
          </cell>
        </row>
        <row r="11066">
          <cell r="A11066" t="str">
            <v>12dhchol_c</v>
          </cell>
          <cell r="B11066" t="str">
            <v>12dhchol</v>
          </cell>
          <cell r="C11066" t="str">
            <v>12-Dehydrocholic acid; 12-Oxodeoxycholic acid; 12oxo-3alpha,7alpha-Dihydroxy-5beta-cholan-24-oic acid</v>
          </cell>
        </row>
        <row r="11067">
          <cell r="A11067" t="str">
            <v>3dhcdchol_c</v>
          </cell>
          <cell r="B11067" t="str">
            <v>3dhcdchol</v>
          </cell>
          <cell r="C11067" t="str">
            <v>3-Dehydrochenodeoxychollyc acid; 7oxo-3alpha-hydroxy-5beta-cholan-24-oic acid</v>
          </cell>
        </row>
        <row r="11068">
          <cell r="A11068" t="str">
            <v>3dhlchol_e</v>
          </cell>
          <cell r="B11068" t="str">
            <v>3dhlchol</v>
          </cell>
          <cell r="C11068" t="str">
            <v>3-dehydro-Lithocholate</v>
          </cell>
        </row>
        <row r="11069">
          <cell r="A11069" t="str">
            <v>ca24g_e</v>
          </cell>
          <cell r="B11069" t="str">
            <v>ca24g</v>
          </cell>
          <cell r="C11069" t="str">
            <v>Cholic acid-24glucuronide, CA-24G</v>
          </cell>
        </row>
        <row r="11070">
          <cell r="A11070" t="str">
            <v>cdca24g_c</v>
          </cell>
          <cell r="B11070" t="str">
            <v>cdca24g</v>
          </cell>
          <cell r="C11070" t="str">
            <v>Chenodeoxycholic acid-24glucuronide, CDCA-24G</v>
          </cell>
        </row>
        <row r="11071">
          <cell r="A11071" t="str">
            <v>cdca24g_r</v>
          </cell>
          <cell r="B11071" t="str">
            <v>cdca24g</v>
          </cell>
          <cell r="C11071" t="str">
            <v>Chenodeoxycholic acid-24glucuronide, CDCA-24G</v>
          </cell>
        </row>
        <row r="11072">
          <cell r="A11072" t="str">
            <v>hyochol_c</v>
          </cell>
          <cell r="B11072" t="str">
            <v>hyochol</v>
          </cell>
          <cell r="C11072" t="str">
            <v>Hyocholic acid; gamma-Muricholate</v>
          </cell>
        </row>
        <row r="11073">
          <cell r="A11073" t="str">
            <v>dca3s_c</v>
          </cell>
          <cell r="B11073" t="str">
            <v>dca3s</v>
          </cell>
          <cell r="C11073" t="str">
            <v>Deoxycholic acid 3-sulfate</v>
          </cell>
        </row>
        <row r="11074">
          <cell r="A11074" t="str">
            <v>hca24g_c</v>
          </cell>
          <cell r="B11074" t="str">
            <v>hca24g</v>
          </cell>
          <cell r="C11074" t="str">
            <v>Hyocholic acid-24glucuronide, HCA-24G</v>
          </cell>
        </row>
        <row r="11075">
          <cell r="A11075" t="str">
            <v>hdca24g_c</v>
          </cell>
          <cell r="B11075" t="str">
            <v>hdca24g</v>
          </cell>
          <cell r="C11075" t="str">
            <v>Hyodeoxycholic acid-24glucuronide, HDCA-24G</v>
          </cell>
        </row>
        <row r="11076">
          <cell r="A11076" t="str">
            <v>lca3g_c</v>
          </cell>
          <cell r="B11076" t="str">
            <v>lca3g</v>
          </cell>
          <cell r="C11076" t="str">
            <v>Lithocholic acid-3glucuronide, CDCA-3G</v>
          </cell>
        </row>
        <row r="11077">
          <cell r="A11077" t="str">
            <v>thyochol_c</v>
          </cell>
          <cell r="B11077" t="str">
            <v>thyochol</v>
          </cell>
          <cell r="C11077" t="str">
            <v>Taurohyocholic acid; N-(3alpha,6alpha,7alpha-Trihydroxy-5beta-cholan-24-oyl)taurine</v>
          </cell>
        </row>
        <row r="11078">
          <cell r="A11078" t="str">
            <v>tudca3s_c</v>
          </cell>
          <cell r="B11078" t="str">
            <v>tudca3s</v>
          </cell>
          <cell r="C11078" t="str">
            <v>Tauroursodeoxycholic acid 3-sulfate</v>
          </cell>
        </row>
        <row r="11079">
          <cell r="A11079" t="str">
            <v>gca3s_e</v>
          </cell>
          <cell r="B11079" t="str">
            <v>gca3s</v>
          </cell>
          <cell r="C11079" t="str">
            <v>Glycocholic acid 3-sulfate</v>
          </cell>
        </row>
        <row r="11080">
          <cell r="A11080" t="str">
            <v>gcdca3s_e</v>
          </cell>
          <cell r="B11080" t="str">
            <v>gcdca3s</v>
          </cell>
          <cell r="C11080" t="str">
            <v>Glycochenodeoxycholic acid 3-sulfate</v>
          </cell>
        </row>
        <row r="11081">
          <cell r="A11081" t="str">
            <v>gdca3s_e</v>
          </cell>
          <cell r="B11081" t="str">
            <v>gdca3s</v>
          </cell>
          <cell r="C11081" t="str">
            <v>Glycodeoxycholic acid 3-sulfate</v>
          </cell>
        </row>
        <row r="11082">
          <cell r="A11082" t="str">
            <v>hca6g_e</v>
          </cell>
          <cell r="B11082" t="str">
            <v>hca6g</v>
          </cell>
          <cell r="C11082" t="str">
            <v>Hyocholic acid-6glucuronide, HCA-6G</v>
          </cell>
        </row>
        <row r="11083">
          <cell r="A11083" t="str">
            <v>hdca6g_e</v>
          </cell>
          <cell r="B11083" t="str">
            <v>hdca6g</v>
          </cell>
          <cell r="C11083" t="str">
            <v>Hyodeoxycholic acid-6glucuronide, HDCA-6G</v>
          </cell>
        </row>
        <row r="11084">
          <cell r="A11084" t="str">
            <v>icdchol_e</v>
          </cell>
          <cell r="B11084" t="str">
            <v>icdchol</v>
          </cell>
          <cell r="C11084" t="str">
            <v>Isochenodeoxycholic acid; 3beta,7alpha-Dihydroxy-5beta-cholanic acid</v>
          </cell>
        </row>
        <row r="11085">
          <cell r="A11085" t="str">
            <v>tdca3s_e</v>
          </cell>
          <cell r="B11085" t="str">
            <v>tdca3s</v>
          </cell>
          <cell r="C11085" t="str">
            <v>Taurodeoxycholic acid 3-sulfate</v>
          </cell>
        </row>
        <row r="11086">
          <cell r="A11086" t="str">
            <v>hyochol_r</v>
          </cell>
          <cell r="B11086" t="str">
            <v>hyochol</v>
          </cell>
          <cell r="C11086" t="str">
            <v>Hyocholic acid; gamma-Muricholate</v>
          </cell>
        </row>
        <row r="11087">
          <cell r="A11087" t="str">
            <v>hca24g_r</v>
          </cell>
          <cell r="B11087" t="str">
            <v>hca24g</v>
          </cell>
          <cell r="C11087" t="str">
            <v>Hyocholic acid-24glucuronide, HCA-24G</v>
          </cell>
        </row>
        <row r="11088">
          <cell r="A11088" t="str">
            <v>hdca24g_r</v>
          </cell>
          <cell r="B11088" t="str">
            <v>hdca24g</v>
          </cell>
          <cell r="C11088" t="str">
            <v>Hyodeoxycholic acid-24glucuronide, HDCA-24G</v>
          </cell>
        </row>
        <row r="11089">
          <cell r="A11089" t="str">
            <v>lca3g_r</v>
          </cell>
          <cell r="B11089" t="str">
            <v>lca3g</v>
          </cell>
          <cell r="C11089" t="str">
            <v>Lithocholic acid-3glucuronide, CDCA-3G</v>
          </cell>
        </row>
        <row r="11090">
          <cell r="A11090" t="str">
            <v>12htacr_r</v>
          </cell>
          <cell r="B11090" t="str">
            <v>12htacr</v>
          </cell>
          <cell r="C11090" t="str">
            <v>12-HT or M-VI, 12-hydroxy tacrolimus</v>
          </cell>
        </row>
        <row r="11091">
          <cell r="A11091" t="str">
            <v>12htacr_c</v>
          </cell>
          <cell r="B11091" t="str">
            <v>12htacr</v>
          </cell>
          <cell r="C11091" t="str">
            <v>12-HT or M-VI, 12-hydroxy tacrolimus</v>
          </cell>
        </row>
        <row r="11092">
          <cell r="A11092" t="str">
            <v>1331tacr_e</v>
          </cell>
          <cell r="B11092" t="str">
            <v>1331tacr</v>
          </cell>
          <cell r="C11092" t="str">
            <v>13,31-O-Didesmethyl-tacrolimus</v>
          </cell>
        </row>
        <row r="11093">
          <cell r="A11093" t="str">
            <v>13dmt_e</v>
          </cell>
          <cell r="B11093" t="str">
            <v>13dmt</v>
          </cell>
          <cell r="C11093" t="str">
            <v>13-O-desmethyl tacrolimus, 13-DMT or M-I</v>
          </cell>
        </row>
        <row r="11094">
          <cell r="A11094" t="str">
            <v>14hmdz_e</v>
          </cell>
          <cell r="B11094" t="str">
            <v>14hmdz</v>
          </cell>
          <cell r="C11094" t="str">
            <v>1,4-Dihydroxy-midazolam</v>
          </cell>
        </row>
        <row r="11095">
          <cell r="A11095" t="str">
            <v>1hmdgluc_e</v>
          </cell>
          <cell r="B11095" t="str">
            <v>1hmdgluc</v>
          </cell>
          <cell r="C11095" t="str">
            <v>1'-OH-midazolam-glucuronide</v>
          </cell>
        </row>
        <row r="11096">
          <cell r="A11096" t="str">
            <v>2hatvlac_c</v>
          </cell>
          <cell r="B11096" t="str">
            <v>2hatvlac</v>
          </cell>
          <cell r="C11096" t="str">
            <v>2-hydroxy-atorvastatin-lactone / ortho-hydroxy-atorvastatin lactone</v>
          </cell>
        </row>
        <row r="11097">
          <cell r="A11097" t="str">
            <v>2hatvacid_e</v>
          </cell>
          <cell r="B11097" t="str">
            <v>2hatvacid</v>
          </cell>
          <cell r="C11097" t="str">
            <v>2-hydroxy-atorvastatin-acid / ortho-hydroxy-atorvastatin acid</v>
          </cell>
        </row>
        <row r="11098">
          <cell r="A11098" t="str">
            <v>2hatvlac_r</v>
          </cell>
          <cell r="B11098" t="str">
            <v>2hatvlac</v>
          </cell>
          <cell r="C11098" t="str">
            <v>2-hydroxy-atorvastatin-lactone / ortho-hydroxy-atorvastatin lactone</v>
          </cell>
        </row>
        <row r="11099">
          <cell r="A11099" t="str">
            <v>2hatvlacgluc_e</v>
          </cell>
          <cell r="B11099" t="str">
            <v>2hatvlacgluc</v>
          </cell>
          <cell r="C11099" t="str">
            <v>2-hydroxy-atorvastatin-lactone-glucuronide</v>
          </cell>
        </row>
        <row r="11100">
          <cell r="A11100" t="str">
            <v>2hibup__R_e</v>
          </cell>
          <cell r="B11100" t="str">
            <v>2hibup__R</v>
          </cell>
          <cell r="C11100" t="str">
            <v>2-hydroxy-R-ibuprofen</v>
          </cell>
        </row>
        <row r="11101">
          <cell r="A11101" t="str">
            <v>2hibup__S_e</v>
          </cell>
          <cell r="B11101" t="str">
            <v>2hibup__S</v>
          </cell>
          <cell r="C11101" t="str">
            <v>2-hydroxy-S-ibuprofen</v>
          </cell>
        </row>
        <row r="11102">
          <cell r="A11102" t="str">
            <v>35dhpvs_r</v>
          </cell>
          <cell r="B11102" t="str">
            <v>35dhpvs</v>
          </cell>
          <cell r="C11102" t="str">
            <v>3'-alpha,5'beta-dihydroxy-pravastatin / 3'-alpha5'beta6'beta-trihydroxy pravastatin</v>
          </cell>
        </row>
        <row r="11103">
          <cell r="A11103" t="str">
            <v>35dhpvs_c</v>
          </cell>
          <cell r="B11103" t="str">
            <v>35dhpvs</v>
          </cell>
          <cell r="C11103" t="str">
            <v>3'-alpha,5'beta-dihydroxy-pravastatin / 3'-alpha5'beta6'beta-trihydroxy pravastatin</v>
          </cell>
        </row>
        <row r="11104">
          <cell r="A11104" t="str">
            <v>smv_r</v>
          </cell>
          <cell r="B11104" t="str">
            <v>smv</v>
          </cell>
          <cell r="C11104" t="str">
            <v>Simvastatin lactone form</v>
          </cell>
        </row>
        <row r="11105">
          <cell r="A11105" t="str">
            <v>3hibupglu__S_c</v>
          </cell>
          <cell r="B11105" t="str">
            <v>3hibupglu__S</v>
          </cell>
          <cell r="C11105" t="str">
            <v>3-hydroxy S-ibuprofen-glucuronide</v>
          </cell>
        </row>
        <row r="11106">
          <cell r="A11106" t="str">
            <v>3hibup__S_r</v>
          </cell>
          <cell r="B11106" t="str">
            <v>3hibup__S</v>
          </cell>
          <cell r="C11106" t="str">
            <v>3-hydroxy S-ibuprofen</v>
          </cell>
        </row>
        <row r="11107">
          <cell r="A11107" t="str">
            <v>3hibupglu__S_r</v>
          </cell>
          <cell r="B11107" t="str">
            <v>3hibupglu__S</v>
          </cell>
          <cell r="C11107" t="str">
            <v>3-hydroxy S-ibuprofen-glucuronide</v>
          </cell>
        </row>
        <row r="11108">
          <cell r="A11108" t="str">
            <v>3hibup__S_c</v>
          </cell>
          <cell r="B11108" t="str">
            <v>3hibup__S</v>
          </cell>
          <cell r="C11108" t="str">
            <v>3-hydroxy S-ibuprofen</v>
          </cell>
        </row>
        <row r="11109">
          <cell r="A11109" t="str">
            <v>3hlvstacid_c</v>
          </cell>
          <cell r="B11109" t="str">
            <v>3hlvstacid</v>
          </cell>
          <cell r="C11109" t="str">
            <v>3''-hydroxy-lovastatin acid form</v>
          </cell>
        </row>
        <row r="11110">
          <cell r="A11110" t="str">
            <v>3hpvstetcoa_x</v>
          </cell>
          <cell r="B11110" t="str">
            <v>3hpvstetcoa</v>
          </cell>
          <cell r="C11110" t="str">
            <v>3'-S-hydroxy-pravastatin-tetranor-CoA</v>
          </cell>
        </row>
        <row r="11111">
          <cell r="A11111" t="str">
            <v>3ohacmp_c</v>
          </cell>
          <cell r="B11111" t="str">
            <v>3ohacmp</v>
          </cell>
          <cell r="C11111" t="str">
            <v>3-hydroxy-acetaminophen</v>
          </cell>
        </row>
        <row r="11112">
          <cell r="A11112" t="str">
            <v>3meacmp_c</v>
          </cell>
          <cell r="B11112" t="str">
            <v>3meacmp</v>
          </cell>
          <cell r="C11112" t="str">
            <v>3-methoxy-acetaminophen</v>
          </cell>
        </row>
        <row r="11113">
          <cell r="A11113" t="str">
            <v>3ohacmp_r</v>
          </cell>
          <cell r="B11113" t="str">
            <v>3ohacmp</v>
          </cell>
          <cell r="C11113" t="str">
            <v>3-hydroxy-acetaminophen</v>
          </cell>
        </row>
        <row r="11114">
          <cell r="A11114" t="str">
            <v>4bhglz_c</v>
          </cell>
          <cell r="B11114" t="str">
            <v>4bhglz</v>
          </cell>
          <cell r="C11114" t="str">
            <v>4-beta-OH-gliclazide</v>
          </cell>
        </row>
        <row r="11115">
          <cell r="A11115" t="str">
            <v>glz_r</v>
          </cell>
          <cell r="B11115" t="str">
            <v>glz</v>
          </cell>
          <cell r="C11115" t="str">
            <v>Gliclazide</v>
          </cell>
        </row>
        <row r="11116">
          <cell r="A11116" t="str">
            <v>4bhglz_r</v>
          </cell>
          <cell r="B11116" t="str">
            <v>4bhglz</v>
          </cell>
          <cell r="C11116" t="str">
            <v>4-beta-OH-gliclazide</v>
          </cell>
        </row>
        <row r="11117">
          <cell r="A11117" t="str">
            <v>4hatvacid_e</v>
          </cell>
          <cell r="B11117" t="str">
            <v>4hatvacid</v>
          </cell>
          <cell r="C11117" t="str">
            <v>4-hydroxy-atorvastatin-acid / para-hydroxy-atorvastatin acid</v>
          </cell>
        </row>
        <row r="11118">
          <cell r="A11118" t="str">
            <v>4hmdgluc_c</v>
          </cell>
          <cell r="B11118" t="str">
            <v>4hmdgluc</v>
          </cell>
          <cell r="C11118" t="str">
            <v>4-OH-midazolam-glucuronide</v>
          </cell>
        </row>
        <row r="11119">
          <cell r="A11119" t="str">
            <v>4hmdgluc_r</v>
          </cell>
          <cell r="B11119" t="str">
            <v>4hmdgluc</v>
          </cell>
          <cell r="C11119" t="str">
            <v>4-OH-midazolam-glucuronide</v>
          </cell>
        </row>
        <row r="11120">
          <cell r="A11120" t="str">
            <v>4ohmdz_e</v>
          </cell>
          <cell r="B11120" t="str">
            <v>4ohmdz</v>
          </cell>
          <cell r="C11120" t="str">
            <v>4-OH-midazolam</v>
          </cell>
        </row>
        <row r="11121">
          <cell r="A11121" t="str">
            <v>56eppvs_r</v>
          </cell>
          <cell r="B11121" t="str">
            <v>56eppvs</v>
          </cell>
          <cell r="C11121" t="str">
            <v>5,6-epoxy-3-alpha-iso-pravastatin</v>
          </cell>
        </row>
        <row r="11122">
          <cell r="A11122" t="str">
            <v>56eppvs_c</v>
          </cell>
          <cell r="B11122" t="str">
            <v>56eppvs</v>
          </cell>
          <cell r="C11122" t="str">
            <v>5,6-epoxy-3-alpha-iso-pravastatin</v>
          </cell>
        </row>
        <row r="11123">
          <cell r="A11123" t="str">
            <v>6ahglz_e</v>
          </cell>
          <cell r="B11123" t="str">
            <v>6ahglz</v>
          </cell>
          <cell r="C11123" t="str">
            <v>6-alpha-OH-gliclazide</v>
          </cell>
        </row>
        <row r="11124">
          <cell r="A11124" t="str">
            <v>6bhglzglc_e</v>
          </cell>
          <cell r="B11124" t="str">
            <v>6bhglzglc</v>
          </cell>
          <cell r="C11124" t="str">
            <v>6-beta-OH-gliclazide-glucuronide</v>
          </cell>
        </row>
        <row r="11125">
          <cell r="A11125" t="str">
            <v>6csmvacid_c</v>
          </cell>
          <cell r="B11125" t="str">
            <v>6csmvacid</v>
          </cell>
          <cell r="C11125" t="str">
            <v>6'-beta-carboxy-simvastatin-acid form</v>
          </cell>
        </row>
        <row r="11126">
          <cell r="A11126" t="str">
            <v>6msmv_r</v>
          </cell>
          <cell r="B11126" t="str">
            <v>6msmv</v>
          </cell>
          <cell r="C11126" t="str">
            <v>6'-exomethylene-simvastatin-lactone form</v>
          </cell>
        </row>
        <row r="11127">
          <cell r="A11127" t="str">
            <v>6hlvst_e</v>
          </cell>
          <cell r="B11127" t="str">
            <v>6hlvst</v>
          </cell>
          <cell r="C11127" t="str">
            <v>6'-beta-hydroxy-lovastatin lactone form</v>
          </cell>
        </row>
        <row r="11128">
          <cell r="A11128" t="str">
            <v>6hmsmvacid_c</v>
          </cell>
          <cell r="B11128" t="str">
            <v>6hmsmvacid</v>
          </cell>
          <cell r="C11128" t="str">
            <v>6'-beta-hydroxy-methyl-simvastatin-acid form</v>
          </cell>
        </row>
        <row r="11129">
          <cell r="A11129" t="str">
            <v>6ohfvs_e</v>
          </cell>
          <cell r="B11129" t="str">
            <v>6ohfvs</v>
          </cell>
          <cell r="C11129" t="str">
            <v>6-hydroxy-fluvastatin</v>
          </cell>
        </row>
        <row r="11130">
          <cell r="A11130" t="str">
            <v>7ahglz_e</v>
          </cell>
          <cell r="B11130" t="str">
            <v>7ahglz</v>
          </cell>
          <cell r="C11130" t="str">
            <v>7-alpha-OH-gliclazide</v>
          </cell>
        </row>
        <row r="11131">
          <cell r="A11131" t="str">
            <v>7hpvs_r</v>
          </cell>
          <cell r="B11131" t="str">
            <v>7hpvs</v>
          </cell>
          <cell r="C11131" t="str">
            <v>7-hydroxy-3-alpha-iso-pravastatin</v>
          </cell>
        </row>
        <row r="11132">
          <cell r="A11132" t="str">
            <v>7hpvs_c</v>
          </cell>
          <cell r="B11132" t="str">
            <v>7hpvs</v>
          </cell>
          <cell r="C11132" t="str">
            <v>7-hydroxy-3-alpha-iso-pravastatin</v>
          </cell>
        </row>
        <row r="11133">
          <cell r="A11133" t="str">
            <v>acmp_e</v>
          </cell>
          <cell r="B11133" t="str">
            <v>acmp</v>
          </cell>
          <cell r="C11133" t="str">
            <v>Acetaminophen/paracetamol</v>
          </cell>
        </row>
        <row r="11134">
          <cell r="A11134" t="str">
            <v>acmpglu_e</v>
          </cell>
          <cell r="B11134" t="str">
            <v>acmpglu</v>
          </cell>
          <cell r="C11134" t="str">
            <v>Acetaminophen glucuronide</v>
          </cell>
        </row>
        <row r="11135">
          <cell r="A11135" t="str">
            <v>am1csa_r</v>
          </cell>
          <cell r="B11135" t="str">
            <v>am1csa</v>
          </cell>
          <cell r="C11135" t="str">
            <v>AM1 (cyclosporine)</v>
          </cell>
        </row>
        <row r="11136">
          <cell r="A11136" t="str">
            <v>am1a4ncs_e</v>
          </cell>
          <cell r="B11136" t="str">
            <v>am1a4ncs</v>
          </cell>
          <cell r="C11136" t="str">
            <v>AM1A4N (cyclosporine)</v>
          </cell>
        </row>
        <row r="11137">
          <cell r="A11137" t="str">
            <v>am1ccs_r</v>
          </cell>
          <cell r="B11137" t="str">
            <v>am1ccs</v>
          </cell>
          <cell r="C11137" t="str">
            <v>AM1c (cyclosporine)</v>
          </cell>
        </row>
        <row r="11138">
          <cell r="A11138" t="str">
            <v>am1accs_e</v>
          </cell>
          <cell r="B11138" t="str">
            <v>am1accs</v>
          </cell>
          <cell r="C11138" t="str">
            <v>AM1Ac (cyclosporine)</v>
          </cell>
        </row>
        <row r="11139">
          <cell r="A11139" t="str">
            <v>am1alcs_r</v>
          </cell>
          <cell r="B11139" t="str">
            <v>am1alcs</v>
          </cell>
          <cell r="C11139" t="str">
            <v>AM1AL (cyclosporine)</v>
          </cell>
        </row>
        <row r="11140">
          <cell r="A11140" t="str">
            <v>am1csa_c</v>
          </cell>
          <cell r="B11140" t="str">
            <v>am1csa</v>
          </cell>
          <cell r="C11140" t="str">
            <v>AM1 (cyclosporine)</v>
          </cell>
        </row>
        <row r="11141">
          <cell r="A11141" t="str">
            <v>am1alcs_c</v>
          </cell>
          <cell r="B11141" t="str">
            <v>am1alcs</v>
          </cell>
          <cell r="C11141" t="str">
            <v>AM1AL (cyclosporine)</v>
          </cell>
        </row>
        <row r="11142">
          <cell r="A11142" t="str">
            <v>am1c9cs_c</v>
          </cell>
          <cell r="B11142" t="str">
            <v>am1c9cs</v>
          </cell>
          <cell r="C11142" t="str">
            <v>AM1c9 (cyclosporine)</v>
          </cell>
        </row>
        <row r="11143">
          <cell r="A11143" t="str">
            <v>am1c4n9cs_e</v>
          </cell>
          <cell r="B11143" t="str">
            <v>am1c4n9cs</v>
          </cell>
          <cell r="C11143" t="str">
            <v>AM1c4N9 (cyclosporine)</v>
          </cell>
        </row>
        <row r="11144">
          <cell r="A11144" t="str">
            <v>am1c9cs_r</v>
          </cell>
          <cell r="B11144" t="str">
            <v>am1c9cs</v>
          </cell>
          <cell r="C11144" t="str">
            <v>AM1c9 (cyclosporine)</v>
          </cell>
        </row>
        <row r="11145">
          <cell r="A11145" t="str">
            <v>am1ccs_c</v>
          </cell>
          <cell r="B11145" t="str">
            <v>am1ccs</v>
          </cell>
          <cell r="C11145" t="str">
            <v>AM1c (cyclosporine)</v>
          </cell>
        </row>
        <row r="11146">
          <cell r="A11146" t="str">
            <v>am1cglc_r</v>
          </cell>
          <cell r="B11146" t="str">
            <v>am1cglc</v>
          </cell>
          <cell r="C11146" t="str">
            <v>AM1c-glucuronide (cyclosporine)</v>
          </cell>
        </row>
        <row r="11147">
          <cell r="A11147" t="str">
            <v>am1cglc_c</v>
          </cell>
          <cell r="B11147" t="str">
            <v>am1cglc</v>
          </cell>
          <cell r="C11147" t="str">
            <v>AM1c-glucuronide (cyclosporine)</v>
          </cell>
        </row>
        <row r="11148">
          <cell r="A11148" t="str">
            <v>am4ncs_r</v>
          </cell>
          <cell r="B11148" t="str">
            <v>am4ncs</v>
          </cell>
          <cell r="C11148" t="str">
            <v>AM4N (cyclosporine)</v>
          </cell>
        </row>
        <row r="11149">
          <cell r="A11149" t="str">
            <v>am4ncs_c</v>
          </cell>
          <cell r="B11149" t="str">
            <v>am4ncs</v>
          </cell>
          <cell r="C11149" t="str">
            <v>AM4N (cyclosporine)</v>
          </cell>
        </row>
        <row r="11150">
          <cell r="A11150" t="str">
            <v>atvethgluc_r</v>
          </cell>
          <cell r="B11150" t="str">
            <v>atvethgluc</v>
          </cell>
          <cell r="C11150" t="str">
            <v>Atorvastatin-ether-glucuronide -G1</v>
          </cell>
        </row>
        <row r="11151">
          <cell r="A11151" t="str">
            <v>atvlacgluc_r</v>
          </cell>
          <cell r="B11151" t="str">
            <v>atvlacgluc</v>
          </cell>
          <cell r="C11151" t="str">
            <v>Atorvastatin-lactone-ether-glucuronide / G3</v>
          </cell>
        </row>
        <row r="11152">
          <cell r="A11152" t="str">
            <v>caribupglu__S_c</v>
          </cell>
          <cell r="B11152" t="str">
            <v>caribupglu__S</v>
          </cell>
          <cell r="C11152" t="str">
            <v>S-carboxy ibuprofen glucuronide</v>
          </cell>
        </row>
        <row r="11153">
          <cell r="A11153" t="str">
            <v>caribup__R_e</v>
          </cell>
          <cell r="B11153" t="str">
            <v>caribup__R</v>
          </cell>
          <cell r="C11153" t="str">
            <v>R-carboxy ibuprofen</v>
          </cell>
        </row>
        <row r="11154">
          <cell r="A11154" t="str">
            <v>caribupglu__S_r</v>
          </cell>
          <cell r="B11154" t="str">
            <v>caribupglu__S</v>
          </cell>
          <cell r="C11154" t="str">
            <v>S-carboxy ibuprofen glucuronide</v>
          </cell>
        </row>
        <row r="11155">
          <cell r="A11155" t="str">
            <v>crglz_c</v>
          </cell>
          <cell r="B11155" t="str">
            <v>crglz</v>
          </cell>
          <cell r="C11155" t="str">
            <v>Carboxy-gliclazide</v>
          </cell>
        </row>
        <row r="11156">
          <cell r="A11156" t="str">
            <v>crglz_r</v>
          </cell>
          <cell r="B11156" t="str">
            <v>crglz</v>
          </cell>
          <cell r="C11156" t="str">
            <v>Carboxy-gliclazide</v>
          </cell>
        </row>
        <row r="11157">
          <cell r="A11157" t="str">
            <v>crvsm1_e</v>
          </cell>
          <cell r="B11157" t="str">
            <v>crvsm1</v>
          </cell>
          <cell r="C11157" t="str">
            <v>Cerivastatin-M1</v>
          </cell>
        </row>
        <row r="11158">
          <cell r="A11158" t="str">
            <v>crvs_c</v>
          </cell>
          <cell r="B11158" t="str">
            <v>crvs</v>
          </cell>
          <cell r="C11158" t="str">
            <v>Cerivastatin</v>
          </cell>
        </row>
        <row r="11159">
          <cell r="A11159" t="str">
            <v>crvs_r</v>
          </cell>
          <cell r="B11159" t="str">
            <v>crvs</v>
          </cell>
          <cell r="C11159" t="str">
            <v>Cerivastatin</v>
          </cell>
        </row>
        <row r="11160">
          <cell r="A11160" t="str">
            <v>cvm1gluc_r</v>
          </cell>
          <cell r="B11160" t="str">
            <v>cvm1gluc</v>
          </cell>
          <cell r="C11160" t="str">
            <v>Cerivastatin-M1-glucuronide</v>
          </cell>
        </row>
        <row r="11161">
          <cell r="A11161" t="str">
            <v>csasulp_e</v>
          </cell>
          <cell r="B11161" t="str">
            <v>csasulp</v>
          </cell>
          <cell r="C11161" t="str">
            <v>Cyclosporine-sulphate</v>
          </cell>
        </row>
        <row r="11162">
          <cell r="A11162" t="str">
            <v>cysacmp_c</v>
          </cell>
          <cell r="B11162" t="str">
            <v>cysacmp</v>
          </cell>
          <cell r="C11162" t="str">
            <v>Cysteine-conjugate-acetaminophen</v>
          </cell>
        </row>
        <row r="11163">
          <cell r="A11163" t="str">
            <v>meracmp_c</v>
          </cell>
          <cell r="B11163" t="str">
            <v>meracmp</v>
          </cell>
          <cell r="C11163" t="str">
            <v>Acetaminophen-mercapturate-conjugate/N-acetyl-cysteine-acetaminophen</v>
          </cell>
        </row>
        <row r="11164">
          <cell r="A11164" t="str">
            <v>deoxfvs_e</v>
          </cell>
          <cell r="B11164" t="str">
            <v>deoxfvs</v>
          </cell>
          <cell r="C11164" t="str">
            <v>Deoxy-fluvastatin-dinor</v>
          </cell>
        </row>
        <row r="11165">
          <cell r="A11165" t="str">
            <v>desfvs_r</v>
          </cell>
          <cell r="B11165" t="str">
            <v>desfvs</v>
          </cell>
          <cell r="C11165" t="str">
            <v>N-desisopropyl-fluvastatin</v>
          </cell>
        </row>
        <row r="11166">
          <cell r="A11166" t="str">
            <v>desfvs_c</v>
          </cell>
          <cell r="B11166" t="str">
            <v>desfvs</v>
          </cell>
          <cell r="C11166" t="str">
            <v>N-desisopropyl-fluvastatin</v>
          </cell>
        </row>
        <row r="11167">
          <cell r="A11167" t="str">
            <v>glz_c</v>
          </cell>
          <cell r="B11167" t="str">
            <v>glz</v>
          </cell>
          <cell r="C11167" t="str">
            <v>Gliclazide</v>
          </cell>
        </row>
        <row r="11168">
          <cell r="A11168" t="str">
            <v>fvs_e</v>
          </cell>
          <cell r="B11168" t="str">
            <v>fvs</v>
          </cell>
          <cell r="C11168" t="str">
            <v>Fluvastatin</v>
          </cell>
        </row>
        <row r="11169">
          <cell r="A11169" t="str">
            <v>fvstet_e</v>
          </cell>
          <cell r="B11169" t="str">
            <v>fvstet</v>
          </cell>
          <cell r="C11169" t="str">
            <v>Des-isopropyl-dihydro-fluvastatin-tetranor</v>
          </cell>
        </row>
        <row r="11170">
          <cell r="A11170" t="str">
            <v>ibupgluc_e</v>
          </cell>
          <cell r="B11170" t="str">
            <v>ibupgluc</v>
          </cell>
          <cell r="C11170" t="str">
            <v>Ibuprofen acyl glucuronide</v>
          </cell>
        </row>
        <row r="11171">
          <cell r="A11171" t="str">
            <v>lstn1gluc_e</v>
          </cell>
          <cell r="B11171" t="str">
            <v>lstn1gluc</v>
          </cell>
          <cell r="C11171" t="str">
            <v>Losartan-N1-glucuronide</v>
          </cell>
        </row>
        <row r="11172">
          <cell r="A11172" t="str">
            <v>lstnm1_e</v>
          </cell>
          <cell r="B11172" t="str">
            <v>lstnm1</v>
          </cell>
          <cell r="C11172" t="str">
            <v>Losartan-M1</v>
          </cell>
        </row>
        <row r="11173">
          <cell r="A11173" t="str">
            <v>lstnm2_e</v>
          </cell>
          <cell r="B11173" t="str">
            <v>lstnm2</v>
          </cell>
          <cell r="C11173" t="str">
            <v>Losartan-M2</v>
          </cell>
        </row>
        <row r="11174">
          <cell r="A11174" t="str">
            <v>mdz_e</v>
          </cell>
          <cell r="B11174" t="str">
            <v>mdz</v>
          </cell>
          <cell r="C11174" t="str">
            <v>Midazolam</v>
          </cell>
        </row>
        <row r="11175">
          <cell r="A11175" t="str">
            <v>nfdlac_e</v>
          </cell>
          <cell r="B11175" t="str">
            <v>nfdlac</v>
          </cell>
          <cell r="C11175" t="str">
            <v>Lactone form of nifedipine</v>
          </cell>
        </row>
        <row r="11176">
          <cell r="A11176" t="str">
            <v>ptvstm3_e</v>
          </cell>
          <cell r="B11176" t="str">
            <v>ptvstm3</v>
          </cell>
          <cell r="C11176" t="str">
            <v>Pitavastatin-M3</v>
          </cell>
        </row>
        <row r="11177">
          <cell r="A11177" t="str">
            <v>pvsgluc_e</v>
          </cell>
          <cell r="B11177" t="str">
            <v>pvsgluc</v>
          </cell>
          <cell r="C11177" t="str">
            <v>Pravastatin glucuronide</v>
          </cell>
        </row>
        <row r="11178">
          <cell r="A11178" t="str">
            <v>sulpacmp_e</v>
          </cell>
          <cell r="B11178" t="str">
            <v>sulpacmp</v>
          </cell>
          <cell r="C11178" t="str">
            <v>Sulphate-conjugate-acetaminophen</v>
          </cell>
        </row>
        <row r="11179">
          <cell r="A11179" t="str">
            <v>tauribup__S_e</v>
          </cell>
          <cell r="B11179" t="str">
            <v>tauribup__S</v>
          </cell>
          <cell r="C11179" t="str">
            <v>Taurine conjugate of S-ibuprofen</v>
          </cell>
        </row>
        <row r="11180">
          <cell r="A11180" t="str">
            <v>tmdm1_e</v>
          </cell>
          <cell r="B11180" t="str">
            <v>tmdm1</v>
          </cell>
          <cell r="C11180" t="str">
            <v>Torasemide-M1</v>
          </cell>
        </row>
        <row r="11181">
          <cell r="A11181" t="str">
            <v>fvsgluc_r</v>
          </cell>
          <cell r="B11181" t="str">
            <v>fvsgluc</v>
          </cell>
          <cell r="C11181" t="str">
            <v>Fluvstatin-glucuronide</v>
          </cell>
        </row>
        <row r="11182">
          <cell r="A11182" t="str">
            <v>fvstetglu_r</v>
          </cell>
          <cell r="B11182" t="str">
            <v>fvstetglu</v>
          </cell>
          <cell r="C11182" t="str">
            <v>Des-isopropyl-dihydro-fluvastatin-tetranor-glucuronide</v>
          </cell>
        </row>
        <row r="11183">
          <cell r="A11183" t="str">
            <v>fvstetglu_c</v>
          </cell>
          <cell r="B11183" t="str">
            <v>fvstetglu</v>
          </cell>
          <cell r="C11183" t="str">
            <v>Des-isopropyl-dihydro-fluvastatin-tetranor-glucuronide</v>
          </cell>
        </row>
        <row r="11184">
          <cell r="A11184" t="str">
            <v>3meacmp_r</v>
          </cell>
          <cell r="B11184" t="str">
            <v>3meacmp</v>
          </cell>
          <cell r="C11184" t="str">
            <v>3-methoxy-acetaminophen</v>
          </cell>
        </row>
        <row r="11185">
          <cell r="A11185" t="str">
            <v>tmacmp_r</v>
          </cell>
          <cell r="B11185" t="str">
            <v>tmacmp</v>
          </cell>
          <cell r="C11185" t="str">
            <v>Thiomethyl-conjugate-acetaminophen</v>
          </cell>
        </row>
        <row r="11186">
          <cell r="A11186" t="str">
            <v>ibup__S_r</v>
          </cell>
          <cell r="B11186" t="str">
            <v>ibup__S</v>
          </cell>
          <cell r="C11186" t="str">
            <v>Ibuprofen-S</v>
          </cell>
        </row>
        <row r="11187">
          <cell r="A11187" t="str">
            <v>ibup__R_c</v>
          </cell>
          <cell r="B11187" t="str">
            <v>ibup__R</v>
          </cell>
          <cell r="C11187" t="str">
            <v>Ibuprofen-R</v>
          </cell>
        </row>
        <row r="11188">
          <cell r="A11188" t="str">
            <v>ibup__R_r</v>
          </cell>
          <cell r="B11188" t="str">
            <v>ibup__R</v>
          </cell>
          <cell r="C11188" t="str">
            <v>Ibuprofen-R</v>
          </cell>
        </row>
        <row r="11189">
          <cell r="A11189" t="str">
            <v>ibup__S_c</v>
          </cell>
          <cell r="B11189" t="str">
            <v>ibup__S</v>
          </cell>
          <cell r="C11189" t="str">
            <v>Ibuprofen-S</v>
          </cell>
        </row>
        <row r="11190">
          <cell r="A11190" t="str">
            <v>isolvstacid_c</v>
          </cell>
          <cell r="B11190" t="str">
            <v>isolvstacid</v>
          </cell>
          <cell r="C11190" t="str">
            <v>3'-hydroxy-iso-delta-4',5'-hydroxy acid form of lovastatin</v>
          </cell>
        </row>
        <row r="11191">
          <cell r="A11191" t="str">
            <v>lstnm5_r</v>
          </cell>
          <cell r="B11191" t="str">
            <v>lstnm5</v>
          </cell>
          <cell r="C11191" t="str">
            <v>Losartan-M5</v>
          </cell>
        </row>
        <row r="11192">
          <cell r="A11192" t="str">
            <v>lstnm5_c</v>
          </cell>
          <cell r="B11192" t="str">
            <v>lstnm5</v>
          </cell>
          <cell r="C11192" t="str">
            <v>Losartan-M5</v>
          </cell>
        </row>
        <row r="11193">
          <cell r="A11193" t="str">
            <v>lvst_c</v>
          </cell>
          <cell r="B11193" t="str">
            <v>lvst</v>
          </cell>
          <cell r="C11193" t="str">
            <v>Lovastatin lactone form</v>
          </cell>
        </row>
        <row r="11194">
          <cell r="A11194" t="str">
            <v>lvstacid_e</v>
          </cell>
          <cell r="B11194" t="str">
            <v>lvstacid</v>
          </cell>
          <cell r="C11194" t="str">
            <v>Lovastatin-hydroxyacid form</v>
          </cell>
        </row>
        <row r="11195">
          <cell r="A11195" t="str">
            <v>lvst_r</v>
          </cell>
          <cell r="B11195" t="str">
            <v>lvst</v>
          </cell>
          <cell r="C11195" t="str">
            <v>Lovastatin lactone form</v>
          </cell>
        </row>
        <row r="11196">
          <cell r="A11196" t="str">
            <v>mdzglc_c</v>
          </cell>
          <cell r="B11196" t="str">
            <v>mdzglc</v>
          </cell>
          <cell r="C11196" t="str">
            <v>Midazolam-glucuronide</v>
          </cell>
        </row>
        <row r="11197">
          <cell r="A11197" t="str">
            <v>ndersv_r</v>
          </cell>
          <cell r="B11197" t="str">
            <v>ndersv</v>
          </cell>
          <cell r="C11197" t="str">
            <v>N-desmethyl-rosuvastatin</v>
          </cell>
        </row>
        <row r="11198">
          <cell r="A11198" t="str">
            <v>ndersv_c</v>
          </cell>
          <cell r="B11198" t="str">
            <v>ndersv</v>
          </cell>
          <cell r="C11198" t="str">
            <v>N-desmethyl-rosuvastatin</v>
          </cell>
        </row>
        <row r="11199">
          <cell r="A11199" t="str">
            <v>nfdac_r</v>
          </cell>
          <cell r="B11199" t="str">
            <v>nfdac</v>
          </cell>
          <cell r="C11199" t="str">
            <v>Acid metabolite of nifedipine</v>
          </cell>
        </row>
        <row r="11200">
          <cell r="A11200" t="str">
            <v>nfdac_c</v>
          </cell>
          <cell r="B11200" t="str">
            <v>nfdac</v>
          </cell>
          <cell r="C11200" t="str">
            <v>Acid metabolite of nifedipine</v>
          </cell>
        </row>
        <row r="11201">
          <cell r="A11201" t="str">
            <v>oxy1rb_c</v>
          </cell>
          <cell r="B11201" t="str">
            <v>oxy1rb</v>
          </cell>
          <cell r="C11201" t="str">
            <v>Oxypurinol-1-riboside</v>
          </cell>
        </row>
        <row r="11202">
          <cell r="A11202" t="str">
            <v>profvscoa_x</v>
          </cell>
          <cell r="B11202" t="str">
            <v>profvscoa</v>
          </cell>
          <cell r="C11202" t="str">
            <v>Des-isoproylpropionic-acid-fluvastatin-CoA</v>
          </cell>
        </row>
        <row r="11203">
          <cell r="A11203" t="str">
            <v>profvscoa_c</v>
          </cell>
          <cell r="B11203" t="str">
            <v>profvscoa</v>
          </cell>
          <cell r="C11203" t="str">
            <v>Des-isoproylpropionic-acid-fluvastatin-CoA</v>
          </cell>
        </row>
        <row r="11204">
          <cell r="A11204" t="str">
            <v>s3meacmp_c</v>
          </cell>
          <cell r="B11204" t="str">
            <v>s3meacmp</v>
          </cell>
          <cell r="C11204" t="str">
            <v>Sulphate-conjugate-3-methoxy-acetaminophen</v>
          </cell>
        </row>
        <row r="11205">
          <cell r="A11205" t="str">
            <v>simvgluc_r</v>
          </cell>
          <cell r="B11205" t="str">
            <v>simvgluc</v>
          </cell>
          <cell r="C11205" t="str">
            <v>Simvastatin-acyl-glucuronide</v>
          </cell>
        </row>
        <row r="11206">
          <cell r="A11206" t="str">
            <v>smv_c</v>
          </cell>
          <cell r="B11206" t="str">
            <v>smv</v>
          </cell>
          <cell r="C11206" t="str">
            <v>Simvastatin lactone form</v>
          </cell>
        </row>
        <row r="11207">
          <cell r="A11207" t="str">
            <v>tmacmp_c</v>
          </cell>
          <cell r="B11207" t="str">
            <v>tmacmp</v>
          </cell>
          <cell r="C11207" t="str">
            <v>Thiomethyl-conjugate-acetaminophen</v>
          </cell>
        </row>
        <row r="11208">
          <cell r="A11208" t="str">
            <v>tmdm3_c</v>
          </cell>
          <cell r="B11208" t="str">
            <v>tmdm3</v>
          </cell>
          <cell r="C11208" t="str">
            <v>Torasemide-M3</v>
          </cell>
        </row>
        <row r="11209">
          <cell r="A11209" t="str">
            <v>tmdm3_r</v>
          </cell>
          <cell r="B11209" t="str">
            <v>tmdm3</v>
          </cell>
          <cell r="C11209" t="str">
            <v>Torasemide-M3</v>
          </cell>
        </row>
        <row r="11210">
          <cell r="A11210" t="str">
            <v>3hpvstetcoa_c</v>
          </cell>
          <cell r="B11210" t="str">
            <v>3hpvstetcoa</v>
          </cell>
          <cell r="C11210" t="str">
            <v>3'-S-hydroxy-pravastatin-tetranor-CoA</v>
          </cell>
        </row>
        <row r="11211">
          <cell r="A11211" t="str">
            <v>mdzglc_r</v>
          </cell>
          <cell r="B11211" t="str">
            <v>mdzglc</v>
          </cell>
          <cell r="C11211" t="str">
            <v>Midazolam-glucuronide</v>
          </cell>
        </row>
        <row r="11212">
          <cell r="A11212" t="str">
            <v>ptvstm13_e</v>
          </cell>
          <cell r="B11212" t="str">
            <v>ptvstm13</v>
          </cell>
          <cell r="C11212" t="str">
            <v>Pitavastatin-M13</v>
          </cell>
        </row>
        <row r="11213">
          <cell r="A11213" t="str">
            <v>cysacmp_r</v>
          </cell>
          <cell r="B11213" t="str">
            <v>cysacmp</v>
          </cell>
          <cell r="C11213" t="str">
            <v>Cysteine-conjugate-acetaminophen</v>
          </cell>
        </row>
        <row r="11214">
          <cell r="A11214" t="str">
            <v>paps_r</v>
          </cell>
          <cell r="B11214" t="str">
            <v>paps</v>
          </cell>
          <cell r="C11214" t="str">
            <v>3'-Phosphoadenylyl sulfate</v>
          </cell>
        </row>
        <row r="11215">
          <cell r="A11215" t="str">
            <v>1a25dhvitd2_c</v>
          </cell>
          <cell r="B11215" t="str">
            <v>1a25dhvitd2</v>
          </cell>
          <cell r="C11215" t="str">
            <v>1-alpha,25-Dihydroxyvitamin D2</v>
          </cell>
        </row>
        <row r="11216">
          <cell r="A11216" t="str">
            <v>hmbpp_c</v>
          </cell>
          <cell r="B11216" t="str">
            <v>hmbpp</v>
          </cell>
          <cell r="C11216" t="str">
            <v>Hmbpp c</v>
          </cell>
        </row>
        <row r="11217">
          <cell r="A11217" t="str">
            <v>2h24pdn_c</v>
          </cell>
          <cell r="B11217" t="str">
            <v>2h24pdn</v>
          </cell>
          <cell r="C11217" t="str">
            <v>2h24pdn c</v>
          </cell>
        </row>
        <row r="11218">
          <cell r="A11218" t="str">
            <v>octscoa_c</v>
          </cell>
          <cell r="B11218" t="str">
            <v>octscoa</v>
          </cell>
          <cell r="C11218" t="str">
            <v>Octacosanoyl-CoA</v>
          </cell>
        </row>
        <row r="11219">
          <cell r="A11219" t="str">
            <v>tetscoa_c</v>
          </cell>
          <cell r="B11219" t="str">
            <v>tetscoa</v>
          </cell>
          <cell r="C11219" t="str">
            <v>Tetsanoyl-CoA</v>
          </cell>
        </row>
        <row r="11220">
          <cell r="A11220" t="str">
            <v>eiscoa_c</v>
          </cell>
          <cell r="B11220" t="str">
            <v>eiscoa</v>
          </cell>
          <cell r="C11220" t="str">
            <v>1-eicosanoyl-CoA</v>
          </cell>
        </row>
        <row r="11221">
          <cell r="A11221" t="str">
            <v>decoa_c</v>
          </cell>
          <cell r="B11221" t="str">
            <v>decoa</v>
          </cell>
          <cell r="C11221" t="str">
            <v>1-decanoyl-CoA</v>
          </cell>
        </row>
        <row r="11222">
          <cell r="A11222" t="str">
            <v>butcoa_c</v>
          </cell>
          <cell r="B11222" t="str">
            <v>butcoa</v>
          </cell>
          <cell r="C11222" t="str">
            <v>Butanoyl-CoA</v>
          </cell>
        </row>
        <row r="11223">
          <cell r="A11223" t="str">
            <v>c3dodcoa_c</v>
          </cell>
          <cell r="B11223" t="str">
            <v>c3dodcoa</v>
          </cell>
          <cell r="C11223" t="str">
            <v>C3-dodecanoyl-CoA</v>
          </cell>
        </row>
        <row r="11224">
          <cell r="A11224" t="str">
            <v>t2dodcoa_c</v>
          </cell>
          <cell r="B11224" t="str">
            <v>t2dodcoa</v>
          </cell>
          <cell r="C11224" t="str">
            <v>T2-dodecanoyl-CoA</v>
          </cell>
        </row>
        <row r="11225">
          <cell r="A11225" t="str">
            <v>trdcalcoa_c</v>
          </cell>
          <cell r="B11225" t="str">
            <v>trdcalcoa</v>
          </cell>
          <cell r="C11225" t="str">
            <v>Tridecanoyl-CoA</v>
          </cell>
        </row>
        <row r="11226">
          <cell r="A11226" t="str">
            <v>undcoa_c</v>
          </cell>
          <cell r="B11226" t="str">
            <v>undcoa</v>
          </cell>
          <cell r="C11226" t="str">
            <v>Undecanoyl Coenzyme A</v>
          </cell>
        </row>
        <row r="11227">
          <cell r="A11227" t="str">
            <v>LAM_c</v>
          </cell>
          <cell r="B11227" t="str">
            <v>LAM</v>
          </cell>
          <cell r="C11227" t="str">
            <v>Lipoarabinomannan</v>
          </cell>
        </row>
        <row r="11228">
          <cell r="A11228" t="str">
            <v>hla_c</v>
          </cell>
          <cell r="B11228" t="str">
            <v>hla</v>
          </cell>
          <cell r="C11228" t="str">
            <v>5-hydroxylevulinc acid</v>
          </cell>
        </row>
        <row r="11229">
          <cell r="A11229" t="str">
            <v>lgt_s_c</v>
          </cell>
          <cell r="B11229" t="str">
            <v>lgt_s</v>
          </cell>
          <cell r="C11229" t="str">
            <v>(R)-S-Lactoylglutathione</v>
          </cell>
        </row>
        <row r="11230">
          <cell r="A11230" t="str">
            <v>hipohcoa_c</v>
          </cell>
          <cell r="B11230" t="str">
            <v>hipohcoa</v>
          </cell>
          <cell r="C11230" t="str">
            <v>3-[(3aS,4S,5R,7aS)-5-hydroxy-7a-methyl-1-oxo-octahydro-1H-inden-4-yl]-3-hydroxypropanoyl-CoA</v>
          </cell>
        </row>
        <row r="11231">
          <cell r="A11231" t="str">
            <v>ocholc5coa_c</v>
          </cell>
          <cell r="B11231" t="str">
            <v>ocholc5coa</v>
          </cell>
          <cell r="C11231" t="str">
            <v>CoA-22-one-cholest-4-en-3-one C5 side chain</v>
          </cell>
        </row>
        <row r="11232">
          <cell r="A11232" t="str">
            <v>hhd_c</v>
          </cell>
          <cell r="B11232" t="str">
            <v>hhd</v>
          </cell>
          <cell r="C11232" t="str">
            <v>(2Z,4Z)-2-Hydroxyhexa-2,4-dienoic acid</v>
          </cell>
        </row>
        <row r="11233">
          <cell r="A11233" t="str">
            <v>cholc5coa_c</v>
          </cell>
          <cell r="B11233" t="str">
            <v>cholc5coa</v>
          </cell>
          <cell r="C11233" t="str">
            <v>CoA-cholest-4-en-3-one C5 side chain</v>
          </cell>
        </row>
        <row r="11234">
          <cell r="A11234" t="str">
            <v>cchol_c</v>
          </cell>
          <cell r="B11234" t="str">
            <v>cchol</v>
          </cell>
          <cell r="C11234" t="str">
            <v>26-Carboxycholest-4-en-3-one</v>
          </cell>
        </row>
        <row r="11235">
          <cell r="A11235" t="str">
            <v>hia_e</v>
          </cell>
          <cell r="B11235" t="str">
            <v>hia</v>
          </cell>
          <cell r="C11235" t="str">
            <v>3-[(3aS,4S,5R,7aS)-5-hydroxy-7a-methyl-1-oxo-octahydro-1H-indene-4-carboxylate</v>
          </cell>
        </row>
        <row r="11236">
          <cell r="A11236" t="str">
            <v>phbz1_c</v>
          </cell>
          <cell r="B11236" t="str">
            <v>phbz1</v>
          </cell>
          <cell r="C11236" t="str">
            <v>P-hydroxybenzoic acid derivative I</v>
          </cell>
        </row>
        <row r="11237">
          <cell r="A11237" t="str">
            <v>phbz2_c</v>
          </cell>
          <cell r="B11237" t="str">
            <v>phbz2</v>
          </cell>
          <cell r="C11237" t="str">
            <v>P-hydroxybenzoic acid derivative II</v>
          </cell>
        </row>
        <row r="11238">
          <cell r="A11238" t="str">
            <v>hphthiocnylcoa_c</v>
          </cell>
          <cell r="B11238" t="str">
            <v>hphthiocnylcoa</v>
          </cell>
          <cell r="C11238" t="str">
            <v>Hydroxyphthioceranoyl-CoA</v>
          </cell>
        </row>
        <row r="11239">
          <cell r="A11239" t="str">
            <v>cysOsh_c</v>
          </cell>
          <cell r="B11239" t="str">
            <v>cysOsh</v>
          </cell>
          <cell r="C11239" t="str">
            <v>CysO-SH</v>
          </cell>
        </row>
        <row r="11240">
          <cell r="A11240" t="str">
            <v>cysOamp_c</v>
          </cell>
          <cell r="B11240" t="str">
            <v>cysOamp</v>
          </cell>
          <cell r="C11240" t="str">
            <v>CysO-amp</v>
          </cell>
        </row>
        <row r="11241">
          <cell r="A11241" t="str">
            <v>n6hlys_c</v>
          </cell>
          <cell r="B11241" t="str">
            <v>n6hlys</v>
          </cell>
          <cell r="C11241" t="str">
            <v>N6-Hydroxy-L-lysine</v>
          </cell>
        </row>
        <row r="11242">
          <cell r="A11242" t="str">
            <v>nodcoa_e</v>
          </cell>
          <cell r="B11242" t="str">
            <v>nodcoa</v>
          </cell>
          <cell r="C11242" t="str">
            <v>Nonadecan-1-ol-CoA</v>
          </cell>
        </row>
        <row r="11243">
          <cell r="A11243" t="str">
            <v>amycolate82_c</v>
          </cell>
          <cell r="B11243" t="str">
            <v>amycolate82</v>
          </cell>
          <cell r="C11243" t="str">
            <v>Alpha-mycolate C82 (26)</v>
          </cell>
        </row>
        <row r="11244">
          <cell r="A11244" t="str">
            <v>8oxdgmp_c</v>
          </cell>
          <cell r="B11244" t="str">
            <v>8oxdgmp</v>
          </cell>
          <cell r="C11244" t="str">
            <v>8-oxo-dGMP</v>
          </cell>
        </row>
        <row r="11245">
          <cell r="A11245" t="str">
            <v>pc_TB_e</v>
          </cell>
          <cell r="B11245" t="str">
            <v>pc_TB</v>
          </cell>
          <cell r="C11245" t="str">
            <v>Phosphatidylcholine</v>
          </cell>
        </row>
        <row r="11246">
          <cell r="A11246" t="str">
            <v>fadh2_mm</v>
          </cell>
          <cell r="B11246" t="str">
            <v>fadh2</v>
          </cell>
          <cell r="C11246" t="str">
            <v>Flavin adenine dinucleotide reduced</v>
          </cell>
        </row>
        <row r="11247">
          <cell r="A11247" t="str">
            <v>11m3odACP_c</v>
          </cell>
          <cell r="B11247" t="str">
            <v>11m3odACP</v>
          </cell>
          <cell r="C11247" t="str">
            <v>11-methyl-3-oxo-dodecanoyl-ACP</v>
          </cell>
        </row>
        <row r="11248">
          <cell r="A11248" t="str">
            <v>12mdhtACP_c</v>
          </cell>
          <cell r="B11248" t="str">
            <v>12mdhtACP</v>
          </cell>
          <cell r="C11248" t="str">
            <v>12-methyl-3-hydroxy-tridecanoyl-ACP</v>
          </cell>
        </row>
        <row r="11249">
          <cell r="A11249" t="str">
            <v>12methedec_e</v>
          </cell>
          <cell r="B11249" t="str">
            <v>12methedec</v>
          </cell>
          <cell r="C11249" t="str">
            <v>12methedecACP c</v>
          </cell>
        </row>
        <row r="11250">
          <cell r="A11250" t="str">
            <v>14m3hdACP_c</v>
          </cell>
          <cell r="B11250" t="str">
            <v>14m3hdACP</v>
          </cell>
          <cell r="C11250" t="str">
            <v>14-methyl-3-hydroxy-hexa-decanoyl-ACP</v>
          </cell>
        </row>
        <row r="11251">
          <cell r="A11251" t="str">
            <v>14m3hpACP_c</v>
          </cell>
          <cell r="B11251" t="str">
            <v>14m3hpACP</v>
          </cell>
          <cell r="C11251" t="str">
            <v>14-methyl-3-hydroxy-pentadecanoyl-ACP</v>
          </cell>
        </row>
        <row r="11252">
          <cell r="A11252" t="str">
            <v>14mhdACP_c</v>
          </cell>
          <cell r="B11252" t="str">
            <v>14mhdACP</v>
          </cell>
          <cell r="C11252" t="str">
            <v>14-methyl-hexa-decanoyl-ACP</v>
          </cell>
        </row>
        <row r="11253">
          <cell r="A11253" t="str">
            <v>14mpACP_e</v>
          </cell>
          <cell r="B11253" t="str">
            <v>14mpACP</v>
          </cell>
          <cell r="C11253" t="str">
            <v>14-methyl-pentadecanoyl-ACP</v>
          </cell>
        </row>
        <row r="11254">
          <cell r="A11254" t="str">
            <v>16m3opACP_c</v>
          </cell>
          <cell r="B11254" t="str">
            <v>16m3opACP</v>
          </cell>
          <cell r="C11254" t="str">
            <v>16-methyl-3-oxo-pentadecanoyl-ACP</v>
          </cell>
        </row>
        <row r="11255">
          <cell r="A11255" t="str">
            <v>16mpACP_e</v>
          </cell>
          <cell r="B11255" t="str">
            <v>16mpACP</v>
          </cell>
          <cell r="C11255" t="str">
            <v>16-methyl-pentadecanoyl-ACP</v>
          </cell>
        </row>
        <row r="11256">
          <cell r="A11256" t="str">
            <v>1ag3p_c</v>
          </cell>
          <cell r="B11256" t="str">
            <v>1ag3p</v>
          </cell>
          <cell r="C11256" t="str">
            <v>1-Acyl-sn-glycerol 3-phosphate</v>
          </cell>
        </row>
        <row r="11257">
          <cell r="A11257" t="str">
            <v>1gMeasuredSolutes2_c</v>
          </cell>
          <cell r="B11257" t="str">
            <v>1gMeasuredSolutes2</v>
          </cell>
          <cell r="C11257" t="str">
            <v/>
          </cell>
        </row>
        <row r="11258">
          <cell r="A11258" t="str">
            <v>1gMeasuredSolutes_c</v>
          </cell>
          <cell r="B11258" t="str">
            <v>1gMeasuredSolutes</v>
          </cell>
          <cell r="C11258" t="str">
            <v/>
          </cell>
        </row>
        <row r="11259">
          <cell r="A11259" t="str">
            <v>1gOtherSolutes2_c</v>
          </cell>
          <cell r="B11259" t="str">
            <v>1gOtherSolutes2</v>
          </cell>
          <cell r="C11259" t="str">
            <v/>
          </cell>
        </row>
        <row r="11260">
          <cell r="A11260" t="str">
            <v>1gPROTEIN_c</v>
          </cell>
          <cell r="B11260" t="str">
            <v>1gPROTEIN</v>
          </cell>
          <cell r="C11260" t="str">
            <v/>
          </cell>
        </row>
        <row r="11261">
          <cell r="A11261" t="str">
            <v>1gRNA_c</v>
          </cell>
          <cell r="B11261" t="str">
            <v>1gRNA</v>
          </cell>
          <cell r="C11261" t="str">
            <v/>
          </cell>
        </row>
        <row r="11262">
          <cell r="A11262" t="str">
            <v>2ip3os_c</v>
          </cell>
          <cell r="B11262" t="str">
            <v>2ip3os</v>
          </cell>
          <cell r="C11262" t="str">
            <v>(2S)-2-isopropyl-3-oxosuccinate</v>
          </cell>
        </row>
        <row r="11263">
          <cell r="A11263" t="str">
            <v>38ch2gtp_c</v>
          </cell>
          <cell r="B11263" t="str">
            <v>38ch2gtp</v>
          </cell>
          <cell r="C11263" t="str">
            <v>(8S)-3',8-cyclo-7,8-dihydroguanosine 5'-triphosphate</v>
          </cell>
        </row>
        <row r="11264">
          <cell r="A11264" t="str">
            <v>3g12dgr_MRSA_w</v>
          </cell>
          <cell r="B11264" t="str">
            <v>3g12dgr_MRSA</v>
          </cell>
          <cell r="C11264" t="str">
            <v>1,2-diacyl-3-O-(beta-D-glucopyranosyl-(1-&gt;6)-O-beta-D-glucopyranosyl)-sn-glycerol</v>
          </cell>
        </row>
        <row r="11265">
          <cell r="A11265" t="str">
            <v>3oxhdACP_c</v>
          </cell>
          <cell r="B11265" t="str">
            <v>3oxhdACP</v>
          </cell>
          <cell r="C11265" t="str">
            <v>3-oxohexadecanoyl-acp</v>
          </cell>
        </row>
        <row r="11266">
          <cell r="A11266" t="str">
            <v>44dpnsp_c</v>
          </cell>
          <cell r="B11266" t="str">
            <v>44dpnsp</v>
          </cell>
          <cell r="C11266" t="str">
            <v>4,4'-diaponeurosporenal</v>
          </cell>
        </row>
        <row r="11267">
          <cell r="A11267" t="str">
            <v>4mtpACP_c</v>
          </cell>
          <cell r="B11267" t="str">
            <v>4mtpACP</v>
          </cell>
          <cell r="C11267" t="str">
            <v>4-methyl-trans-pent-2-enoyl-ACP</v>
          </cell>
        </row>
        <row r="11268">
          <cell r="A11268" t="str">
            <v>6m3hoACP_c</v>
          </cell>
          <cell r="B11268" t="str">
            <v>6m3hoACP</v>
          </cell>
          <cell r="C11268" t="str">
            <v>6-methyl-3-hydroxy-octanoyl-ACP</v>
          </cell>
        </row>
        <row r="11269">
          <cell r="A11269" t="str">
            <v>6m3oACP_c</v>
          </cell>
          <cell r="B11269" t="str">
            <v>6m3oACP</v>
          </cell>
          <cell r="C11269" t="str">
            <v>6-methyl-3-oxo-octanoyl-ACP</v>
          </cell>
        </row>
        <row r="11270">
          <cell r="A11270" t="str">
            <v>6m3ohACP_c</v>
          </cell>
          <cell r="B11270" t="str">
            <v>6m3ohACP</v>
          </cell>
          <cell r="C11270" t="str">
            <v>6-methyl-3-oxo-heptanoyl-ACP</v>
          </cell>
        </row>
        <row r="11271">
          <cell r="A11271" t="str">
            <v>8m3odACP_c</v>
          </cell>
          <cell r="B11271" t="str">
            <v>8m3odACP</v>
          </cell>
          <cell r="C11271" t="str">
            <v>8-methyl-3-oxo-decanoyl-ACP</v>
          </cell>
        </row>
        <row r="11272">
          <cell r="A11272" t="str">
            <v>8m3oxACP_c</v>
          </cell>
          <cell r="B11272" t="str">
            <v>8m3oxACP</v>
          </cell>
          <cell r="C11272" t="str">
            <v>8-methyl-3-oxo-nonanoyl-ACP</v>
          </cell>
        </row>
        <row r="11273">
          <cell r="A11273" t="str">
            <v>8mtn2eACP_c</v>
          </cell>
          <cell r="B11273" t="str">
            <v>8mtn2eACP</v>
          </cell>
          <cell r="C11273" t="str">
            <v>8-methyl-trans-non-2-enoyl-ACP</v>
          </cell>
        </row>
        <row r="11274">
          <cell r="A11274" t="str">
            <v>LTA_w</v>
          </cell>
          <cell r="B11274" t="str">
            <v>LTA</v>
          </cell>
          <cell r="C11274" t="str">
            <v>Lipoteichoic acid; 1,2-diacyl-3-O-[6-O-(sn-glycerol phospho)n-(sn-glycerol phospho)-(beta-D-glucopyranosyl-(1-&gt;6)-O-beta-D-glucopyranosyl)]-sn-glycerol</v>
          </cell>
        </row>
        <row r="11275">
          <cell r="A11275" t="str">
            <v>LTAglcnac_w</v>
          </cell>
          <cell r="B11275" t="str">
            <v>LTAglcnac</v>
          </cell>
          <cell r="C11275" t="str">
            <v>1,2-diacyl-3-O-[6-O-(2-O-N-acetyl-alpha-D-glucosamine-sn-glycerol phospho)n-(sn-glycerol phospho)-(beta-D-glucopyranosyl-(1-&gt;6)-O-beta-D-glucopyranosyl)]-sn-glycerol</v>
          </cell>
        </row>
        <row r="11276">
          <cell r="A11276" t="str">
            <v>WTA40r_glcnac_c</v>
          </cell>
          <cell r="B11276" t="str">
            <v>WTA40r_glcnac</v>
          </cell>
          <cell r="C11276" t="str">
            <v>[2-(betaGlcNac)-Rbo-P]n-[2-(alphaGlcNac)-Rbo-P]-Gro-P-Gro-P-ManNAc-GlcNAc-PP-undecaprenol</v>
          </cell>
        </row>
        <row r="11277">
          <cell r="A11277" t="str">
            <v>WTA40raPG_w</v>
          </cell>
          <cell r="B11277" t="str">
            <v>WTA40raPG</v>
          </cell>
          <cell r="C11277" t="str">
            <v>Peptidoglycan bound wall teichoic acid (alanine charged)</v>
          </cell>
        </row>
        <row r="11278">
          <cell r="A11278" t="str">
            <v>WTA40rgPG_w</v>
          </cell>
          <cell r="B11278" t="str">
            <v>WTA40rgPG</v>
          </cell>
          <cell r="C11278" t="str">
            <v>Peptidoglycan bound wall teichoic acid (N-acetyl-glucosamine charged)</v>
          </cell>
        </row>
        <row r="11279">
          <cell r="A11279" t="str">
            <v>acACP_MRSA_e</v>
          </cell>
          <cell r="B11279" t="str">
            <v>acACP_MRSA</v>
          </cell>
          <cell r="C11279" t="str">
            <v>Average acyl ACP molecule</v>
          </cell>
        </row>
        <row r="11280">
          <cell r="A11280" t="str">
            <v>aglaa_e</v>
          </cell>
          <cell r="B11280" t="str">
            <v>aglaa</v>
          </cell>
          <cell r="C11280" t="str">
            <v>L-Ala-gamma-D-Glu-L-lys-D-Ala (Extracellular)</v>
          </cell>
        </row>
        <row r="11281">
          <cell r="A11281" t="str">
            <v>ala_L_thr__L_e</v>
          </cell>
          <cell r="B11281" t="str">
            <v>ala_L_thr__L</v>
          </cell>
          <cell r="C11281" t="str">
            <v>Ala-L-Thr-L</v>
          </cell>
        </row>
        <row r="11282">
          <cell r="A11282" t="str">
            <v>ala_gln_c</v>
          </cell>
          <cell r="B11282" t="str">
            <v>ala_gln</v>
          </cell>
          <cell r="C11282" t="str">
            <v>Ala-Gln</v>
          </cell>
        </row>
        <row r="11283">
          <cell r="A11283" t="str">
            <v>ala_leu_e</v>
          </cell>
          <cell r="B11283" t="str">
            <v>ala_leu</v>
          </cell>
          <cell r="C11283" t="str">
            <v>Ala-Leu</v>
          </cell>
        </row>
        <row r="11284">
          <cell r="A11284" t="str">
            <v>alagly_e</v>
          </cell>
          <cell r="B11284" t="str">
            <v>alagly</v>
          </cell>
          <cell r="C11284" t="str">
            <v>L-alanylglycine</v>
          </cell>
        </row>
        <row r="11285">
          <cell r="A11285" t="str">
            <v>antla24s_c</v>
          </cell>
          <cell r="B11285" t="str">
            <v>antla24s</v>
          </cell>
          <cell r="C11285" t="str">
            <v>Anteisoheptadecanoyllipoteichoic acid n=24  linked  glucose substituted</v>
          </cell>
        </row>
        <row r="11286">
          <cell r="A11286" t="str">
            <v>arsbet_c</v>
          </cell>
          <cell r="B11286" t="str">
            <v>arsbet</v>
          </cell>
          <cell r="C11286" t="str">
            <v>ARSENOBETAINE</v>
          </cell>
        </row>
        <row r="11287">
          <cell r="A11287" t="str">
            <v>btbet_e</v>
          </cell>
          <cell r="B11287" t="str">
            <v>btbet</v>
          </cell>
          <cell r="C11287" t="str">
            <v>Butyro-betaine</v>
          </cell>
        </row>
        <row r="11288">
          <cell r="A11288" t="str">
            <v>citdae_c</v>
          </cell>
          <cell r="B11288" t="str">
            <v>citdae</v>
          </cell>
          <cell r="C11288" t="str">
            <v>Citrl-diaminoethane</v>
          </cell>
        </row>
        <row r="11289">
          <cell r="A11289" t="str">
            <v>clpn_MRSA_c</v>
          </cell>
          <cell r="B11289" t="str">
            <v>clpn_MRSA</v>
          </cell>
          <cell r="C11289" t="str">
            <v>Cardiolipin (MRSA); bisphosphatidylglycerol</v>
          </cell>
        </row>
        <row r="11290">
          <cell r="A11290" t="str">
            <v>coa2s_c</v>
          </cell>
          <cell r="B11290" t="str">
            <v>coa2s</v>
          </cell>
          <cell r="C11290" t="str">
            <v>Coenzyme A disulfide</v>
          </cell>
        </row>
        <row r="11291">
          <cell r="A11291" t="str">
            <v>cpp3_c</v>
          </cell>
          <cell r="B11291" t="str">
            <v>cpp3</v>
          </cell>
          <cell r="C11291" t="str">
            <v>Coproporphyrin III</v>
          </cell>
        </row>
        <row r="11292">
          <cell r="A11292" t="str">
            <v>dhsq_c</v>
          </cell>
          <cell r="B11292" t="str">
            <v>dhsq</v>
          </cell>
          <cell r="C11292" t="str">
            <v>15-cis-dehydrosqualene</v>
          </cell>
        </row>
        <row r="11293">
          <cell r="A11293" t="str">
            <v>dianethal_c</v>
          </cell>
          <cell r="B11293" t="str">
            <v>dianethal</v>
          </cell>
          <cell r="C11293" t="str">
            <v>Dianteisoheptadecanoylphosphatidylethanolamine</v>
          </cell>
        </row>
        <row r="11294">
          <cell r="A11294" t="str">
            <v>dianphaser_c</v>
          </cell>
          <cell r="B11294" t="str">
            <v>dianphaser</v>
          </cell>
          <cell r="C11294" t="str">
            <v>Dianteisoheptadecanoylphosphatidylserine</v>
          </cell>
        </row>
        <row r="11295">
          <cell r="A11295" t="str">
            <v>dnspen_c</v>
          </cell>
          <cell r="B11295" t="str">
            <v>dnspen</v>
          </cell>
          <cell r="C11295" t="str">
            <v>All-trans-4,4'-diaponeurosporene</v>
          </cell>
        </row>
        <row r="11296">
          <cell r="A11296" t="str">
            <v>dr5p_c</v>
          </cell>
          <cell r="B11296" t="str">
            <v>dr5p</v>
          </cell>
          <cell r="C11296" t="str">
            <v>D-ribitol 5-phosphate</v>
          </cell>
        </row>
        <row r="11297">
          <cell r="A11297" t="str">
            <v>gcvHalip_c</v>
          </cell>
          <cell r="B11297" t="str">
            <v>gcvHalip</v>
          </cell>
          <cell r="C11297" t="str">
            <v>S-Aminomethyldihydrolipoylprotein (gcvH)</v>
          </cell>
        </row>
        <row r="11298">
          <cell r="A11298" t="str">
            <v>glc_D_B_c</v>
          </cell>
          <cell r="B11298" t="str">
            <v>glc_D_B</v>
          </cell>
          <cell r="C11298" t="str">
            <v>Beta-D-Glucose</v>
          </cell>
        </row>
        <row r="11299">
          <cell r="A11299" t="str">
            <v>gly_cys_e</v>
          </cell>
          <cell r="B11299" t="str">
            <v>gly_cys</v>
          </cell>
          <cell r="C11299" t="str">
            <v>Gly-Cys</v>
          </cell>
        </row>
        <row r="11300">
          <cell r="A11300" t="str">
            <v>gly_met_e</v>
          </cell>
          <cell r="B11300" t="str">
            <v>gly_met</v>
          </cell>
          <cell r="C11300" t="str">
            <v>Gly-Met</v>
          </cell>
        </row>
        <row r="11301">
          <cell r="A11301" t="str">
            <v>gly_tyr_e</v>
          </cell>
          <cell r="B11301" t="str">
            <v>gly_tyr</v>
          </cell>
          <cell r="C11301" t="str">
            <v>Gly-Tyr</v>
          </cell>
        </row>
        <row r="11302">
          <cell r="A11302" t="str">
            <v>htdol__L_c</v>
          </cell>
          <cell r="B11302" t="str">
            <v>htdol__L</v>
          </cell>
          <cell r="C11302" t="str">
            <v>L-Histidinal</v>
          </cell>
        </row>
        <row r="11303">
          <cell r="A11303" t="str">
            <v>iso24ds_c</v>
          </cell>
          <cell r="B11303" t="str">
            <v>iso24ds</v>
          </cell>
          <cell r="C11303" t="str">
            <v>Isoheptadecanoyllipoteichoic acid n=24  linked  D-alanine substituted</v>
          </cell>
        </row>
        <row r="11304">
          <cell r="A11304" t="str">
            <v>isodec24s_c</v>
          </cell>
          <cell r="B11304" t="str">
            <v>isodec24s</v>
          </cell>
          <cell r="C11304" t="str">
            <v>Isohexadecanoyllipoteichoic acid n=24  linked  glucose substituted</v>
          </cell>
        </row>
        <row r="11305">
          <cell r="A11305" t="str">
            <v>isop24gsms_c</v>
          </cell>
          <cell r="B11305" t="str">
            <v>isop24gsms</v>
          </cell>
          <cell r="C11305" t="str">
            <v>Isopentadecanoyllipoteichoic acid n=24  linked  N-acetyl-D-glucosamine</v>
          </cell>
        </row>
        <row r="11306">
          <cell r="A11306" t="str">
            <v>lip2g_c</v>
          </cell>
          <cell r="B11306" t="str">
            <v>lip2g</v>
          </cell>
          <cell r="C11306" t="str">
            <v>Ditrans,octacis-undecaprenyldiphospho-N-acetyl-(N-acetylglucosaminyl)muramoyl-L-alanyl-gamma-D-isoglutaminyl-L-lysyl-(N6-glycyl)-D-alanyl-D-alanine</v>
          </cell>
        </row>
        <row r="11307">
          <cell r="A11307" t="str">
            <v>lysglugly_e</v>
          </cell>
          <cell r="B11307" t="str">
            <v>lysglugly</v>
          </cell>
          <cell r="C11307" t="str">
            <v>Lysine-glutamine-glycine tripeptide</v>
          </cell>
        </row>
        <row r="11308">
          <cell r="A11308" t="str">
            <v>m12dglyc_c</v>
          </cell>
          <cell r="B11308" t="str">
            <v>m12dglyc</v>
          </cell>
          <cell r="C11308" t="str">
            <v>Monoglucosyl-1 2 dimyristoylglycerol</v>
          </cell>
        </row>
        <row r="11309">
          <cell r="A11309" t="str">
            <v>malmeACP_c</v>
          </cell>
          <cell r="B11309" t="str">
            <v>malmeACP</v>
          </cell>
          <cell r="C11309" t="str">
            <v>Malonyl-ACP methyl ester</v>
          </cell>
        </row>
        <row r="11310">
          <cell r="A11310" t="str">
            <v>malttr6p_c</v>
          </cell>
          <cell r="B11310" t="str">
            <v>malttr6p</v>
          </cell>
          <cell r="C11310" t="str">
            <v/>
          </cell>
        </row>
        <row r="11311">
          <cell r="A11311" t="str">
            <v>myrs24u_c</v>
          </cell>
          <cell r="B11311" t="str">
            <v>myrs24u</v>
          </cell>
          <cell r="C11311" t="str">
            <v>Myristoyllipoteichoic acid n=24  linked  unsubstituted</v>
          </cell>
        </row>
        <row r="11312">
          <cell r="A11312" t="str">
            <v>myrsACP_e</v>
          </cell>
          <cell r="B11312" t="str">
            <v>myrsACP</v>
          </cell>
          <cell r="C11312" t="str">
            <v>Myristoyl-ACP (n-C14:0ACP)</v>
          </cell>
        </row>
        <row r="11313">
          <cell r="A11313" t="str">
            <v>octACP_e</v>
          </cell>
          <cell r="B11313" t="str">
            <v>octACP</v>
          </cell>
          <cell r="C11313" t="str">
            <v>Octodecanoyl-ACP</v>
          </cell>
        </row>
        <row r="11314">
          <cell r="A11314" t="str">
            <v>palm24nacs_c</v>
          </cell>
          <cell r="B11314" t="str">
            <v>palm24nacs</v>
          </cell>
          <cell r="C11314" t="str">
            <v>Palmitoyllipoteichoic acid n=24  linked  N-acetyl-D-glucosamine</v>
          </cell>
        </row>
        <row r="11315">
          <cell r="A11315" t="str">
            <v>pepd_w</v>
          </cell>
          <cell r="B11315" t="str">
            <v>pepd</v>
          </cell>
          <cell r="C11315" t="str">
            <v>Peptide C2H4NO2RC2H2NOR</v>
          </cell>
        </row>
        <row r="11316">
          <cell r="A11316" t="str">
            <v>pg_MRSA_ala_c</v>
          </cell>
          <cell r="B11316" t="str">
            <v>pg_MRSA_ala</v>
          </cell>
          <cell r="C11316" t="str">
            <v>2-O-D-alanyl-1-O-phosphatidylglycerol</v>
          </cell>
        </row>
        <row r="11317">
          <cell r="A11317" t="str">
            <v>pgp_MRSA_c</v>
          </cell>
          <cell r="B11317" t="str">
            <v>pgp_MRSA</v>
          </cell>
          <cell r="C11317" t="str">
            <v>1-(3-sn-phosphatidyl)-sn-glycerol 3-phosphate (MRSA)</v>
          </cell>
        </row>
        <row r="11318">
          <cell r="A11318" t="str">
            <v>pmlmeACP_c</v>
          </cell>
          <cell r="B11318" t="str">
            <v>pmlmeACP</v>
          </cell>
          <cell r="C11318" t="str">
            <v>Pimeloyl-ACP methyl ester</v>
          </cell>
        </row>
        <row r="11319">
          <cell r="A11319" t="str">
            <v>ptdoh_MRSA_c</v>
          </cell>
          <cell r="B11319" t="str">
            <v>ptdoh_MRSA</v>
          </cell>
          <cell r="C11319" t="str">
            <v>Phosphatidic acid</v>
          </cell>
        </row>
        <row r="11320">
          <cell r="A11320" t="str">
            <v>rbl_B_e</v>
          </cell>
          <cell r="B11320" t="str">
            <v>rbl_B</v>
          </cell>
          <cell r="C11320" t="str">
            <v>Salicin</v>
          </cell>
        </row>
        <row r="11321">
          <cell r="A11321" t="str">
            <v>rgsno_c</v>
          </cell>
          <cell r="B11321" t="str">
            <v>rgsno</v>
          </cell>
          <cell r="C11321" t="str">
            <v>Reduced S-nitrosoglutathione</v>
          </cell>
        </row>
        <row r="11322">
          <cell r="A11322" t="str">
            <v>skgmeACP_c</v>
          </cell>
          <cell r="B11322" t="str">
            <v>skgmeACP</v>
          </cell>
          <cell r="C11322" t="str">
            <v>3-Ketoglutaryl-ACP methyl ester</v>
          </cell>
        </row>
        <row r="11323">
          <cell r="A11323" t="str">
            <v>skpmeACP_c</v>
          </cell>
          <cell r="B11323" t="str">
            <v>skpmeACP</v>
          </cell>
          <cell r="C11323" t="str">
            <v>3-Ketopimeloyl-ACP methyl ester</v>
          </cell>
        </row>
        <row r="11324">
          <cell r="A11324" t="str">
            <v>stfrnA_e</v>
          </cell>
          <cell r="B11324" t="str">
            <v>stfrnA</v>
          </cell>
          <cell r="C11324" t="str">
            <v>Staphyloferrin A</v>
          </cell>
        </row>
        <row r="11325">
          <cell r="A11325" t="str">
            <v>teich_45_c</v>
          </cell>
          <cell r="B11325" t="str">
            <v>teich_45</v>
          </cell>
          <cell r="C11325" t="str">
            <v>Teichuronic acid GlcA  GalNac  45 repeating unit</v>
          </cell>
        </row>
        <row r="11326">
          <cell r="A11326" t="str">
            <v>trnagua_c</v>
          </cell>
          <cell r="B11326" t="str">
            <v>trnagua</v>
          </cell>
          <cell r="C11326" t="str">
            <v/>
          </cell>
        </row>
        <row r="11327">
          <cell r="A11327" t="str">
            <v>uamaglaa_c</v>
          </cell>
          <cell r="B11327" t="str">
            <v>uamaglaa</v>
          </cell>
          <cell r="C11327" t="str">
            <v>UDP-N-acetyl-alpha-D-muramoyl-L-alanyl-gamma-D-glutamyl-L-lysyl-D-alanyl-D-alanine</v>
          </cell>
        </row>
        <row r="11328">
          <cell r="A11328" t="str">
            <v>ppap_e</v>
          </cell>
          <cell r="B11328" t="str">
            <v>ppap</v>
          </cell>
          <cell r="C11328" t="str">
            <v>Propanoyl phosphate</v>
          </cell>
        </row>
        <row r="11329">
          <cell r="A11329" t="str">
            <v>1gOtherSolutes_r_c</v>
          </cell>
          <cell r="B11329" t="str">
            <v>1gOtherSolutes_r</v>
          </cell>
          <cell r="C11329" t="str">
            <v/>
          </cell>
        </row>
        <row r="11330">
          <cell r="A11330" t="str">
            <v>g6p_B_e</v>
          </cell>
          <cell r="B11330" t="str">
            <v>g6p_B</v>
          </cell>
          <cell r="C11330" t="str">
            <v>Beta D glucose 6 phosphate C6H11O9P</v>
          </cell>
        </row>
        <row r="11331">
          <cell r="A11331" t="str">
            <v>chm_c</v>
          </cell>
          <cell r="B11331" t="str">
            <v>chm</v>
          </cell>
          <cell r="C11331" t="str">
            <v>5 Carboxymethyl 2 hydroxymuconiC ACID C8H8O7</v>
          </cell>
        </row>
        <row r="11332">
          <cell r="A11332" t="str">
            <v>opet_c</v>
          </cell>
          <cell r="B11332" t="str">
            <v>opet</v>
          </cell>
          <cell r="C11332" t="str">
            <v>5 oxo pent 3 ene 1 2 5 tricarboxylic acid C8H8O7</v>
          </cell>
        </row>
        <row r="11333">
          <cell r="A11333" t="str">
            <v>hhdd_c</v>
          </cell>
          <cell r="B11333" t="str">
            <v>hhdd</v>
          </cell>
          <cell r="C11333" t="str">
            <v>2 hydroxy hepta 2 4 diene 1 7 dioic acid C7H8O5</v>
          </cell>
        </row>
        <row r="11334">
          <cell r="A11334" t="str">
            <v>hhed_c</v>
          </cell>
          <cell r="B11334" t="str">
            <v>hhed</v>
          </cell>
          <cell r="C11334" t="str">
            <v>2 4 dihydroxy hept 2 ene 1 7 dioic acid C7H10O6</v>
          </cell>
        </row>
        <row r="11335">
          <cell r="A11335" t="str">
            <v>lipaB_c</v>
          </cell>
          <cell r="B11335" t="str">
            <v>lipaB</v>
          </cell>
          <cell r="C11335" t="str">
            <v>KDO 2  lipid  A   with laurate C108H192N2O39P2</v>
          </cell>
        </row>
        <row r="11336">
          <cell r="A11336" t="str">
            <v>lipaB_p</v>
          </cell>
          <cell r="B11336" t="str">
            <v>lipaB</v>
          </cell>
          <cell r="C11336" t="str">
            <v>KDO 2  lipid  A   with laurate C108H192N2O39P2</v>
          </cell>
        </row>
        <row r="11337">
          <cell r="A11337" t="str">
            <v>lipaF_p</v>
          </cell>
          <cell r="B11337" t="str">
            <v>lipaF</v>
          </cell>
          <cell r="C11337" t="str">
            <v>KDO 2  lipid  A  with 1 diphosphate C110H196N2O42P3</v>
          </cell>
        </row>
        <row r="11338">
          <cell r="A11338" t="str">
            <v>hhlipaB_c</v>
          </cell>
          <cell r="B11338" t="str">
            <v>hhlipaB</v>
          </cell>
          <cell r="C11338" t="str">
            <v>Heptosyl heptosyl kdo2 lipidA with laurate C122H196N2O51P2</v>
          </cell>
        </row>
        <row r="11339">
          <cell r="A11339" t="str">
            <v>colipaB_p</v>
          </cell>
          <cell r="B11339" t="str">
            <v>colipaB</v>
          </cell>
          <cell r="C11339" t="str">
            <v>Core oligosaccharide lipid A with laurate C159H256N2O88P4</v>
          </cell>
        </row>
        <row r="11340">
          <cell r="A11340" t="str">
            <v>magund_c</v>
          </cell>
          <cell r="B11340" t="str">
            <v>magund</v>
          </cell>
          <cell r="C11340" t="str">
            <v>Mannosyl N acetylglucosamyl undecaprenyl diphosphate C69H114NO17P2</v>
          </cell>
        </row>
        <row r="11341">
          <cell r="A11341" t="str">
            <v>colipa_LptA_p</v>
          </cell>
          <cell r="B11341" t="str">
            <v>colipa_LptA</v>
          </cell>
          <cell r="C11341" t="str">
            <v xml:space="preserve">Core oligosaccharide lipid A with abundances </v>
          </cell>
        </row>
        <row r="11342">
          <cell r="A11342" t="str">
            <v>23oxsucc_c</v>
          </cell>
          <cell r="B11342" t="str">
            <v>23oxsucc</v>
          </cell>
          <cell r="C11342" t="str">
            <v>2-hydroxy-3-oxosuccinate(2-)</v>
          </cell>
        </row>
        <row r="11343">
          <cell r="A11343" t="str">
            <v>cm_c</v>
          </cell>
          <cell r="B11343" t="str">
            <v>cm</v>
          </cell>
          <cell r="C11343" t="str">
            <v>Chloramphenicol</v>
          </cell>
        </row>
        <row r="11344">
          <cell r="A11344" t="str">
            <v>naggn_c</v>
          </cell>
          <cell r="B11344" t="str">
            <v>naggn</v>
          </cell>
          <cell r="C11344" t="str">
            <v>N-acetylglutaminylglutamine</v>
          </cell>
        </row>
        <row r="11345">
          <cell r="A11345" t="str">
            <v>msalc_c</v>
          </cell>
          <cell r="B11345" t="str">
            <v>msalc</v>
          </cell>
          <cell r="C11345" t="str">
            <v>Methyl salicylate</v>
          </cell>
        </row>
        <row r="11346">
          <cell r="A11346" t="str">
            <v>hmn4_c</v>
          </cell>
          <cell r="B11346" t="str">
            <v>hmn4</v>
          </cell>
          <cell r="C11346" t="str">
            <v>S)-4-Hydroxymandelonitrile</v>
          </cell>
        </row>
        <row r="11347">
          <cell r="A11347" t="str">
            <v>glu5pept_c</v>
          </cell>
          <cell r="B11347" t="str">
            <v>glu5pept</v>
          </cell>
          <cell r="C11347" t="str">
            <v>5-l-glutamyl-peptide</v>
          </cell>
        </row>
        <row r="11348">
          <cell r="A11348" t="str">
            <v>glu5t_c</v>
          </cell>
          <cell r="B11348" t="str">
            <v>glu5t</v>
          </cell>
          <cell r="C11348" t="str">
            <v>5-l-glutamyl-taurine</v>
          </cell>
        </row>
        <row r="11349">
          <cell r="A11349" t="str">
            <v>gglusem_c</v>
          </cell>
          <cell r="B11349" t="str">
            <v>gglusem</v>
          </cell>
          <cell r="C11349" t="str">
            <v>Gamma-gamma-se-methylselenocysteine</v>
          </cell>
        </row>
        <row r="11350">
          <cell r="A11350" t="str">
            <v>gln__D_c</v>
          </cell>
          <cell r="B11350" t="str">
            <v>gln__D</v>
          </cell>
          <cell r="C11350" t="str">
            <v>D glutamine</v>
          </cell>
        </row>
        <row r="11351">
          <cell r="A11351" t="str">
            <v>apn3_c</v>
          </cell>
          <cell r="B11351" t="str">
            <v>apn3</v>
          </cell>
          <cell r="C11351" t="str">
            <v>3-Aminopropiononitrile</v>
          </cell>
        </row>
        <row r="11352">
          <cell r="A11352" t="str">
            <v>peptido_c</v>
          </cell>
          <cell r="B11352" t="str">
            <v>peptido</v>
          </cell>
          <cell r="C11352" t="str">
            <v>Peptido</v>
          </cell>
        </row>
        <row r="11353">
          <cell r="A11353" t="str">
            <v>nhlys_c</v>
          </cell>
          <cell r="B11353" t="str">
            <v>nhlys</v>
          </cell>
          <cell r="C11353" t="str">
            <v>Nhlys</v>
          </cell>
        </row>
        <row r="11354">
          <cell r="A11354" t="str">
            <v>nonacp_c</v>
          </cell>
          <cell r="B11354" t="str">
            <v>nonacp</v>
          </cell>
          <cell r="C11354" t="str">
            <v>Nonanoyl-ACP</v>
          </cell>
        </row>
        <row r="11355">
          <cell r="A11355" t="str">
            <v>penacp_c</v>
          </cell>
          <cell r="B11355" t="str">
            <v>penacp</v>
          </cell>
          <cell r="C11355" t="str">
            <v>Pentadecanoyl-ACP</v>
          </cell>
        </row>
        <row r="11356">
          <cell r="A11356" t="str">
            <v>noneacp_c</v>
          </cell>
          <cell r="B11356" t="str">
            <v>noneacp</v>
          </cell>
          <cell r="C11356" t="str">
            <v>Nonadecenoyl-ACP</v>
          </cell>
        </row>
        <row r="11357">
          <cell r="A11357" t="str">
            <v>octedecacid_c</v>
          </cell>
          <cell r="B11357" t="str">
            <v>octedecacid</v>
          </cell>
          <cell r="C11357" t="str">
            <v>Octadecenoic acid</v>
          </cell>
        </row>
        <row r="11358">
          <cell r="A11358" t="str">
            <v>alkane_c</v>
          </cell>
          <cell r="B11358" t="str">
            <v>alkane</v>
          </cell>
          <cell r="C11358" t="str">
            <v>Alkane</v>
          </cell>
        </row>
        <row r="11359">
          <cell r="A11359" t="str">
            <v>rna_c</v>
          </cell>
          <cell r="B11359" t="str">
            <v>rna</v>
          </cell>
          <cell r="C11359" t="str">
            <v>RNA c</v>
          </cell>
        </row>
        <row r="11360">
          <cell r="A11360" t="str">
            <v>chlac_c</v>
          </cell>
          <cell r="B11360" t="str">
            <v>chlac</v>
          </cell>
          <cell r="C11360" t="str">
            <v>Chloroacetate</v>
          </cell>
        </row>
        <row r="11361">
          <cell r="A11361" t="str">
            <v>2hetdp_c</v>
          </cell>
          <cell r="B11361" t="str">
            <v>2hetdp</v>
          </cell>
          <cell r="C11361" t="str">
            <v>2-(alpha-Hydroxyethyl)thiamine diphosphate</v>
          </cell>
        </row>
        <row r="11362">
          <cell r="A11362" t="str">
            <v>4a2mpmpmd_c</v>
          </cell>
          <cell r="B11362" t="str">
            <v>4a2mpmpmd</v>
          </cell>
          <cell r="C11362" t="str">
            <v>4-Amino-2-methyl-5-phosphomethylpyrimidine</v>
          </cell>
        </row>
        <row r="11363">
          <cell r="A11363" t="str">
            <v>5ca1rpi_c</v>
          </cell>
          <cell r="B11363" t="str">
            <v>5ca1rpi</v>
          </cell>
          <cell r="C11363" t="str">
            <v>5-Carboxyamino-1-(5-phospho-D-ribosyl)imidazole</v>
          </cell>
        </row>
        <row r="11364">
          <cell r="A11364" t="str">
            <v>78dhptn_c</v>
          </cell>
          <cell r="B11364" t="str">
            <v>78dhptn</v>
          </cell>
          <cell r="C11364" t="str">
            <v>7,8-Dihydrobiopterin</v>
          </cell>
        </row>
        <row r="11365">
          <cell r="A11365" t="str">
            <v>choles_c</v>
          </cell>
          <cell r="B11365" t="str">
            <v>choles</v>
          </cell>
          <cell r="C11365" t="str">
            <v>Cholesterol</v>
          </cell>
        </row>
        <row r="11366">
          <cell r="A11366" t="str">
            <v>dmbzi_c</v>
          </cell>
          <cell r="B11366" t="str">
            <v>dmbzi</v>
          </cell>
          <cell r="C11366" t="str">
            <v>Dimethylbenzimidazole</v>
          </cell>
        </row>
        <row r="11367">
          <cell r="A11367" t="str">
            <v>glutrd_c</v>
          </cell>
          <cell r="B11367" t="str">
            <v>glutrd</v>
          </cell>
          <cell r="C11367" t="str">
            <v>Glutaredoxin</v>
          </cell>
        </row>
        <row r="11368">
          <cell r="A11368" t="str">
            <v>hdec_c</v>
          </cell>
          <cell r="B11368" t="str">
            <v>hdec</v>
          </cell>
          <cell r="C11368" t="str">
            <v>Hexadecanoic acid</v>
          </cell>
        </row>
        <row r="11369">
          <cell r="A11369" t="str">
            <v>hemeB2p_u</v>
          </cell>
          <cell r="B11369" t="str">
            <v>hemeB2p</v>
          </cell>
          <cell r="C11369" t="str">
            <v>Heme B located in the Cytochrome-b6/f complex, twice protonated</v>
          </cell>
        </row>
        <row r="11370">
          <cell r="A11370" t="str">
            <v>hemeB3p_u</v>
          </cell>
          <cell r="B11370" t="str">
            <v>hemeB3p</v>
          </cell>
          <cell r="C11370" t="str">
            <v>Heme B located in the Cytochrome-b6/f complex, triply protonated</v>
          </cell>
        </row>
        <row r="11371">
          <cell r="A11371" t="str">
            <v>malth_c</v>
          </cell>
          <cell r="B11371" t="str">
            <v>malth</v>
          </cell>
          <cell r="C11371" t="str">
            <v>Maltohexaose</v>
          </cell>
        </row>
        <row r="11372">
          <cell r="A11372" t="str">
            <v>maltp_c</v>
          </cell>
          <cell r="B11372" t="str">
            <v>maltp</v>
          </cell>
          <cell r="C11372" t="str">
            <v>Maltopentose</v>
          </cell>
        </row>
        <row r="11373">
          <cell r="A11373" t="str">
            <v>pqhb6s_u</v>
          </cell>
          <cell r="B11373" t="str">
            <v>pqhb6s</v>
          </cell>
          <cell r="C11373" t="str">
            <v>Plastosemiquinone located at the stromal side of the Cytochrome-b6/f complex</v>
          </cell>
        </row>
        <row r="11374">
          <cell r="A11374" t="str">
            <v>provitd3_c</v>
          </cell>
          <cell r="B11374" t="str">
            <v>provitd3</v>
          </cell>
          <cell r="C11374" t="str">
            <v>7-Dehydrocholesterol; Provitamin D3</v>
          </cell>
        </row>
        <row r="11375">
          <cell r="A11375" t="str">
            <v>s0_u</v>
          </cell>
          <cell r="B11375" t="str">
            <v>s0</v>
          </cell>
          <cell r="C11375" t="str">
            <v>Starting state of a cluster of probably four manganese atoms</v>
          </cell>
        </row>
        <row r="11376">
          <cell r="A11376" t="str">
            <v>spm_c</v>
          </cell>
          <cell r="B11376" t="str">
            <v>spm</v>
          </cell>
          <cell r="C11376" t="str">
            <v>Spermine</v>
          </cell>
        </row>
        <row r="11377">
          <cell r="A11377" t="str">
            <v>thios_c</v>
          </cell>
          <cell r="B11377" t="str">
            <v>thios</v>
          </cell>
          <cell r="C11377" t="str">
            <v>Thiosulfate</v>
          </cell>
        </row>
        <row r="11378">
          <cell r="A11378" t="str">
            <v>12mgdg161_c</v>
          </cell>
          <cell r="B11378" t="str">
            <v>12mgdg161</v>
          </cell>
          <cell r="C11378" t="str">
            <v>3-D-glucosyl-1,2-Diacylglycerol (n-C16 1)</v>
          </cell>
        </row>
        <row r="11379">
          <cell r="A11379" t="str">
            <v>12mgdg181_c</v>
          </cell>
          <cell r="B11379" t="str">
            <v>12mgdg181</v>
          </cell>
          <cell r="C11379" t="str">
            <v>3-D-glucosyl-1,2-Diacylglycerol (n-C18 1)</v>
          </cell>
        </row>
        <row r="11380">
          <cell r="A11380" t="str">
            <v>12mgdg181_9_c</v>
          </cell>
          <cell r="B11380" t="str">
            <v>12mgdg181_9</v>
          </cell>
          <cell r="C11380" t="str">
            <v>3-D-glucosyl-1,2-Diacylglycerol (n-C18 1)</v>
          </cell>
        </row>
        <row r="11381">
          <cell r="A11381" t="str">
            <v>samprot_c</v>
          </cell>
          <cell r="B11381" t="str">
            <v>samprot</v>
          </cell>
          <cell r="C11381" t="str">
            <v>S-Aminomethyldihydrolipoylprotein</v>
          </cell>
        </row>
        <row r="11382">
          <cell r="A11382" t="str">
            <v>R_actn_c</v>
          </cell>
          <cell r="B11382" t="str">
            <v>R_actn</v>
          </cell>
          <cell r="C11382" t="str">
            <v>Acetoin</v>
          </cell>
        </row>
        <row r="11383">
          <cell r="A11383" t="str">
            <v>23btdl_c</v>
          </cell>
          <cell r="B11383" t="str">
            <v>23btdl</v>
          </cell>
          <cell r="C11383" t="str">
            <v>Butane-2,3-diol</v>
          </cell>
        </row>
        <row r="11384">
          <cell r="A11384" t="str">
            <v>cadprib_c</v>
          </cell>
          <cell r="B11384" t="str">
            <v>cadprib</v>
          </cell>
          <cell r="C11384" t="str">
            <v>Cyclic adenosine diphosphate ribose(cADPR)</v>
          </cell>
        </row>
        <row r="11385">
          <cell r="A11385" t="str">
            <v>crm_pf_18_1_16_0_g</v>
          </cell>
          <cell r="B11385" t="str">
            <v>crm_pf_18_1_16_0</v>
          </cell>
          <cell r="C11385" t="str">
            <v>N-(hexadecanoyl)-sphing-4-enine</v>
          </cell>
        </row>
        <row r="11386">
          <cell r="A11386" t="str">
            <v>tag_pf_18_0_18_1_16_0_c</v>
          </cell>
          <cell r="B11386" t="str">
            <v>tag_pf_18_0_18_1_16_0</v>
          </cell>
          <cell r="C11386" t="str">
            <v>Triacylglycerol(18:0/18:1(9Z)/16:0) or 1-palmitoyl-2-stearoyl-3-oleoyl-glycerol</v>
          </cell>
        </row>
        <row r="11387">
          <cell r="A11387" t="str">
            <v>fdred_h</v>
          </cell>
          <cell r="B11387" t="str">
            <v>fdred</v>
          </cell>
          <cell r="C11387" t="str">
            <v>Ferredoxin (reduced) 2[4Fe-4S]</v>
          </cell>
        </row>
        <row r="11388">
          <cell r="A11388" t="str">
            <v>pchol_pf_16_0_18_0_g</v>
          </cell>
          <cell r="B11388" t="str">
            <v>pchol_pf_16_0_18_0</v>
          </cell>
          <cell r="C11388" t="str">
            <v>Phosphatidyl choline(plasmodium,C16:0,C18:0)</v>
          </cell>
        </row>
        <row r="11389">
          <cell r="A11389" t="str">
            <v>pchol_pf_16_0_20_4_c</v>
          </cell>
          <cell r="B11389" t="str">
            <v>pchol_pf_16_0_20_4</v>
          </cell>
          <cell r="C11389" t="str">
            <v>Phosphatidyl choline(plasmodium,C16:0,C20:4)</v>
          </cell>
        </row>
        <row r="11390">
          <cell r="A11390" t="str">
            <v>pe_pf_20_4_20_4_c</v>
          </cell>
          <cell r="B11390" t="str">
            <v>pe_pf_20_4_20_4</v>
          </cell>
          <cell r="C11390" t="str">
            <v>Phosphatidyl ethanolamine(plasmodium,C20:4,C20:4)</v>
          </cell>
        </row>
        <row r="11391">
          <cell r="A11391" t="str">
            <v>sphymyln_pf_18_1_24_0_g</v>
          </cell>
          <cell r="B11391" t="str">
            <v>sphymyln_pf_18_1_24_0</v>
          </cell>
          <cell r="C11391" t="str">
            <v>N-(tetracosanoyl)-sphing-4-enine-1-phosphocholine</v>
          </cell>
        </row>
        <row r="11392">
          <cell r="A11392" t="str">
            <v>cdpdag_pf_18_1_20_4_c</v>
          </cell>
          <cell r="B11392" t="str">
            <v>cdpdag_pf_18_1_20_4</v>
          </cell>
          <cell r="C11392" t="str">
            <v>CDP diacylglycerol(plasmodium,C18:1,C20:4)</v>
          </cell>
        </row>
        <row r="11393">
          <cell r="A11393" t="str">
            <v>pa_pf_18_2_18_2_c</v>
          </cell>
          <cell r="B11393" t="str">
            <v>pa_pf_18_2_18_2</v>
          </cell>
          <cell r="C11393" t="str">
            <v>Phosphatidic acid(plasmodium,C18:2,C18:2)</v>
          </cell>
        </row>
        <row r="11394">
          <cell r="A11394" t="str">
            <v>crm_pf_18_1_18_0_g</v>
          </cell>
          <cell r="B11394" t="str">
            <v>crm_pf_18_1_18_0</v>
          </cell>
          <cell r="C11394" t="str">
            <v>N-(octadecanoyl)-sphing-4-enine</v>
          </cell>
        </row>
        <row r="11395">
          <cell r="A11395" t="str">
            <v>crm_pf_18_1_24_0_c</v>
          </cell>
          <cell r="B11395" t="str">
            <v>crm_pf_18_1_24_0</v>
          </cell>
          <cell r="C11395" t="str">
            <v>N-(tetracosanoyl)-sphing-4-enine</v>
          </cell>
        </row>
        <row r="11396">
          <cell r="A11396" t="str">
            <v>tag_pf_18_1_18_2_18_2_c</v>
          </cell>
          <cell r="B11396" t="str">
            <v>tag_pf_18_1_18_2_18_2</v>
          </cell>
          <cell r="C11396" t="str">
            <v>1-(9Z-octadecenoyl)-2,3-di-(9Z,12Z-octadecadienoyl)-sn-glycerol</v>
          </cell>
        </row>
        <row r="11397">
          <cell r="A11397" t="str">
            <v>pail345p_pf_18_0_18_1_c</v>
          </cell>
          <cell r="B11397" t="str">
            <v>pail345p_pf_18_0_18_1</v>
          </cell>
          <cell r="C11397" t="str">
            <v>Phosphatidylinositol 3,4,5-trisphosphate(plasmodium,C18:0,C18:1)</v>
          </cell>
        </row>
        <row r="11398">
          <cell r="A11398" t="str">
            <v>pail34p_pf_16_0_18_1_c</v>
          </cell>
          <cell r="B11398" t="str">
            <v>pail34p_pf_16_0_18_1</v>
          </cell>
          <cell r="C11398" t="str">
            <v>Phosphatidylinositol 3,4-bisphosphate(plasmodium,C16:0,C18:1)</v>
          </cell>
        </row>
        <row r="11399">
          <cell r="A11399" t="str">
            <v>xolest_16_0_c</v>
          </cell>
          <cell r="B11399" t="str">
            <v>xolest_16_0</v>
          </cell>
          <cell r="C11399" t="str">
            <v>(chole)sterol ester</v>
          </cell>
        </row>
        <row r="11400">
          <cell r="A11400" t="str">
            <v>dsbcox_r</v>
          </cell>
          <cell r="B11400" t="str">
            <v>dsbcox</v>
          </cell>
          <cell r="C11400" t="str">
            <v>Protein disulfide isomerase II (oxidized)</v>
          </cell>
        </row>
        <row r="11401">
          <cell r="A11401" t="str">
            <v>alpa_pf_18_1_c</v>
          </cell>
          <cell r="B11401" t="str">
            <v>alpa_pf_18_1</v>
          </cell>
          <cell r="C11401" t="str">
            <v>Lysophosphatidic acid(plasmodium,C18:1)</v>
          </cell>
        </row>
        <row r="11402">
          <cell r="A11402" t="str">
            <v>alpa_pf_20_4_c</v>
          </cell>
          <cell r="B11402" t="str">
            <v>alpa_pf_20_4</v>
          </cell>
          <cell r="C11402" t="str">
            <v>Lysophosphatidic acid(plasmodium,C20:4)</v>
          </cell>
        </row>
        <row r="11403">
          <cell r="A11403" t="str">
            <v>cdpdag_pf_16_0_18_1_c</v>
          </cell>
          <cell r="B11403" t="str">
            <v>cdpdag_pf_16_0_18_1</v>
          </cell>
          <cell r="C11403" t="str">
            <v>CDP diacylglycerol(plasmodium,C16:0,C18:1)</v>
          </cell>
        </row>
        <row r="11404">
          <cell r="A11404" t="str">
            <v>cdpdag_pf_18_0_18_0_c</v>
          </cell>
          <cell r="B11404" t="str">
            <v>cdpdag_pf_18_0_18_0</v>
          </cell>
          <cell r="C11404" t="str">
            <v>CDP diacylglycerol(plasmodium,C18:0,C18:0)</v>
          </cell>
        </row>
        <row r="11405">
          <cell r="A11405" t="str">
            <v>cdpdag_pf_18_1_18_1_c</v>
          </cell>
          <cell r="B11405" t="str">
            <v>cdpdag_pf_18_1_18_1</v>
          </cell>
          <cell r="C11405" t="str">
            <v>CDP diacylglycerol(plasmodium,C18:1,C18:1)</v>
          </cell>
        </row>
        <row r="11406">
          <cell r="A11406" t="str">
            <v>dag_pf_18_0_18_1_c</v>
          </cell>
          <cell r="B11406" t="str">
            <v>dag_pf_18_0_18_1</v>
          </cell>
          <cell r="C11406" t="str">
            <v>Diacylglycerol(plasmodium,C18:0,C18:1)</v>
          </cell>
        </row>
        <row r="11407">
          <cell r="A11407" t="str">
            <v>dag_pf_18_0_18_2_c</v>
          </cell>
          <cell r="B11407" t="str">
            <v>dag_pf_18_0_18_2</v>
          </cell>
          <cell r="C11407" t="str">
            <v>Diacylglycerol(plasmodium,C18:0,C18:2)</v>
          </cell>
        </row>
        <row r="11408">
          <cell r="A11408" t="str">
            <v>dag_pf_18_1_18_0_c</v>
          </cell>
          <cell r="B11408" t="str">
            <v>dag_pf_18_1_18_0</v>
          </cell>
          <cell r="C11408" t="str">
            <v>Diacylglycerol(plasmodium,C18:1,C18:0)</v>
          </cell>
        </row>
        <row r="11409">
          <cell r="A11409" t="str">
            <v>dag_pf_18_2_18_2_c</v>
          </cell>
          <cell r="B11409" t="str">
            <v>dag_pf_18_2_18_2</v>
          </cell>
          <cell r="C11409" t="str">
            <v>Diacylglycerol(plasmodium,C18:2,C18:2)</v>
          </cell>
        </row>
        <row r="11410">
          <cell r="A11410" t="str">
            <v>dag_pf_18_2_18_2_r</v>
          </cell>
          <cell r="B11410" t="str">
            <v>dag_pf_18_2_18_2</v>
          </cell>
          <cell r="C11410" t="str">
            <v>Diacylglycerol(plasmodium,C18:2,C18:2)</v>
          </cell>
        </row>
        <row r="11411">
          <cell r="A11411" t="str">
            <v>impyr_c</v>
          </cell>
          <cell r="B11411" t="str">
            <v>impyr</v>
          </cell>
          <cell r="C11411" t="str">
            <v>Imidazolepyruvate</v>
          </cell>
        </row>
        <row r="11412">
          <cell r="A11412" t="str">
            <v>p4a_c</v>
          </cell>
          <cell r="B11412" t="str">
            <v>p4a</v>
          </cell>
          <cell r="C11412" t="str">
            <v>Adenosinetetraphosphate</v>
          </cell>
        </row>
        <row r="11413">
          <cell r="A11413" t="str">
            <v>pa_pf_16_0_18_1_c</v>
          </cell>
          <cell r="B11413" t="str">
            <v>pa_pf_16_0_18_1</v>
          </cell>
          <cell r="C11413" t="str">
            <v>Phosphatidic acid(plasmodium,C16:0,C18:1)</v>
          </cell>
        </row>
        <row r="11414">
          <cell r="A11414" t="str">
            <v>pa_pf_18_1_18_1_c</v>
          </cell>
          <cell r="B11414" t="str">
            <v>pa_pf_18_1_18_1</v>
          </cell>
          <cell r="C11414" t="str">
            <v>Phosphatidic acid(plasmodium,C18:1,C18:1)</v>
          </cell>
        </row>
        <row r="11415">
          <cell r="A11415" t="str">
            <v>pail_pf_18_0_18_1_c</v>
          </cell>
          <cell r="B11415" t="str">
            <v>pail_pf_18_0_18_1</v>
          </cell>
          <cell r="C11415" t="str">
            <v>Phosphatidyl inositol(plasmodium,C18:0,C18:1)</v>
          </cell>
        </row>
        <row r="11416">
          <cell r="A11416" t="str">
            <v>pchol_pf_18_1_18_1_c</v>
          </cell>
          <cell r="B11416" t="str">
            <v>pchol_pf_18_1_18_1</v>
          </cell>
          <cell r="C11416" t="str">
            <v>Phosphatidyl choline(plasmodium,C18:1,C18:1)</v>
          </cell>
        </row>
        <row r="11417">
          <cell r="A11417" t="str">
            <v>pchol_pf_18_1_18_2_c</v>
          </cell>
          <cell r="B11417" t="str">
            <v>pchol_pf_18_1_18_2</v>
          </cell>
          <cell r="C11417" t="str">
            <v>Phosphatidyl choline(plasmodium,C18:1,C18:2)</v>
          </cell>
        </row>
        <row r="11418">
          <cell r="A11418" t="str">
            <v>pchol_pf_18_2_18_2_c</v>
          </cell>
          <cell r="B11418" t="str">
            <v>pchol_pf_18_2_18_2</v>
          </cell>
          <cell r="C11418" t="str">
            <v>Phosphatidyl choline(plasmodium,C18:2,C18:2)</v>
          </cell>
        </row>
        <row r="11419">
          <cell r="A11419" t="str">
            <v>up4u_c</v>
          </cell>
          <cell r="B11419" t="str">
            <v>up4u</v>
          </cell>
          <cell r="C11419" t="str">
            <v>P1,P4-Bis(5-uridyl)tetraphosphate</v>
          </cell>
        </row>
        <row r="11420">
          <cell r="A11420" t="str">
            <v>dag_pf_16_0_18_0_g</v>
          </cell>
          <cell r="B11420" t="str">
            <v>dag_pf_16_0_18_0</v>
          </cell>
          <cell r="C11420" t="str">
            <v>Diacylglycerol(plasmodium,C16:0,C18:0)</v>
          </cell>
        </row>
        <row r="11421">
          <cell r="A11421" t="str">
            <v>dag_pf_16_0_18_1_g</v>
          </cell>
          <cell r="B11421" t="str">
            <v>dag_pf_16_0_18_1</v>
          </cell>
          <cell r="C11421" t="str">
            <v>Diacylglycerol(plasmodium,C16:0,C18:1)</v>
          </cell>
        </row>
        <row r="11422">
          <cell r="A11422" t="str">
            <v>dag_pf_16_0_20_4_g</v>
          </cell>
          <cell r="B11422" t="str">
            <v>dag_pf_16_0_20_4</v>
          </cell>
          <cell r="C11422" t="str">
            <v>Diacylglycerol(plasmodium,C16:0,C20:4)</v>
          </cell>
        </row>
        <row r="11423">
          <cell r="A11423" t="str">
            <v>dag_pf_18_0_18_0_g</v>
          </cell>
          <cell r="B11423" t="str">
            <v>dag_pf_18_0_18_0</v>
          </cell>
          <cell r="C11423" t="str">
            <v>Diacylglycerol(plasmodium,C18:0,C18:0)</v>
          </cell>
        </row>
        <row r="11424">
          <cell r="A11424" t="str">
            <v>dag_pf_18_0_20_4_g</v>
          </cell>
          <cell r="B11424" t="str">
            <v>dag_pf_18_0_20_4</v>
          </cell>
          <cell r="C11424" t="str">
            <v>Diacylglycerol(plasmodium,C18:0,C20:4)</v>
          </cell>
        </row>
        <row r="11425">
          <cell r="A11425" t="str">
            <v>dag_pf_18_1_18_1_g</v>
          </cell>
          <cell r="B11425" t="str">
            <v>dag_pf_18_1_18_1</v>
          </cell>
          <cell r="C11425" t="str">
            <v>Diacylglycerol(plasmodium,C18:1,C18:1)</v>
          </cell>
        </row>
        <row r="11426">
          <cell r="A11426" t="str">
            <v>dag_pf_18_2_16_0_g</v>
          </cell>
          <cell r="B11426" t="str">
            <v>dag_pf_18_2_16_0</v>
          </cell>
          <cell r="C11426" t="str">
            <v>Diacylglycerol(plasmodium,C18:2,C16:0)</v>
          </cell>
        </row>
        <row r="11427">
          <cell r="A11427" t="str">
            <v>dag_pf_20_4_18_0_g</v>
          </cell>
          <cell r="B11427" t="str">
            <v>dag_pf_20_4_18_0</v>
          </cell>
          <cell r="C11427" t="str">
            <v>Diacylglycerol(plasmodium,C20:4,C18:0)</v>
          </cell>
        </row>
        <row r="11428">
          <cell r="A11428" t="str">
            <v>dag_pf_20_4_18_1_g</v>
          </cell>
          <cell r="B11428" t="str">
            <v>dag_pf_20_4_18_1</v>
          </cell>
          <cell r="C11428" t="str">
            <v>Diacylglycerol(plasmodium,C20:4,C18:1)</v>
          </cell>
        </row>
        <row r="11429">
          <cell r="A11429" t="str">
            <v>dag_pf_20_4_20_4_g</v>
          </cell>
          <cell r="B11429" t="str">
            <v>dag_pf_20_4_20_4</v>
          </cell>
          <cell r="C11429" t="str">
            <v>Diacylglycerol(plasmodium,C20:4,C20:4)</v>
          </cell>
        </row>
        <row r="11430">
          <cell r="A11430" t="str">
            <v>pchol_pf_16_0_18_2_g</v>
          </cell>
          <cell r="B11430" t="str">
            <v>pchol_pf_16_0_18_2</v>
          </cell>
          <cell r="C11430" t="str">
            <v>Phosphatidyl choline(plasmodium,C16:0,C18:2)</v>
          </cell>
        </row>
        <row r="11431">
          <cell r="A11431" t="str">
            <v>4fe4s_h</v>
          </cell>
          <cell r="B11431" t="str">
            <v>4fe4s</v>
          </cell>
          <cell r="C11431" t="str">
            <v>[4Fe-4S] iron-sulfur cluster</v>
          </cell>
        </row>
        <row r="11432">
          <cell r="A11432" t="str">
            <v>aopox_h</v>
          </cell>
          <cell r="B11432" t="str">
            <v>aopox</v>
          </cell>
          <cell r="C11432" t="str">
            <v>Antioxidant protein(oxidized)</v>
          </cell>
        </row>
        <row r="11433">
          <cell r="A11433" t="str">
            <v>grxox_h</v>
          </cell>
          <cell r="B11433" t="str">
            <v>grxox</v>
          </cell>
          <cell r="C11433" t="str">
            <v>Glutaredoxin (oxidized)</v>
          </cell>
        </row>
        <row r="11434">
          <cell r="A11434" t="str">
            <v>lac__D_h</v>
          </cell>
          <cell r="B11434" t="str">
            <v>lac__D</v>
          </cell>
          <cell r="C11434" t="str">
            <v>D-Lactate</v>
          </cell>
        </row>
        <row r="11435">
          <cell r="A11435" t="str">
            <v>mlthf_h</v>
          </cell>
          <cell r="B11435" t="str">
            <v>mlthf</v>
          </cell>
          <cell r="C11435" t="str">
            <v>5,10-Methylenetetrahydrofolate</v>
          </cell>
        </row>
        <row r="11436">
          <cell r="A11436" t="str">
            <v>mthgxl_h</v>
          </cell>
          <cell r="B11436" t="str">
            <v>mthgxl</v>
          </cell>
          <cell r="C11436" t="str">
            <v>Methylglyoxal</v>
          </cell>
        </row>
        <row r="11437">
          <cell r="A11437" t="str">
            <v>plrxox_h</v>
          </cell>
          <cell r="B11437" t="str">
            <v>plrxox</v>
          </cell>
          <cell r="C11437" t="str">
            <v>Plasmoredoxin,oxidized</v>
          </cell>
        </row>
        <row r="11438">
          <cell r="A11438" t="str">
            <v>plrxrd_h</v>
          </cell>
          <cell r="B11438" t="str">
            <v>plrxrd</v>
          </cell>
          <cell r="C11438" t="str">
            <v>Plasmoredoxin,reduced</v>
          </cell>
        </row>
        <row r="11439">
          <cell r="A11439" t="str">
            <v>Hb_l</v>
          </cell>
          <cell r="B11439" t="str">
            <v>Hb</v>
          </cell>
          <cell r="C11439" t="str">
            <v>Hemoglobin</v>
          </cell>
        </row>
        <row r="11440">
          <cell r="A11440" t="str">
            <v>hemeBo_l</v>
          </cell>
          <cell r="B11440" t="str">
            <v>hemeBo</v>
          </cell>
          <cell r="C11440" t="str">
            <v>HemeBoxidized</v>
          </cell>
        </row>
        <row r="11441">
          <cell r="A11441" t="str">
            <v>hmz_l</v>
          </cell>
          <cell r="B11441" t="str">
            <v>hmz</v>
          </cell>
          <cell r="C11441" t="str">
            <v>Hemozoin</v>
          </cell>
        </row>
        <row r="11442">
          <cell r="A11442" t="str">
            <v>3ophb_m</v>
          </cell>
          <cell r="B11442" t="str">
            <v>3ophb</v>
          </cell>
          <cell r="C11442" t="str">
            <v>3-Octaprenyl-4-hydroxybenzoate</v>
          </cell>
        </row>
        <row r="11443">
          <cell r="A11443" t="str">
            <v>ca2_m</v>
          </cell>
          <cell r="B11443" t="str">
            <v>ca2</v>
          </cell>
          <cell r="C11443" t="str">
            <v>Calcium</v>
          </cell>
        </row>
        <row r="11444">
          <cell r="A11444" t="str">
            <v>lipoamp_m</v>
          </cell>
          <cell r="B11444" t="str">
            <v>lipoamp</v>
          </cell>
          <cell r="C11444" t="str">
            <v>Lipoyl-AMP</v>
          </cell>
        </row>
        <row r="11445">
          <cell r="A11445" t="str">
            <v>mqn4_m</v>
          </cell>
          <cell r="B11445" t="str">
            <v>mqn4</v>
          </cell>
          <cell r="C11445" t="str">
            <v>Menaquinone4</v>
          </cell>
        </row>
        <row r="11446">
          <cell r="A11446" t="str">
            <v>g3p_x</v>
          </cell>
          <cell r="B11446" t="str">
            <v>g3p</v>
          </cell>
          <cell r="C11446" t="str">
            <v>Glyceraldehyde 3-phosphate</v>
          </cell>
        </row>
        <row r="11447">
          <cell r="A11447" t="str">
            <v>glyc_x</v>
          </cell>
          <cell r="B11447" t="str">
            <v>glyc</v>
          </cell>
          <cell r="C11447" t="str">
            <v>Glycerol</v>
          </cell>
        </row>
        <row r="11448">
          <cell r="A11448" t="str">
            <v>6pgl_x</v>
          </cell>
          <cell r="B11448" t="str">
            <v>6pgl</v>
          </cell>
          <cell r="C11448" t="str">
            <v>6-phospho-D-glucono-1,5-lactone</v>
          </cell>
        </row>
        <row r="11449">
          <cell r="A11449" t="str">
            <v>a_D_glucose_c</v>
          </cell>
          <cell r="B11449" t="str">
            <v>a_D_glucose</v>
          </cell>
          <cell r="C11449" t="str">
            <v>A DASH D DASH glucose c</v>
          </cell>
        </row>
        <row r="11450">
          <cell r="A11450" t="str">
            <v>a_D_glucose_x</v>
          </cell>
          <cell r="B11450" t="str">
            <v>a_D_glucose</v>
          </cell>
          <cell r="C11450" t="str">
            <v>A DASH D DASH glucose c</v>
          </cell>
        </row>
        <row r="11451">
          <cell r="A11451" t="str">
            <v>g6p_A_x</v>
          </cell>
          <cell r="B11451" t="str">
            <v>g6p_A</v>
          </cell>
          <cell r="C11451" t="str">
            <v>Alpha-D-glucose 6 phosphate</v>
          </cell>
        </row>
        <row r="11452">
          <cell r="A11452" t="str">
            <v>orn__L_x</v>
          </cell>
          <cell r="B11452" t="str">
            <v>orn__L</v>
          </cell>
          <cell r="C11452" t="str">
            <v>L Ornithine C5H13N2O2</v>
          </cell>
        </row>
        <row r="11453">
          <cell r="A11453" t="str">
            <v>trpdox_c</v>
          </cell>
          <cell r="B11453" t="str">
            <v>trpdox</v>
          </cell>
          <cell r="C11453" t="str">
            <v>Oxidized tryparedoxin X</v>
          </cell>
        </row>
        <row r="11454">
          <cell r="A11454" t="str">
            <v>nh3_e</v>
          </cell>
          <cell r="B11454" t="str">
            <v>nh3</v>
          </cell>
          <cell r="C11454" t="str">
            <v>Ammonia</v>
          </cell>
        </row>
        <row r="11455">
          <cell r="A11455" t="str">
            <v>3hddACP_m</v>
          </cell>
          <cell r="B11455" t="str">
            <v>3hddACP</v>
          </cell>
          <cell r="C11455" t="str">
            <v xml:space="preserve"> R  3 Hydroxydodecanoyl acyl carrier protein C12H23O2X</v>
          </cell>
        </row>
        <row r="11456">
          <cell r="A11456" t="str">
            <v>3hpaACP_m</v>
          </cell>
          <cell r="B11456" t="str">
            <v>3hpaACP</v>
          </cell>
          <cell r="C11456" t="str">
            <v>R-3-hydroxypalmitoyl-acyl-carrierprotein-</v>
          </cell>
        </row>
        <row r="11457">
          <cell r="A11457" t="str">
            <v>3hocdacp_m</v>
          </cell>
          <cell r="B11457" t="str">
            <v>3hocdacp</v>
          </cell>
          <cell r="C11457" t="str">
            <v>3R  3 Hydroxyoctadecanoyl acyl carrier protein</v>
          </cell>
        </row>
        <row r="11458">
          <cell r="A11458" t="str">
            <v>3oxddACP_m</v>
          </cell>
          <cell r="B11458" t="str">
            <v>3oxddACP</v>
          </cell>
          <cell r="C11458" t="str">
            <v>3-oxododecanoyl-acp</v>
          </cell>
        </row>
        <row r="11459">
          <cell r="A11459" t="str">
            <v>dcd2coa_m</v>
          </cell>
          <cell r="B11459" t="str">
            <v>dcd2coa</v>
          </cell>
          <cell r="C11459" t="str">
            <v>Trans Dec 2 enoyl CoA C31H48N7O17P3S</v>
          </cell>
        </row>
        <row r="11460">
          <cell r="A11460" t="str">
            <v>gamla_c</v>
          </cell>
          <cell r="B11460" t="str">
            <v>gamla</v>
          </cell>
          <cell r="C11460" t="str">
            <v>Gamma linolenic acid  183  C18H29O2</v>
          </cell>
        </row>
        <row r="11461">
          <cell r="A11461" t="str">
            <v>udpg_x</v>
          </cell>
          <cell r="B11461" t="str">
            <v>udpg</v>
          </cell>
          <cell r="C11461" t="str">
            <v>UDPglucose</v>
          </cell>
        </row>
        <row r="11462">
          <cell r="A11462" t="str">
            <v>gthox_x</v>
          </cell>
          <cell r="B11462" t="str">
            <v>gthox</v>
          </cell>
          <cell r="C11462" t="str">
            <v>Oxidized glutathione</v>
          </cell>
        </row>
        <row r="11463">
          <cell r="A11463" t="str">
            <v>triglyc_LM_c</v>
          </cell>
          <cell r="B11463" t="str">
            <v>triglyc_LM</v>
          </cell>
          <cell r="C11463" t="str">
            <v>Triglyceride  L major  C5610H9986O600</v>
          </cell>
        </row>
        <row r="11464">
          <cell r="A11464" t="str">
            <v>12dgr_LM_m</v>
          </cell>
          <cell r="B11464" t="str">
            <v>12dgr_LM</v>
          </cell>
          <cell r="C11464" t="str">
            <v>1 2 Diacylglycerol  L major  C3840H6924O500</v>
          </cell>
        </row>
        <row r="11465">
          <cell r="A11465" t="str">
            <v>cdpea_m</v>
          </cell>
          <cell r="B11465" t="str">
            <v>cdpea</v>
          </cell>
          <cell r="C11465" t="str">
            <v>CDPethanolamine C11H19N4O11P2</v>
          </cell>
        </row>
        <row r="11466">
          <cell r="A11466" t="str">
            <v>1ag3p_LM_m</v>
          </cell>
          <cell r="B11466" t="str">
            <v>1ag3p_LM</v>
          </cell>
          <cell r="C11466" t="str">
            <v>1 Acyl sn glycerol 3 phosphate  L major  C2070H3762O700P100</v>
          </cell>
        </row>
        <row r="11467">
          <cell r="A11467" t="str">
            <v>glincoa_m</v>
          </cell>
          <cell r="B11467" t="str">
            <v>glincoa</v>
          </cell>
          <cell r="C11467" t="str">
            <v>Gamma Linoyl CoA  n C1836 9 12CoA  C39H60N7O17P3S</v>
          </cell>
        </row>
        <row r="11468">
          <cell r="A11468" t="str">
            <v>olcoa_m</v>
          </cell>
          <cell r="B11468" t="str">
            <v>olcoa</v>
          </cell>
          <cell r="C11468" t="str">
            <v>Oleoyl CoA  n C1819CoA  C39H64N7O17P3S</v>
          </cell>
        </row>
        <row r="11469">
          <cell r="A11469" t="str">
            <v>pa_LM_c</v>
          </cell>
          <cell r="B11469" t="str">
            <v>pa_LM</v>
          </cell>
          <cell r="C11469" t="str">
            <v>Phosphatidate C3840H6824O800P100</v>
          </cell>
        </row>
        <row r="11470">
          <cell r="A11470" t="str">
            <v>1agly3p_LM_x</v>
          </cell>
          <cell r="B11470" t="str">
            <v>1agly3p_LM</v>
          </cell>
          <cell r="C11470" t="str">
            <v>Glycerone phosphate  L major  C2070H3562O700P100</v>
          </cell>
        </row>
        <row r="11471">
          <cell r="A11471" t="str">
            <v>pg_LM_m</v>
          </cell>
          <cell r="B11471" t="str">
            <v>pg_LM</v>
          </cell>
          <cell r="C11471" t="str">
            <v>Phosphatidylglycerol  L major  C4140H7524O1000P100</v>
          </cell>
        </row>
        <row r="11472">
          <cell r="A11472" t="str">
            <v>DMino14bp_c</v>
          </cell>
          <cell r="B11472" t="str">
            <v>DMino14bp</v>
          </cell>
          <cell r="C11472" t="str">
            <v>D myo Inositol 1 4 bisphosphate C6H10O12P2</v>
          </cell>
        </row>
        <row r="11473">
          <cell r="A11473" t="str">
            <v>ptd145bp_LM_c</v>
          </cell>
          <cell r="B11473" t="str">
            <v>ptd145bp_LM</v>
          </cell>
          <cell r="C11473" t="str">
            <v>Phosphatidylinositol 4 5 bisphosphate C4440H7724O1900P300</v>
          </cell>
        </row>
        <row r="11474">
          <cell r="A11474" t="str">
            <v>ptd4ino_LM_c</v>
          </cell>
          <cell r="B11474" t="str">
            <v>ptd4ino_LM</v>
          </cell>
          <cell r="C11474" t="str">
            <v>1 Phosphatidyl 1D myo inositol 4 phosphate C4440H7824O1600P200</v>
          </cell>
        </row>
        <row r="11475">
          <cell r="A11475" t="str">
            <v>mi145tp__D_c</v>
          </cell>
          <cell r="B11475" t="str">
            <v>mi145tp__D</v>
          </cell>
          <cell r="C11475" t="str">
            <v xml:space="preserve">1D myo Inositol 1 4 5 trisphosphate </v>
          </cell>
        </row>
        <row r="11476">
          <cell r="A11476" t="str">
            <v>trpox_c</v>
          </cell>
          <cell r="B11476" t="str">
            <v>trpox</v>
          </cell>
          <cell r="C11476" t="str">
            <v>Oxidized trypanothione C27H45N9O10S2</v>
          </cell>
        </row>
        <row r="11477">
          <cell r="A11477" t="str">
            <v>trprd_c</v>
          </cell>
          <cell r="B11477" t="str">
            <v>trprd</v>
          </cell>
          <cell r="C11477" t="str">
            <v>Reduced trypanothione C27H47N9O10S2</v>
          </cell>
        </row>
        <row r="11478">
          <cell r="A11478" t="str">
            <v>trpox_x</v>
          </cell>
          <cell r="B11478" t="str">
            <v>trpox</v>
          </cell>
          <cell r="C11478" t="str">
            <v>Oxidized trypanothione C27H45N9O10S2</v>
          </cell>
        </row>
        <row r="11479">
          <cell r="A11479" t="str">
            <v>trprd_x</v>
          </cell>
          <cell r="B11479" t="str">
            <v>trprd</v>
          </cell>
          <cell r="C11479" t="str">
            <v>Reduced trypanothione C27H47N9O10S2</v>
          </cell>
        </row>
        <row r="11480">
          <cell r="A11480" t="str">
            <v>rbl__L_x</v>
          </cell>
          <cell r="B11480" t="str">
            <v>rbl__L</v>
          </cell>
          <cell r="C11480" t="str">
            <v>L-Ribulose</v>
          </cell>
        </row>
        <row r="11481">
          <cell r="A11481" t="str">
            <v>xmp_x</v>
          </cell>
          <cell r="B11481" t="str">
            <v>xmp</v>
          </cell>
          <cell r="C11481" t="str">
            <v>Xanthosine 5'-phosphate</v>
          </cell>
        </row>
        <row r="11482">
          <cell r="A11482" t="str">
            <v>gdp_r</v>
          </cell>
          <cell r="B11482" t="str">
            <v>gdp</v>
          </cell>
          <cell r="C11482" t="str">
            <v>GDP C10H12N5O11P2</v>
          </cell>
        </row>
        <row r="11483">
          <cell r="A11483" t="str">
            <v>dgmp_r</v>
          </cell>
          <cell r="B11483" t="str">
            <v>dgmp</v>
          </cell>
          <cell r="C11483" t="str">
            <v>DGMP C10H12N5O7P</v>
          </cell>
        </row>
        <row r="11484">
          <cell r="A11484" t="str">
            <v>fes_c</v>
          </cell>
          <cell r="B11484" t="str">
            <v>fes</v>
          </cell>
          <cell r="C11484" t="str">
            <v>Corrinoid Fe-S protein</v>
          </cell>
        </row>
        <row r="11485">
          <cell r="A11485" t="str">
            <v>gccoa_c</v>
          </cell>
          <cell r="B11485" t="str">
            <v>gccoa</v>
          </cell>
          <cell r="C11485" t="str">
            <v>Glutaconyl-CoA</v>
          </cell>
        </row>
        <row r="11486">
          <cell r="A11486" t="str">
            <v>isocap_c</v>
          </cell>
          <cell r="B11486" t="str">
            <v>isocap</v>
          </cell>
          <cell r="C11486" t="str">
            <v>Isocaproate</v>
          </cell>
        </row>
        <row r="11487">
          <cell r="A11487" t="str">
            <v>m2bcoa_c</v>
          </cell>
          <cell r="B11487" t="str">
            <v>m2bcoa</v>
          </cell>
          <cell r="C11487" t="str">
            <v>2-methylbutanoyl-CoA</v>
          </cell>
        </row>
        <row r="11488">
          <cell r="A11488" t="str">
            <v>lacgth_c</v>
          </cell>
          <cell r="B11488" t="str">
            <v>lacgth</v>
          </cell>
          <cell r="C11488" t="str">
            <v>S-lactoyl-glutathione</v>
          </cell>
        </row>
        <row r="11489">
          <cell r="A11489" t="str">
            <v>acb_c</v>
          </cell>
          <cell r="B11489" t="str">
            <v>acb</v>
          </cell>
          <cell r="C11489" t="str">
            <v>Adenosyl-cobyrate</v>
          </cell>
        </row>
        <row r="11490">
          <cell r="A11490" t="str">
            <v>cdpg_e</v>
          </cell>
          <cell r="B11490" t="str">
            <v>cdpg</v>
          </cell>
          <cell r="C11490" t="str">
            <v>Cyclic 2,3-bisphospho-D-glycerate</v>
          </cell>
        </row>
        <row r="11491">
          <cell r="A11491" t="str">
            <v>d12h5mtp_c</v>
          </cell>
          <cell r="B11491" t="str">
            <v>d12h5mtp</v>
          </cell>
          <cell r="C11491" t="str">
            <v>5-(methylthio)-2,3-dioxopentyl phosphate</v>
          </cell>
        </row>
        <row r="11492">
          <cell r="A11492" t="str">
            <v>ppac_c</v>
          </cell>
          <cell r="B11492" t="str">
            <v>ppac</v>
          </cell>
          <cell r="C11492" t="str">
            <v>Phosphonoacetate</v>
          </cell>
        </row>
        <row r="11493">
          <cell r="A11493" t="str">
            <v>isobuta_e</v>
          </cell>
          <cell r="B11493" t="str">
            <v>isobuta</v>
          </cell>
          <cell r="C11493" t="str">
            <v>Isobutyric acid</v>
          </cell>
        </row>
        <row r="11494">
          <cell r="A11494" t="str">
            <v>m4po_e</v>
          </cell>
          <cell r="B11494" t="str">
            <v>m4po</v>
          </cell>
          <cell r="C11494" t="str">
            <v>4-methylphenol</v>
          </cell>
        </row>
        <row r="11495">
          <cell r="A11495" t="str">
            <v>aacp_c</v>
          </cell>
          <cell r="B11495" t="str">
            <v>aacp</v>
          </cell>
          <cell r="C11495" t="str">
            <v>Apo[acp]</v>
          </cell>
        </row>
        <row r="11496">
          <cell r="A11496" t="str">
            <v>cbflll_c</v>
          </cell>
          <cell r="B11496" t="str">
            <v>cbflll</v>
          </cell>
          <cell r="C11496" t="str">
            <v>Cobalt-factor III</v>
          </cell>
        </row>
        <row r="11497">
          <cell r="A11497" t="str">
            <v>u45imzc_c</v>
          </cell>
          <cell r="B11497" t="str">
            <v>u45imzc</v>
          </cell>
          <cell r="C11497" t="str">
            <v>4-ureido-5-imidazole carboxylate</v>
          </cell>
        </row>
        <row r="11498">
          <cell r="A11498" t="str">
            <v>udpamagdapaa_c</v>
          </cell>
          <cell r="B11498" t="str">
            <v>udpamagdapaa</v>
          </cell>
          <cell r="C11498" t="str">
            <v>UDP-N-acetylmuramoyl-L-alanyl-D-glutamyl-meso-2,6-diaminopimelyl-D-alanyl-D-alanine</v>
          </cell>
        </row>
        <row r="11499">
          <cell r="A11499" t="str">
            <v>elecacceptred_c</v>
          </cell>
          <cell r="B11499" t="str">
            <v>elecacceptred</v>
          </cell>
          <cell r="C11499" t="str">
            <v>Reduced electron acceptor</v>
          </cell>
        </row>
        <row r="11500">
          <cell r="A11500" t="str">
            <v>tmam_c</v>
          </cell>
          <cell r="B11500" t="str">
            <v>tmam</v>
          </cell>
          <cell r="C11500" t="str">
            <v>Trimethylamine</v>
          </cell>
        </row>
        <row r="11501">
          <cell r="A11501" t="str">
            <v>i4mzo_c</v>
          </cell>
          <cell r="B11501" t="str">
            <v>i4mzo</v>
          </cell>
          <cell r="C11501" t="str">
            <v>4-imidazolone</v>
          </cell>
        </row>
        <row r="11502">
          <cell r="A11502" t="str">
            <v>escul_c</v>
          </cell>
          <cell r="B11502" t="str">
            <v>escul</v>
          </cell>
          <cell r="C11502" t="str">
            <v>Esculin</v>
          </cell>
        </row>
        <row r="11503">
          <cell r="A11503" t="str">
            <v>isocapcoa_c</v>
          </cell>
          <cell r="B11503" t="str">
            <v>isocapcoa</v>
          </cell>
          <cell r="C11503" t="str">
            <v>2-Isocaproyl-CoA</v>
          </cell>
        </row>
        <row r="11504">
          <cell r="A11504" t="str">
            <v>fgly_c</v>
          </cell>
          <cell r="B11504" t="str">
            <v>fgly</v>
          </cell>
          <cell r="C11504" t="str">
            <v>Formimino-glycine</v>
          </cell>
        </row>
        <row r="11505">
          <cell r="A11505" t="str">
            <v>ham_e</v>
          </cell>
          <cell r="B11505" t="str">
            <v>ham</v>
          </cell>
          <cell r="C11505" t="str">
            <v>Hydroxylamine</v>
          </cell>
        </row>
        <row r="11506">
          <cell r="A11506" t="str">
            <v>cbpcr7_c</v>
          </cell>
          <cell r="B11506" t="str">
            <v>cbpcr7</v>
          </cell>
          <cell r="C11506" t="str">
            <v>Cobalt-precorrin-7</v>
          </cell>
        </row>
        <row r="11507">
          <cell r="A11507" t="str">
            <v>cbpcr8x_c</v>
          </cell>
          <cell r="B11507" t="str">
            <v>cbpcr8x</v>
          </cell>
          <cell r="C11507" t="str">
            <v>Cobalt-precorrin-8x</v>
          </cell>
        </row>
        <row r="11508">
          <cell r="A11508" t="str">
            <v>pbng_c</v>
          </cell>
          <cell r="B11508" t="str">
            <v>pbng</v>
          </cell>
          <cell r="C11508" t="str">
            <v>Porphobilinogen</v>
          </cell>
        </row>
        <row r="11509">
          <cell r="A11509" t="str">
            <v>prpnte_c</v>
          </cell>
          <cell r="B11509" t="str">
            <v>prpnte</v>
          </cell>
          <cell r="C11509" t="str">
            <v>Propanoate</v>
          </cell>
        </row>
        <row r="11510">
          <cell r="A11510" t="str">
            <v>cmylphosph_c</v>
          </cell>
          <cell r="B11510" t="str">
            <v>cmylphosph</v>
          </cell>
          <cell r="C11510" t="str">
            <v>Carbamoyl phosphate</v>
          </cell>
        </row>
        <row r="11511">
          <cell r="A11511" t="str">
            <v>ncmylasp_c</v>
          </cell>
          <cell r="B11511" t="str">
            <v>ncmylasp</v>
          </cell>
          <cell r="C11511" t="str">
            <v>N-carbamoyl-L-aspartate</v>
          </cell>
        </row>
        <row r="11512">
          <cell r="A11512" t="str">
            <v>h3octacp_c</v>
          </cell>
          <cell r="B11512" t="str">
            <v>h3octacp</v>
          </cell>
          <cell r="C11512" t="str">
            <v>(3R)-3-hydroxyoctanoyl-[acp]</v>
          </cell>
        </row>
        <row r="11513">
          <cell r="A11513" t="str">
            <v>d3odecacp_c</v>
          </cell>
          <cell r="B11513" t="str">
            <v>d3odecacp</v>
          </cell>
          <cell r="C11513" t="str">
            <v>(3R)-3-hydroxydodecanoyl-[acp]</v>
          </cell>
        </row>
        <row r="11514">
          <cell r="A11514" t="str">
            <v>h3excoa_c</v>
          </cell>
          <cell r="B11514" t="str">
            <v>h3excoa</v>
          </cell>
          <cell r="C11514" t="str">
            <v>(S)-Hydroxyhexanoyl-CoA</v>
          </cell>
        </row>
        <row r="11515">
          <cell r="A11515" t="str">
            <v>p3almcoa_c</v>
          </cell>
          <cell r="B11515" t="str">
            <v>p3almcoa</v>
          </cell>
          <cell r="C11515" t="str">
            <v>(S)-3-Hydroxyhexadecanoyl-CoA</v>
          </cell>
        </row>
        <row r="11516">
          <cell r="A11516" t="str">
            <v>o3xopalmacp_c</v>
          </cell>
          <cell r="B11516" t="str">
            <v>o3xopalmacp</v>
          </cell>
          <cell r="C11516" t="str">
            <v>3-oxo-palmitoyl-[acp]</v>
          </cell>
        </row>
        <row r="11517">
          <cell r="A11517" t="str">
            <v>oxo3hexcoa_c</v>
          </cell>
          <cell r="B11517" t="str">
            <v>oxo3hexcoa</v>
          </cell>
          <cell r="C11517" t="str">
            <v>3-Oxohexanoyl-CoA|3-Ketohexanoyl-CoA</v>
          </cell>
        </row>
        <row r="11518">
          <cell r="A11518" t="str">
            <v>oxo3myristcoa_c</v>
          </cell>
          <cell r="B11518" t="str">
            <v>oxo3myristcoa</v>
          </cell>
          <cell r="C11518" t="str">
            <v>3-oxo-myristoyl-coa</v>
          </cell>
        </row>
        <row r="11519">
          <cell r="A11519" t="str">
            <v>but2encoa_c</v>
          </cell>
          <cell r="B11519" t="str">
            <v>but2encoa</v>
          </cell>
          <cell r="C11519" t="str">
            <v>But-2-enoyl-coa</v>
          </cell>
        </row>
        <row r="11520">
          <cell r="A11520" t="str">
            <v>thex2encoa_c</v>
          </cell>
          <cell r="B11520" t="str">
            <v>thex2encoa</v>
          </cell>
          <cell r="C11520" t="str">
            <v>Trans hex-2-enoyl-coa</v>
          </cell>
        </row>
        <row r="11521">
          <cell r="A11521" t="str">
            <v>toct2encoa_c</v>
          </cell>
          <cell r="B11521" t="str">
            <v>toct2encoa</v>
          </cell>
          <cell r="C11521" t="str">
            <v>Trans oct-2-enoyl-coa</v>
          </cell>
        </row>
        <row r="11522">
          <cell r="A11522" t="str">
            <v>dec22encoa_c</v>
          </cell>
          <cell r="B11522" t="str">
            <v>dec22encoa</v>
          </cell>
          <cell r="C11522" t="str">
            <v>(2E)-dec-2-enoyl-coa</v>
          </cell>
        </row>
        <row r="11523">
          <cell r="A11523" t="str">
            <v>thexdecenoylcoa_c</v>
          </cell>
          <cell r="B11523" t="str">
            <v>thexdecenoylcoa</v>
          </cell>
          <cell r="C11523" t="str">
            <v>Trans hexadecenoyl-coa</v>
          </cell>
        </row>
        <row r="11524">
          <cell r="A11524" t="str">
            <v>acacp_c</v>
          </cell>
          <cell r="B11524" t="str">
            <v>acacp</v>
          </cell>
          <cell r="C11524" t="str">
            <v>Acetyl acyl-carrier protein</v>
          </cell>
        </row>
        <row r="11525">
          <cell r="A11525" t="str">
            <v>tet1decg3p_c</v>
          </cell>
          <cell r="B11525" t="str">
            <v>tet1decg3p</v>
          </cell>
          <cell r="C11525" t="str">
            <v>1-tetradecanoyl-sn-glycerol 3-phosphate</v>
          </cell>
        </row>
        <row r="11526">
          <cell r="A11526" t="str">
            <v>dtet12radecg3p_c</v>
          </cell>
          <cell r="B11526" t="str">
            <v>dtet12radecg3p</v>
          </cell>
          <cell r="C11526" t="str">
            <v>1,2-ditetradecanoyl-sn-glycerol 3-phosphate</v>
          </cell>
        </row>
        <row r="11527">
          <cell r="A11527" t="str">
            <v>di12octdecg3p_c</v>
          </cell>
          <cell r="B11527" t="str">
            <v>di12octdecg3p</v>
          </cell>
          <cell r="C11527" t="str">
            <v>1,2-dioctadecanoyl-sn-glycerol 3-phosphate</v>
          </cell>
        </row>
        <row r="11528">
          <cell r="A11528" t="str">
            <v>cdpdtetdecglc_c</v>
          </cell>
          <cell r="B11528" t="str">
            <v>cdpdtetdecglc</v>
          </cell>
          <cell r="C11528" t="str">
            <v>CDP-1,2-ditetradecanoylglycerol</v>
          </cell>
        </row>
        <row r="11529">
          <cell r="A11529" t="str">
            <v>strphglc_c</v>
          </cell>
          <cell r="B11529" t="str">
            <v>strphglc</v>
          </cell>
          <cell r="C11529" t="str">
            <v>Stearoyllysylphophatidylglycerol</v>
          </cell>
        </row>
        <row r="11530">
          <cell r="A11530" t="str">
            <v>selencysthne_c</v>
          </cell>
          <cell r="B11530" t="str">
            <v>selencysthne</v>
          </cell>
          <cell r="C11530" t="str">
            <v>L-selenocystathionine</v>
          </cell>
        </row>
        <row r="11531">
          <cell r="A11531" t="str">
            <v>selprotein_c</v>
          </cell>
          <cell r="B11531" t="str">
            <v>selprotein</v>
          </cell>
          <cell r="C11531" t="str">
            <v>Selenoprotein</v>
          </cell>
        </row>
        <row r="11532">
          <cell r="A11532" t="str">
            <v>12dgr180_e</v>
          </cell>
          <cell r="B11532" t="str">
            <v>12dgr180</v>
          </cell>
          <cell r="C11532" t="str">
            <v>1,2-Diacyl-sn-glycerol (dioctadecanoyl, n-C18:0)</v>
          </cell>
        </row>
        <row r="11533">
          <cell r="A11533" t="str">
            <v>1p2cbxl_c</v>
          </cell>
          <cell r="B11533" t="str">
            <v>1p2cbxl</v>
          </cell>
          <cell r="C11533" t="str">
            <v>1-Pyrroline-2-carboxylate</v>
          </cell>
        </row>
        <row r="11534">
          <cell r="A11534" t="str">
            <v>1py4h3c_c</v>
          </cell>
          <cell r="B11534" t="str">
            <v>1py4h3c</v>
          </cell>
          <cell r="C11534" t="str">
            <v>1 pyrroline 4 hydroxy 2 carboxylate</v>
          </cell>
        </row>
        <row r="11535">
          <cell r="A11535" t="str">
            <v>25dkglcn_p</v>
          </cell>
          <cell r="B11535" t="str">
            <v>25dkglcn</v>
          </cell>
          <cell r="C11535" t="str">
            <v>2,5-diketo-D-gluconate</v>
          </cell>
        </row>
        <row r="11536">
          <cell r="A11536" t="str">
            <v>2m35mdntha_e</v>
          </cell>
          <cell r="B11536" t="str">
            <v>2m35mdntha</v>
          </cell>
          <cell r="C11536" t="str">
            <v>N  2 methyl 3 5 dinitrophenyl  4 methyl 3 5 dinitroaniline</v>
          </cell>
        </row>
        <row r="11537">
          <cell r="A11537" t="str">
            <v>34dhphe_p</v>
          </cell>
          <cell r="B11537" t="str">
            <v>34dhphe</v>
          </cell>
          <cell r="C11537" t="str">
            <v>3,4-Dihydroxy-L-phenylalanine</v>
          </cell>
        </row>
        <row r="11538">
          <cell r="A11538" t="str">
            <v>35dnta_c</v>
          </cell>
          <cell r="B11538" t="str">
            <v>35dnta</v>
          </cell>
          <cell r="C11538" t="str">
            <v>N N bis 3 5 dinitrotolyl  amine</v>
          </cell>
        </row>
        <row r="11539">
          <cell r="A11539" t="str">
            <v>3h4atb_e</v>
          </cell>
          <cell r="B11539" t="str">
            <v>3h4atb</v>
          </cell>
          <cell r="C11539" t="str">
            <v>3 Hydroxy 4 acetylthiobutanoic acid</v>
          </cell>
        </row>
        <row r="11540">
          <cell r="A11540" t="str">
            <v>3hhd58coa_c</v>
          </cell>
          <cell r="B11540" t="str">
            <v>3hhd58coa</v>
          </cell>
          <cell r="C11540" t="str">
            <v>S  3 hydroxy  5Z 8Z  tetradecedienyl CoA</v>
          </cell>
        </row>
        <row r="11541">
          <cell r="A11541" t="str">
            <v>3hhdccoa_c</v>
          </cell>
          <cell r="B11541" t="str">
            <v>3hhdccoa</v>
          </cell>
          <cell r="C11541" t="str">
            <v>S  3 hydroxy  9Z  hexadecenyl CoA</v>
          </cell>
        </row>
        <row r="11542">
          <cell r="A11542" t="str">
            <v>3hpbcoa_c</v>
          </cell>
          <cell r="B11542" t="str">
            <v>3hpbcoa</v>
          </cell>
          <cell r="C11542" t="str">
            <v>3 Hydroxyphenylbutanoyl CoA</v>
          </cell>
        </row>
        <row r="11543">
          <cell r="A11543" t="str">
            <v>3hpnonacoa_c</v>
          </cell>
          <cell r="B11543" t="str">
            <v>3hpnonacoa</v>
          </cell>
          <cell r="C11543" t="str">
            <v>3 Hydroxyphenylnonanoyl CoA</v>
          </cell>
        </row>
        <row r="11544">
          <cell r="A11544" t="str">
            <v>3o6athcoa_c</v>
          </cell>
          <cell r="B11544" t="str">
            <v>3o6athcoa</v>
          </cell>
          <cell r="C11544" t="str">
            <v>3 Oxo 6 acetylthiohexanoyl CoA</v>
          </cell>
        </row>
        <row r="11545">
          <cell r="A11545" t="str">
            <v>3odd6coa_c</v>
          </cell>
          <cell r="B11545" t="str">
            <v>3odd6coa</v>
          </cell>
          <cell r="C11545" t="str">
            <v>3 oxo  6Z  dodedecenyl CoA</v>
          </cell>
        </row>
        <row r="11546">
          <cell r="A11546" t="str">
            <v>3oddccoa_c</v>
          </cell>
          <cell r="B11546" t="str">
            <v>3oddccoa</v>
          </cell>
          <cell r="C11546" t="str">
            <v>3 oxo  5Z  dodedecenyl CoA</v>
          </cell>
        </row>
        <row r="11547">
          <cell r="A11547" t="str">
            <v>3ohd710coa_c</v>
          </cell>
          <cell r="B11547" t="str">
            <v>3ohd710coa</v>
          </cell>
          <cell r="C11547" t="str">
            <v>3-oxo-(7Z,10Z)-hexadecadienoyl-CoA</v>
          </cell>
        </row>
        <row r="11548">
          <cell r="A11548" t="str">
            <v>3opnonacoa_c</v>
          </cell>
          <cell r="B11548" t="str">
            <v>3opnonacoa</v>
          </cell>
          <cell r="C11548" t="str">
            <v>3 Oxophenylnonanoyl CoA</v>
          </cell>
        </row>
        <row r="11549">
          <cell r="A11549" t="str">
            <v>3opoctacoa_c</v>
          </cell>
          <cell r="B11549" t="str">
            <v>3opoctacoa</v>
          </cell>
          <cell r="C11549" t="str">
            <v>3 Oxophenyloctanoyl CoA</v>
          </cell>
        </row>
        <row r="11550">
          <cell r="A11550" t="str">
            <v>3otdccoa_c</v>
          </cell>
          <cell r="B11550" t="str">
            <v>3otdccoa</v>
          </cell>
          <cell r="C11550" t="str">
            <v>3 oxo  7Z  tetradecenyl CoA</v>
          </cell>
        </row>
        <row r="11551">
          <cell r="A11551" t="str">
            <v>3ovacccoa_c</v>
          </cell>
          <cell r="B11551" t="str">
            <v>3ovacccoa</v>
          </cell>
          <cell r="C11551" t="str">
            <v>3 oxo  11Z  octadecenyl CoA</v>
          </cell>
        </row>
        <row r="11552">
          <cell r="A11552" t="str">
            <v>4hpro_DC_e</v>
          </cell>
          <cell r="B11552" t="str">
            <v>4hpro_DC</v>
          </cell>
          <cell r="C11552" t="str">
            <v>Cis 4 Hydroxy D proline</v>
          </cell>
        </row>
        <row r="11553">
          <cell r="A11553" t="str">
            <v>5aptn_e</v>
          </cell>
          <cell r="B11553" t="str">
            <v>5aptn</v>
          </cell>
          <cell r="C11553" t="str">
            <v>5-Aminopentanoate</v>
          </cell>
        </row>
        <row r="11554">
          <cell r="A11554" t="str">
            <v>5mcsn_e</v>
          </cell>
          <cell r="B11554" t="str">
            <v>5mcsn</v>
          </cell>
          <cell r="C11554" t="str">
            <v>5-Methylcytosine</v>
          </cell>
        </row>
        <row r="11555">
          <cell r="A11555" t="str">
            <v>6atha_e</v>
          </cell>
          <cell r="B11555" t="str">
            <v>6atha</v>
          </cell>
          <cell r="C11555" t="str">
            <v>6 acetylthiohexanoic acid</v>
          </cell>
        </row>
        <row r="11556">
          <cell r="A11556" t="str">
            <v>C100pPHA_c</v>
          </cell>
          <cell r="B11556" t="str">
            <v>C100pPHA</v>
          </cell>
          <cell r="C11556" t="str">
            <v>C100 Medium chain length phenyl Polyhydroxyalkanoate</v>
          </cell>
        </row>
        <row r="11557">
          <cell r="A11557" t="str">
            <v>C141d5PHA_c</v>
          </cell>
          <cell r="B11557" t="str">
            <v>C141d5PHA</v>
          </cell>
          <cell r="C11557" t="str">
            <v>C141 Medium chain length Polyhydroxyalkanoate  cis 5</v>
          </cell>
        </row>
        <row r="11558">
          <cell r="A11558" t="str">
            <v>C50pPHA_c</v>
          </cell>
          <cell r="B11558" t="str">
            <v>C50pPHA</v>
          </cell>
          <cell r="C11558" t="str">
            <v>C50 Medium chaing length phenyl Polyhydroxyalkanoate</v>
          </cell>
        </row>
        <row r="11559">
          <cell r="A11559" t="str">
            <v>C60atPHA_c</v>
          </cell>
          <cell r="B11559" t="str">
            <v>C60atPHA</v>
          </cell>
          <cell r="C11559" t="str">
            <v>C60 Medium chain length acetylthio Polyhydroxyalkanoate</v>
          </cell>
        </row>
        <row r="11560">
          <cell r="A11560" t="str">
            <v>C80aPHA_c</v>
          </cell>
          <cell r="B11560" t="str">
            <v>C80aPHA</v>
          </cell>
          <cell r="C11560" t="str">
            <v>C80 Medium chain length aliphatic Polyhydroxyalkanoate</v>
          </cell>
        </row>
        <row r="11561">
          <cell r="A11561" t="str">
            <v>C90aPHA_c</v>
          </cell>
          <cell r="B11561" t="str">
            <v>C90aPHA</v>
          </cell>
          <cell r="C11561" t="str">
            <v>C90 Medium chain length aliphatic Polyhydroxyalkanoate</v>
          </cell>
        </row>
        <row r="11562">
          <cell r="A11562" t="str">
            <v>C90pPHA_c</v>
          </cell>
          <cell r="B11562" t="str">
            <v>C90pPHA</v>
          </cell>
          <cell r="C11562" t="str">
            <v>C90 Medium chain length phenyl Polyhydroxyalkanoate</v>
          </cell>
        </row>
        <row r="11563">
          <cell r="A11563" t="str">
            <v>Ncarbsar_c</v>
          </cell>
          <cell r="B11563" t="str">
            <v>Ncarbsar</v>
          </cell>
          <cell r="C11563" t="str">
            <v>N Carbamoylsarcosine</v>
          </cell>
        </row>
        <row r="11564">
          <cell r="A11564" t="str">
            <v>Ncbmpts_e</v>
          </cell>
          <cell r="B11564" t="str">
            <v>Ncbmpts</v>
          </cell>
          <cell r="C11564" t="str">
            <v>N-Carbamoylputrescine</v>
          </cell>
        </row>
        <row r="11565">
          <cell r="A11565" t="str">
            <v>R3hdec4coa_c</v>
          </cell>
          <cell r="B11565" t="str">
            <v>R3hdec4coa</v>
          </cell>
          <cell r="C11565" t="str">
            <v xml:space="preserve"> 3 Hydroxy 4Z decenoyl CoA</v>
          </cell>
        </row>
        <row r="11566">
          <cell r="A11566" t="str">
            <v>R3hdec4e_e</v>
          </cell>
          <cell r="B11566" t="str">
            <v>R3hdec4e</v>
          </cell>
          <cell r="C11566" t="str">
            <v xml:space="preserve"> 3 Hydroxy 4Z decenic acid</v>
          </cell>
        </row>
        <row r="11567">
          <cell r="A11567" t="str">
            <v>R_3hcmrs7e_c</v>
          </cell>
          <cell r="B11567" t="str">
            <v>R_3hcmrs7e</v>
          </cell>
          <cell r="C11567" t="str">
            <v xml:space="preserve"> 3 hydroxy cis myristol 7 en</v>
          </cell>
        </row>
        <row r="11568">
          <cell r="A11568" t="str">
            <v>R_3hcmrs7e_p</v>
          </cell>
          <cell r="B11568" t="str">
            <v>R_3hcmrs7e</v>
          </cell>
          <cell r="C11568" t="str">
            <v xml:space="preserve"> 3 hydroxy cis myristol 7 en</v>
          </cell>
        </row>
        <row r="11569">
          <cell r="A11569" t="str">
            <v>R_3hdd6e_c</v>
          </cell>
          <cell r="B11569" t="str">
            <v>R_3hdd6e</v>
          </cell>
          <cell r="C11569" t="str">
            <v xml:space="preserve"> 3 Hydroxydodecanoic 6 en acid</v>
          </cell>
        </row>
        <row r="11570">
          <cell r="A11570" t="str">
            <v>R_3hdd6e_p</v>
          </cell>
          <cell r="B11570" t="str">
            <v>R_3hdd6e</v>
          </cell>
          <cell r="C11570" t="str">
            <v xml:space="preserve"> 3 Hydroxydodecanoic 6 en acid</v>
          </cell>
        </row>
        <row r="11571">
          <cell r="A11571" t="str">
            <v>R_3hhdca_e</v>
          </cell>
          <cell r="B11571" t="str">
            <v>R_3hhdca</v>
          </cell>
          <cell r="C11571" t="str">
            <v xml:space="preserve"> 3 Hydroxyhexadecanoic acid</v>
          </cell>
        </row>
        <row r="11572">
          <cell r="A11572" t="str">
            <v>R_3hhxa_e</v>
          </cell>
          <cell r="B11572" t="str">
            <v>R_3hhxa</v>
          </cell>
          <cell r="C11572" t="str">
            <v xml:space="preserve"> 3 hydroxyhexanoic acid</v>
          </cell>
        </row>
        <row r="11573">
          <cell r="A11573" t="str">
            <v>R_3hocta_e</v>
          </cell>
          <cell r="B11573" t="str">
            <v>R_3hocta</v>
          </cell>
          <cell r="C11573" t="str">
            <v xml:space="preserve"> 3 hydroxyoctanoic acid</v>
          </cell>
        </row>
        <row r="11574">
          <cell r="A11574" t="str">
            <v>R_3hpdecacoa_c</v>
          </cell>
          <cell r="B11574" t="str">
            <v>R_3hpdecacoa</v>
          </cell>
          <cell r="C11574" t="str">
            <v xml:space="preserve"> 3 Hydroxyphenyldecanoyl CoA</v>
          </cell>
        </row>
        <row r="11575">
          <cell r="A11575" t="str">
            <v>R_3hphpcoa_c</v>
          </cell>
          <cell r="B11575" t="str">
            <v>R_3hphpcoa</v>
          </cell>
          <cell r="C11575" t="str">
            <v xml:space="preserve"> 3 Hydroxyphenylheptanoyl CoA</v>
          </cell>
        </row>
        <row r="11576">
          <cell r="A11576" t="str">
            <v>R_3hphxa_e</v>
          </cell>
          <cell r="B11576" t="str">
            <v>R_3hphxa</v>
          </cell>
          <cell r="C11576" t="str">
            <v xml:space="preserve"> 3 Hydroxy 6 phenylhexanoic acid</v>
          </cell>
        </row>
        <row r="11577">
          <cell r="A11577" t="str">
            <v>R_3hphxacoa_c</v>
          </cell>
          <cell r="B11577" t="str">
            <v>R_3hphxacoa</v>
          </cell>
          <cell r="C11577" t="str">
            <v xml:space="preserve"> 3 Hydroxyphenylhexanoyl CoA</v>
          </cell>
        </row>
        <row r="11578">
          <cell r="A11578" t="str">
            <v>R_3hpnona_c</v>
          </cell>
          <cell r="B11578" t="str">
            <v>R_3hpnona</v>
          </cell>
          <cell r="C11578" t="str">
            <v xml:space="preserve"> 3 Hydroxy 9 phenylnonanoic acid</v>
          </cell>
        </row>
        <row r="11579">
          <cell r="A11579" t="str">
            <v>R_3hpnona_p</v>
          </cell>
          <cell r="B11579" t="str">
            <v>R_3hpnona</v>
          </cell>
          <cell r="C11579" t="str">
            <v xml:space="preserve"> 3 Hydroxy 9 phenylnonanoic acid</v>
          </cell>
        </row>
        <row r="11580">
          <cell r="A11580" t="str">
            <v>R_3hpnonacoa_c</v>
          </cell>
          <cell r="B11580" t="str">
            <v>R_3hpnonacoa</v>
          </cell>
          <cell r="C11580" t="str">
            <v xml:space="preserve"> 3 Hydroxyphenylnonanoyl CoA</v>
          </cell>
        </row>
        <row r="11581">
          <cell r="A11581" t="str">
            <v>R_3hpocta_e</v>
          </cell>
          <cell r="B11581" t="str">
            <v>R_3hpocta</v>
          </cell>
          <cell r="C11581" t="str">
            <v xml:space="preserve"> 3 Hydroxy 8 phenyloctanoic acid</v>
          </cell>
        </row>
        <row r="11582">
          <cell r="A11582" t="str">
            <v>R_3hpoctacoa_c</v>
          </cell>
          <cell r="B11582" t="str">
            <v>R_3hpoctacoa</v>
          </cell>
          <cell r="C11582" t="str">
            <v xml:space="preserve"> 3 Hydroxyphenyloctanoyl CoA</v>
          </cell>
        </row>
        <row r="11583">
          <cell r="A11583" t="str">
            <v>R_3hpptcoa_c</v>
          </cell>
          <cell r="B11583" t="str">
            <v>R_3hpptcoa</v>
          </cell>
          <cell r="C11583" t="str">
            <v xml:space="preserve"> 3 Hydroxyphenylpentanoyl CoA</v>
          </cell>
        </row>
        <row r="11584">
          <cell r="A11584" t="str">
            <v>R_3htd58e_e</v>
          </cell>
          <cell r="B11584" t="str">
            <v>R_3htd58e</v>
          </cell>
          <cell r="C11584" t="str">
            <v xml:space="preserve"> 3 hydroxy  5Z 8Z  tetradecedienic acid</v>
          </cell>
        </row>
        <row r="11585">
          <cell r="A11585" t="str">
            <v>R_3htd5e_c</v>
          </cell>
          <cell r="B11585" t="str">
            <v>R_3htd5e</v>
          </cell>
          <cell r="C11585" t="str">
            <v xml:space="preserve"> 3 hydroxy  5Z  tetradecenic acid</v>
          </cell>
        </row>
        <row r="11586">
          <cell r="A11586" t="str">
            <v>R_3htd5e_p</v>
          </cell>
          <cell r="B11586" t="str">
            <v>R_3htd5e</v>
          </cell>
          <cell r="C11586" t="str">
            <v xml:space="preserve"> 3 hydroxy  5Z  tetradecenic acid</v>
          </cell>
        </row>
        <row r="11587">
          <cell r="A11587" t="str">
            <v>R_3httdca_c</v>
          </cell>
          <cell r="B11587" t="str">
            <v>R_3httdca</v>
          </cell>
          <cell r="C11587" t="str">
            <v xml:space="preserve"> 3 Hydroxytetradecanoic acid</v>
          </cell>
        </row>
        <row r="11588">
          <cell r="A11588" t="str">
            <v>R_3httdca_p</v>
          </cell>
          <cell r="B11588" t="str">
            <v>R_3httdca</v>
          </cell>
          <cell r="C11588" t="str">
            <v xml:space="preserve"> 3 Hydroxytetradecanoic acid</v>
          </cell>
        </row>
        <row r="11589">
          <cell r="A11589" t="str">
            <v>alaleu_e</v>
          </cell>
          <cell r="B11589" t="str">
            <v>alaleu</v>
          </cell>
          <cell r="C11589" t="str">
            <v>L alaninylleucine</v>
          </cell>
        </row>
        <row r="11590">
          <cell r="A11590" t="str">
            <v>alathr_e</v>
          </cell>
          <cell r="B11590" t="str">
            <v>alathr</v>
          </cell>
          <cell r="C11590" t="str">
            <v>L alaninylthreonine</v>
          </cell>
        </row>
        <row r="11591">
          <cell r="A11591" t="str">
            <v>algac_MG_14_p</v>
          </cell>
          <cell r="B11591" t="str">
            <v>algac_MG_14</v>
          </cell>
          <cell r="C11591" t="str">
            <v>Alginate  1 units of acetylated D mannuronate and 4 units ofL guluronate</v>
          </cell>
        </row>
        <row r="11592">
          <cell r="A11592" t="str">
            <v>algac_MG_23_e</v>
          </cell>
          <cell r="B11592" t="str">
            <v>algac_MG_23</v>
          </cell>
          <cell r="C11592" t="str">
            <v>Alginate  2 units of acetylated D mannuronate and 3 units ofL guluronate</v>
          </cell>
        </row>
        <row r="11593">
          <cell r="A11593" t="str">
            <v>apc_c</v>
          </cell>
          <cell r="B11593" t="str">
            <v>apc</v>
          </cell>
          <cell r="C11593" t="str">
            <v>Ampicillin</v>
          </cell>
        </row>
        <row r="11594">
          <cell r="A11594" t="str">
            <v>apc_p</v>
          </cell>
          <cell r="B11594" t="str">
            <v>apc</v>
          </cell>
          <cell r="C11594" t="str">
            <v>Ampicillin</v>
          </cell>
        </row>
        <row r="11595">
          <cell r="A11595" t="str">
            <v>balagly_e</v>
          </cell>
          <cell r="B11595" t="str">
            <v>balagly</v>
          </cell>
          <cell r="C11595" t="str">
            <v>Beta alanylL glycine</v>
          </cell>
        </row>
        <row r="11596">
          <cell r="A11596" t="str">
            <v>balaleu_c</v>
          </cell>
          <cell r="B11596" t="str">
            <v>balaleu</v>
          </cell>
          <cell r="C11596" t="str">
            <v>Beta alanylL leucine</v>
          </cell>
        </row>
        <row r="11597">
          <cell r="A11597" t="str">
            <v>balaleu_p</v>
          </cell>
          <cell r="B11597" t="str">
            <v>balaleu</v>
          </cell>
          <cell r="C11597" t="str">
            <v>Beta alanylL leucine</v>
          </cell>
        </row>
        <row r="11598">
          <cell r="A11598" t="str">
            <v>bglyg4n_c</v>
          </cell>
          <cell r="B11598" t="str">
            <v>bglyg4n</v>
          </cell>
          <cell r="C11598" t="str">
            <v>Branching glycogen  4 units</v>
          </cell>
        </row>
        <row r="11599">
          <cell r="A11599" t="str">
            <v>btd_RR_p</v>
          </cell>
          <cell r="B11599" t="str">
            <v>btd_RR</v>
          </cell>
          <cell r="C11599" t="str">
            <v xml:space="preserve"> R R  2 3 Butanediol C4H10O2</v>
          </cell>
        </row>
        <row r="11600">
          <cell r="A11600" t="str">
            <v>cinmcoa_c</v>
          </cell>
          <cell r="B11600" t="str">
            <v>cinmcoa</v>
          </cell>
          <cell r="C11600" t="str">
            <v>Cinnamoyl CoA</v>
          </cell>
        </row>
        <row r="11601">
          <cell r="A11601" t="str">
            <v>cmcbtt_p</v>
          </cell>
          <cell r="B11601" t="str">
            <v>cmcbtt</v>
          </cell>
          <cell r="C11601" t="str">
            <v>Carboxymycobactin T (R=8 carbon, final carbon is carboxyl group)</v>
          </cell>
        </row>
        <row r="11602">
          <cell r="A11602" t="str">
            <v>creat_p</v>
          </cell>
          <cell r="B11602" t="str">
            <v>creat</v>
          </cell>
          <cell r="C11602" t="str">
            <v>Creatine cytosol</v>
          </cell>
        </row>
        <row r="11603">
          <cell r="A11603" t="str">
            <v>crtn_p</v>
          </cell>
          <cell r="B11603" t="str">
            <v>crtn</v>
          </cell>
          <cell r="C11603" t="str">
            <v>Creatinine</v>
          </cell>
        </row>
        <row r="11604">
          <cell r="A11604" t="str">
            <v>dd_3_6_coa_c</v>
          </cell>
          <cell r="B11604" t="str">
            <v>dd_3_6_coa</v>
          </cell>
          <cell r="C11604" t="str">
            <v>Cis cis dodedec 3 6 dienoyl CoA</v>
          </cell>
        </row>
        <row r="11605">
          <cell r="A11605" t="str">
            <v>dmgly_p</v>
          </cell>
          <cell r="B11605" t="str">
            <v>dmgly</v>
          </cell>
          <cell r="C11605" t="str">
            <v>N,N-Dimethylglycine</v>
          </cell>
        </row>
        <row r="11606">
          <cell r="A11606" t="str">
            <v>dmso2_e</v>
          </cell>
          <cell r="B11606" t="str">
            <v>dmso2</v>
          </cell>
          <cell r="C11606" t="str">
            <v>Dimethyl sulfone</v>
          </cell>
        </row>
        <row r="11607">
          <cell r="A11607" t="str">
            <v>ecto__L_c</v>
          </cell>
          <cell r="B11607" t="str">
            <v>ecto__L</v>
          </cell>
          <cell r="C11607" t="str">
            <v>L Ectoine</v>
          </cell>
        </row>
        <row r="11608">
          <cell r="A11608" t="str">
            <v>ecto__L_p</v>
          </cell>
          <cell r="B11608" t="str">
            <v>ecto__L</v>
          </cell>
          <cell r="C11608" t="str">
            <v>L Ectoine</v>
          </cell>
        </row>
        <row r="11609">
          <cell r="A11609" t="str">
            <v>fcmcbtt_p</v>
          </cell>
          <cell r="B11609" t="str">
            <v>fcmcbtt</v>
          </cell>
          <cell r="C11609" t="str">
            <v>Iron(III) chelated carboxymycobactin T (R=8 carbon, final carbon is carboxyl group)</v>
          </cell>
        </row>
        <row r="11610">
          <cell r="A11610" t="str">
            <v>fe3mcbtt_c</v>
          </cell>
          <cell r="B11610" t="str">
            <v>fe3mcbtt</v>
          </cell>
          <cell r="C11610" t="str">
            <v>Iron III  chelated mycobactin T</v>
          </cell>
        </row>
        <row r="11611">
          <cell r="A11611" t="str">
            <v>fe3mcbtt_p</v>
          </cell>
          <cell r="B11611" t="str">
            <v>fe3mcbtt</v>
          </cell>
          <cell r="C11611" t="str">
            <v>Iron III  chelated mycobactin T</v>
          </cell>
        </row>
        <row r="11612">
          <cell r="A11612" t="str">
            <v>fe3pyovd_kt_e</v>
          </cell>
          <cell r="B11612" t="str">
            <v>fe3pyovd_kt</v>
          </cell>
          <cell r="C11612" t="str">
            <v>Ferrypyoverdine  P putida KT2440 specific</v>
          </cell>
        </row>
        <row r="11613">
          <cell r="A11613" t="str">
            <v>ggbdapal_c</v>
          </cell>
          <cell r="B11613" t="str">
            <v>ggbdapal</v>
          </cell>
          <cell r="C11613" t="str">
            <v>Gamma glutamyl delta Aminopentanal</v>
          </cell>
        </row>
        <row r="11614">
          <cell r="A11614" t="str">
            <v>glycol_p</v>
          </cell>
          <cell r="B11614" t="str">
            <v>glycol</v>
          </cell>
          <cell r="C11614" t="str">
            <v>Glycol</v>
          </cell>
        </row>
        <row r="11615">
          <cell r="A11615" t="str">
            <v>glyg4n_c</v>
          </cell>
          <cell r="B11615" t="str">
            <v>glyg4n</v>
          </cell>
          <cell r="C11615" t="str">
            <v>Glycogen  4 units  linear glucan</v>
          </cell>
        </row>
        <row r="11616">
          <cell r="A11616" t="str">
            <v>glyglu_c</v>
          </cell>
          <cell r="B11616" t="str">
            <v>glyglu</v>
          </cell>
          <cell r="C11616" t="str">
            <v>L glycinylglutamate</v>
          </cell>
        </row>
        <row r="11617">
          <cell r="A11617" t="str">
            <v>glyglu_p</v>
          </cell>
          <cell r="B11617" t="str">
            <v>glyglu</v>
          </cell>
          <cell r="C11617" t="str">
            <v>L glycinylglutamate</v>
          </cell>
        </row>
        <row r="11618">
          <cell r="A11618" t="str">
            <v>gudptn_c</v>
          </cell>
          <cell r="B11618" t="str">
            <v>gudptn</v>
          </cell>
          <cell r="C11618" t="str">
            <v>Delta Guanidinovaleric acid</v>
          </cell>
        </row>
        <row r="11619">
          <cell r="A11619" t="str">
            <v>gudptn_p</v>
          </cell>
          <cell r="B11619" t="str">
            <v>gudptn</v>
          </cell>
          <cell r="C11619" t="str">
            <v>Delta Guanidinovaleric acid</v>
          </cell>
        </row>
        <row r="11620">
          <cell r="A11620" t="str">
            <v>hdd7coa_c</v>
          </cell>
          <cell r="B11620" t="str">
            <v>hdd7coa</v>
          </cell>
          <cell r="C11620" t="str">
            <v>Cis hexadec 7 enoyl CoA</v>
          </cell>
        </row>
        <row r="11621">
          <cell r="A11621" t="str">
            <v>hishis_c</v>
          </cell>
          <cell r="B11621" t="str">
            <v>hishis</v>
          </cell>
          <cell r="C11621" t="str">
            <v>L histidinylhistidine</v>
          </cell>
        </row>
        <row r="11622">
          <cell r="A11622" t="str">
            <v>hishis_p</v>
          </cell>
          <cell r="B11622" t="str">
            <v>hishis</v>
          </cell>
          <cell r="C11622" t="str">
            <v>L histidinylhistidine</v>
          </cell>
        </row>
        <row r="11623">
          <cell r="A11623" t="str">
            <v>icore_kt_c</v>
          </cell>
          <cell r="B11623" t="str">
            <v>icore_kt</v>
          </cell>
          <cell r="C11623" t="str">
            <v>Carbamyl    7  phospho    6  heptosyl  1 3  ethanolaminephosphate    2  phospho   4  heptosyl  1 5  kdo2 lipidA</v>
          </cell>
        </row>
        <row r="11624">
          <cell r="A11624" t="str">
            <v>leu__D_c</v>
          </cell>
          <cell r="B11624" t="str">
            <v>leu__D</v>
          </cell>
          <cell r="C11624" t="str">
            <v>D Leucine</v>
          </cell>
        </row>
        <row r="11625">
          <cell r="A11625" t="str">
            <v>leu__D_p</v>
          </cell>
          <cell r="B11625" t="str">
            <v>leu__D</v>
          </cell>
          <cell r="C11625" t="str">
            <v>D Leucine</v>
          </cell>
        </row>
        <row r="11626">
          <cell r="A11626" t="str">
            <v>lipa_kt_c</v>
          </cell>
          <cell r="B11626" t="str">
            <v>lipa_kt</v>
          </cell>
          <cell r="C11626" t="str">
            <v>KDO 2  lipid  A</v>
          </cell>
        </row>
        <row r="11627">
          <cell r="A11627" t="str">
            <v>lipa_oh_c</v>
          </cell>
          <cell r="B11627" t="str">
            <v>lipa_oh</v>
          </cell>
          <cell r="C11627" t="str">
            <v>KDO 2  lipid  A  hydroxilated</v>
          </cell>
        </row>
        <row r="11628">
          <cell r="A11628" t="str">
            <v>lipidAds_kt_c</v>
          </cell>
          <cell r="B11628" t="str">
            <v>lipidAds_kt</v>
          </cell>
          <cell r="C11628" t="str">
            <v>Lipid A Disaccharide  dode and decanoyl</v>
          </cell>
        </row>
        <row r="11629">
          <cell r="A11629" t="str">
            <v>lpspput_p</v>
          </cell>
          <cell r="B11629" t="str">
            <v>lpspput</v>
          </cell>
          <cell r="C11629" t="str">
            <v>Lipopolysacharide  LPS  from P putida KT2440</v>
          </cell>
        </row>
        <row r="11630">
          <cell r="A11630" t="str">
            <v>manur_p</v>
          </cell>
          <cell r="B11630" t="str">
            <v>manur</v>
          </cell>
          <cell r="C11630" t="str">
            <v>D Mannuronate</v>
          </cell>
        </row>
        <row r="11631">
          <cell r="A11631" t="str">
            <v>nona_p</v>
          </cell>
          <cell r="B11631" t="str">
            <v>nona</v>
          </cell>
          <cell r="C11631" t="str">
            <v>Nonanoate C9H17O2</v>
          </cell>
        </row>
        <row r="11632">
          <cell r="A11632" t="str">
            <v>o_xyl_e</v>
          </cell>
          <cell r="B11632" t="str">
            <v>o_xyl</v>
          </cell>
          <cell r="C11632" t="str">
            <v>O methyltoluene</v>
          </cell>
        </row>
        <row r="11633">
          <cell r="A11633" t="str">
            <v>ode2coa_c</v>
          </cell>
          <cell r="B11633" t="str">
            <v>ode2coa</v>
          </cell>
          <cell r="C11633" t="str">
            <v>Trans cis octadeca 2 9 dienoyl CoA</v>
          </cell>
        </row>
        <row r="11634">
          <cell r="A11634" t="str">
            <v>pald_c</v>
          </cell>
          <cell r="B11634" t="str">
            <v>pald</v>
          </cell>
          <cell r="C11634" t="str">
            <v>Phosphonoacetaldehyde</v>
          </cell>
        </row>
        <row r="11635">
          <cell r="A11635" t="str">
            <v>pb2_c</v>
          </cell>
          <cell r="B11635" t="str">
            <v>pb2</v>
          </cell>
          <cell r="C11635" t="str">
            <v>Pb2</v>
          </cell>
        </row>
        <row r="11636">
          <cell r="A11636" t="str">
            <v>pb2_p</v>
          </cell>
          <cell r="B11636" t="str">
            <v>pb2</v>
          </cell>
          <cell r="C11636" t="str">
            <v>Pb2</v>
          </cell>
        </row>
        <row r="11637">
          <cell r="A11637" t="str">
            <v>pdcacoa_c</v>
          </cell>
          <cell r="B11637" t="str">
            <v>pdcacoa</v>
          </cell>
          <cell r="C11637" t="str">
            <v>Phenyl Decanoyl CoA  Phe C100CoA</v>
          </cell>
        </row>
        <row r="11638">
          <cell r="A11638" t="str">
            <v>pg181e11_p</v>
          </cell>
          <cell r="B11638" t="str">
            <v>pg181e11</v>
          </cell>
          <cell r="C11638" t="str">
            <v>Phosphatidylglycerol  dioctadec  11E  enoyl  n C181  trans</v>
          </cell>
        </row>
        <row r="11639">
          <cell r="A11639" t="str">
            <v>phenona_p</v>
          </cell>
          <cell r="B11639" t="str">
            <v>phenona</v>
          </cell>
          <cell r="C11639" t="str">
            <v>9 Phenylnonanoic acid</v>
          </cell>
        </row>
        <row r="11640">
          <cell r="A11640" t="str">
            <v>phept_p</v>
          </cell>
          <cell r="B11640" t="str">
            <v>phept</v>
          </cell>
          <cell r="C11640" t="str">
            <v>5 phenylvaleric acid</v>
          </cell>
        </row>
        <row r="11641">
          <cell r="A11641" t="str">
            <v>phpcoa_c</v>
          </cell>
          <cell r="B11641" t="str">
            <v>phpcoa</v>
          </cell>
          <cell r="C11641" t="str">
            <v>Phenyl Heptanoyl CoA Phe C70CoA</v>
          </cell>
        </row>
        <row r="11642">
          <cell r="A11642" t="str">
            <v>phxacoa_c</v>
          </cell>
          <cell r="B11642" t="str">
            <v>phxacoa</v>
          </cell>
          <cell r="C11642" t="str">
            <v>Phenyl Hexanoyl CoA  Phe C160CoA</v>
          </cell>
        </row>
        <row r="11643">
          <cell r="A11643" t="str">
            <v>ppi50_c</v>
          </cell>
          <cell r="B11643" t="str">
            <v>ppi50</v>
          </cell>
          <cell r="C11643" t="str">
            <v>Polyphosphate 50</v>
          </cell>
        </row>
        <row r="11644">
          <cell r="A11644" t="str">
            <v>ppt2coa_c</v>
          </cell>
          <cell r="B11644" t="str">
            <v>ppt2coa</v>
          </cell>
          <cell r="C11644" t="str">
            <v>Phenyl pent 2 enoyl CoA</v>
          </cell>
        </row>
        <row r="11645">
          <cell r="A11645" t="str">
            <v>prealg_MG_14_e</v>
          </cell>
          <cell r="B11645" t="str">
            <v>prealg_MG_14</v>
          </cell>
          <cell r="C11645" t="str">
            <v>Beta 1 4 glycosidic  1  beta D mannuronic  4L guluronic acid</v>
          </cell>
        </row>
        <row r="11646">
          <cell r="A11646" t="str">
            <v>prealg_MG_23_p</v>
          </cell>
          <cell r="B11646" t="str">
            <v>prealg_MG_23</v>
          </cell>
          <cell r="C11646" t="str">
            <v>Beta 1 4 glycosidic  2  beta D mannuronic  3L guluronic acid</v>
          </cell>
        </row>
        <row r="11647">
          <cell r="A11647" t="str">
            <v>prealgac_M1_p</v>
          </cell>
          <cell r="B11647" t="str">
            <v>prealgac_M1</v>
          </cell>
          <cell r="C11647" t="str">
            <v>Polymer  5 units  of D mannuronate  1units acetylated</v>
          </cell>
        </row>
        <row r="11648">
          <cell r="A11648" t="str">
            <v>pyovd_e</v>
          </cell>
          <cell r="B11648" t="str">
            <v>pyovd</v>
          </cell>
          <cell r="C11648" t="str">
            <v>Pyoverdine</v>
          </cell>
        </row>
        <row r="11649">
          <cell r="A11649" t="str">
            <v>pyovd_kt_p</v>
          </cell>
          <cell r="B11649" t="str">
            <v>pyovd_kt</v>
          </cell>
          <cell r="C11649" t="str">
            <v>Pyoverdine  P putida specific</v>
          </cell>
        </row>
        <row r="11650">
          <cell r="A11650" t="str">
            <v>rhma13unaga_c</v>
          </cell>
          <cell r="B11650" t="str">
            <v>rhma13unaga</v>
          </cell>
          <cell r="C11650" t="str">
            <v>Rhamnosyl alpha 1  3  N acetyl glucosamine undecaprenyl diphosphate</v>
          </cell>
        </row>
        <row r="11651">
          <cell r="A11651" t="str">
            <v>sheme_p</v>
          </cell>
          <cell r="B11651" t="str">
            <v>sheme</v>
          </cell>
          <cell r="C11651" t="str">
            <v>Siroheme C42H36FeN4O16</v>
          </cell>
        </row>
        <row r="11652">
          <cell r="A11652" t="str">
            <v>tag160_e</v>
          </cell>
          <cell r="B11652" t="str">
            <v>tag160</v>
          </cell>
          <cell r="C11652" t="str">
            <v>Triacylglycerol  hexadecanoate</v>
          </cell>
        </row>
        <row r="11653">
          <cell r="A11653" t="str">
            <v>tag180_e</v>
          </cell>
          <cell r="B11653" t="str">
            <v>tag180</v>
          </cell>
          <cell r="C11653" t="str">
            <v>Triacylglycerol  octadecanoate</v>
          </cell>
        </row>
        <row r="11654">
          <cell r="A11654" t="str">
            <v>td_5_8_coa_c</v>
          </cell>
          <cell r="B11654" t="str">
            <v>td_5_8_coa</v>
          </cell>
          <cell r="C11654" t="str">
            <v>Cis cis tetradec 5 8 dienoyl CoA</v>
          </cell>
        </row>
        <row r="11655">
          <cell r="A11655" t="str">
            <v>tde_2Z_coa_c</v>
          </cell>
          <cell r="B11655" t="str">
            <v>tde_2Z_coa</v>
          </cell>
          <cell r="C11655" t="str">
            <v>Cis tetradec 2 enoyl CoATetradecenoyl CoA  n C141 2Z CoA</v>
          </cell>
        </row>
        <row r="11656">
          <cell r="A11656" t="str">
            <v>tded5_2_coa_c</v>
          </cell>
          <cell r="B11656" t="str">
            <v>tded5_2_coa</v>
          </cell>
          <cell r="C11656" t="str">
            <v>Trans cis tetradeca 2 5 dienoyl CoA</v>
          </cell>
        </row>
        <row r="11657">
          <cell r="A11657" t="str">
            <v>tnt_e</v>
          </cell>
          <cell r="B11657" t="str">
            <v>tnt</v>
          </cell>
          <cell r="C11657" t="str">
            <v>2 4 6 Trinitrotoluene</v>
          </cell>
        </row>
        <row r="11658">
          <cell r="A11658" t="str">
            <v>tntmdh_c</v>
          </cell>
          <cell r="B11658" t="str">
            <v>tntmdh</v>
          </cell>
          <cell r="C11658" t="str">
            <v>2 4 6 trinitrotoluene  Meisenheimer dihydride complex</v>
          </cell>
        </row>
        <row r="11659">
          <cell r="A11659" t="str">
            <v>tntmmh_c</v>
          </cell>
          <cell r="B11659" t="str">
            <v>tntmmh</v>
          </cell>
          <cell r="C11659" t="str">
            <v>2 4 6 Trinitrotoluene Meisenheimer monohydride complex</v>
          </cell>
        </row>
        <row r="11660">
          <cell r="A11660" t="str">
            <v>tripeptide_c</v>
          </cell>
          <cell r="B11660" t="str">
            <v>tripeptide</v>
          </cell>
          <cell r="C11660" t="str">
            <v>Tripeptide derivated from pqq biosynthesis</v>
          </cell>
        </row>
        <row r="11661">
          <cell r="A11661" t="str">
            <v>trnaaspq_c</v>
          </cell>
          <cell r="B11661" t="str">
            <v>trnaaspq</v>
          </cell>
          <cell r="C11661" t="str">
            <v>TRNA asp  queuosine34</v>
          </cell>
        </row>
        <row r="11662">
          <cell r="A11662" t="str">
            <v>trnaaspqo_c</v>
          </cell>
          <cell r="B11662" t="str">
            <v>trnaaspqo</v>
          </cell>
          <cell r="C11662" t="str">
            <v>Trnaasp epoxyqueuosine34</v>
          </cell>
        </row>
        <row r="11663">
          <cell r="A11663" t="str">
            <v>trnahis_preq34_c</v>
          </cell>
          <cell r="B11663" t="str">
            <v>trnahis_preq34</v>
          </cell>
          <cell r="C11663" t="str">
            <v>L Histidyl tRNA His  preQ1 modified</v>
          </cell>
        </row>
        <row r="11664">
          <cell r="A11664" t="str">
            <v>trnatyrqo_c</v>
          </cell>
          <cell r="B11664" t="str">
            <v>trnatyrqo</v>
          </cell>
          <cell r="C11664" t="str">
            <v>Trnatyr epoxyqueuosine34</v>
          </cell>
        </row>
        <row r="11665">
          <cell r="A11665" t="str">
            <v>tyr__D_e</v>
          </cell>
          <cell r="B11665" t="str">
            <v>tyr__D</v>
          </cell>
          <cell r="C11665" t="str">
            <v>D Tyrosine</v>
          </cell>
        </row>
        <row r="11666">
          <cell r="A11666" t="str">
            <v>u3dcga_c</v>
          </cell>
          <cell r="B11666" t="str">
            <v>u3dcga</v>
          </cell>
          <cell r="C11666" t="str">
            <v>UDP 3 O  3 hydroxydecanoyl  D glucosamine</v>
          </cell>
        </row>
        <row r="11667">
          <cell r="A11667" t="str">
            <v>uquivo_c</v>
          </cell>
          <cell r="B11667" t="str">
            <v>uquivo</v>
          </cell>
          <cell r="C11667" t="str">
            <v>UDP 2 acetamido 2 deoxy D quinovose</v>
          </cell>
        </row>
        <row r="11668">
          <cell r="A11668" t="str">
            <v>n2one_e</v>
          </cell>
          <cell r="B11668" t="str">
            <v>n2one</v>
          </cell>
          <cell r="C11668" t="str">
            <v>2 Nonanone</v>
          </cell>
        </row>
        <row r="11669">
          <cell r="A11669" t="str">
            <v>d2one_c</v>
          </cell>
          <cell r="B11669" t="str">
            <v>d2one</v>
          </cell>
          <cell r="C11669" t="str">
            <v>2 Decanone</v>
          </cell>
        </row>
        <row r="11670">
          <cell r="A11670" t="str">
            <v>d2one_p</v>
          </cell>
          <cell r="B11670" t="str">
            <v>d2one</v>
          </cell>
          <cell r="C11670" t="str">
            <v>2 Decanone</v>
          </cell>
        </row>
        <row r="11671">
          <cell r="A11671" t="str">
            <v>d3one_e</v>
          </cell>
          <cell r="B11671" t="str">
            <v>d3one</v>
          </cell>
          <cell r="C11671" t="str">
            <v>3 Decanone</v>
          </cell>
        </row>
        <row r="11672">
          <cell r="A11672" t="str">
            <v>d4one_e</v>
          </cell>
          <cell r="B11672" t="str">
            <v>d4one</v>
          </cell>
          <cell r="C11672" t="str">
            <v>4 Decanone</v>
          </cell>
        </row>
        <row r="11673">
          <cell r="A11673" t="str">
            <v>methdca_c</v>
          </cell>
          <cell r="B11673" t="str">
            <v>methdca</v>
          </cell>
          <cell r="C11673" t="str">
            <v>Methyl decanoate</v>
          </cell>
        </row>
        <row r="11674">
          <cell r="A11674" t="str">
            <v>4oxptn_c</v>
          </cell>
          <cell r="B11674" t="str">
            <v>4oxptn</v>
          </cell>
          <cell r="C11674" t="str">
            <v>4 Oxopentanoate</v>
          </cell>
        </row>
        <row r="11675">
          <cell r="A11675" t="str">
            <v>4oxptn_p</v>
          </cell>
          <cell r="B11675" t="str">
            <v>4oxptn</v>
          </cell>
          <cell r="C11675" t="str">
            <v>4 Oxopentanoate</v>
          </cell>
        </row>
        <row r="11676">
          <cell r="A11676" t="str">
            <v>4hptcoa_c</v>
          </cell>
          <cell r="B11676" t="str">
            <v>4hptcoa</v>
          </cell>
          <cell r="C11676" t="str">
            <v>4 Hydroxypentanoyl CoA</v>
          </cell>
        </row>
        <row r="11677">
          <cell r="A11677" t="str">
            <v>acpptrn_e</v>
          </cell>
          <cell r="B11677" t="str">
            <v>acpptrn</v>
          </cell>
          <cell r="C11677" t="str">
            <v>N Acetylphosphinothricin</v>
          </cell>
        </row>
        <row r="11678">
          <cell r="A11678" t="str">
            <v>mercpeth_p</v>
          </cell>
          <cell r="B11678" t="str">
            <v>mercpeth</v>
          </cell>
          <cell r="C11678" t="str">
            <v>Mercaptoethanol</v>
          </cell>
        </row>
        <row r="11679">
          <cell r="A11679" t="str">
            <v>udcpo4min_p</v>
          </cell>
          <cell r="B11679" t="str">
            <v>udcpo4min</v>
          </cell>
          <cell r="C11679" t="str">
            <v>Undecaprenyl diphosphate galactose-rhamnose-mannose min</v>
          </cell>
        </row>
        <row r="11680">
          <cell r="A11680" t="str">
            <v>OA_STmin_p</v>
          </cell>
          <cell r="B11680" t="str">
            <v>OA_STmin</v>
          </cell>
          <cell r="C11680" t="str">
            <v>OA STmin[p]</v>
          </cell>
        </row>
        <row r="11681">
          <cell r="A11681" t="str">
            <v>eca4colipamin_e</v>
          </cell>
          <cell r="B11681" t="str">
            <v>eca4colipamin</v>
          </cell>
          <cell r="C11681" t="str">
            <v>Enterobacterial-common-antigen-x4-minimal core-oligosaccharide-lipid-A</v>
          </cell>
        </row>
        <row r="11682">
          <cell r="A11682" t="str">
            <v>udcpo4min_c</v>
          </cell>
          <cell r="B11682" t="str">
            <v>udcpo4min</v>
          </cell>
          <cell r="C11682" t="str">
            <v>Undecaprenyl diphosphate galactose-rhamnose-mannose min</v>
          </cell>
        </row>
        <row r="11683">
          <cell r="A11683" t="str">
            <v>gagicolipamin_c</v>
          </cell>
          <cell r="B11683" t="str">
            <v>gagicolipamin</v>
          </cell>
          <cell r="C11683" t="str">
            <v>Galactosyl-glucosyl-inner-core-oligosaccharide-lipid-A min</v>
          </cell>
        </row>
        <row r="11684">
          <cell r="A11684" t="str">
            <v>OA3_10__L_p</v>
          </cell>
          <cell r="B11684" t="str">
            <v>OA3_10__L</v>
          </cell>
          <cell r="C11684" t="str">
            <v>Periplasmic O antigen group O:3 10 polysaccharide with a long chain length (25 repeat units)</v>
          </cell>
        </row>
        <row r="11685">
          <cell r="A11685" t="str">
            <v>udcpdglcnac_a1_3_rmn_a1_4_gal_b1_4_man_p</v>
          </cell>
          <cell r="B11685" t="str">
            <v>udcpdglcnac_a1_3_rmn_a1_4_gal_b1_4_man</v>
          </cell>
          <cell r="C11685" t="str">
            <v>Periplasmic O antigen group O:11 repeat unit on undecaprenyl diphosphate carrier</v>
          </cell>
        </row>
        <row r="11686">
          <cell r="A11686" t="str">
            <v>udcdpgal_a1_3_rmn_a1_4_man_p</v>
          </cell>
          <cell r="B11686" t="str">
            <v>udcdpgal_a1_3_rmn_a1_4_man</v>
          </cell>
          <cell r="C11686" t="str">
            <v>Periplasmic O antigen group O:1 3 19 repeat unit on undecaprenyl diphosphate carrier</v>
          </cell>
        </row>
        <row r="11687">
          <cell r="A11687" t="str">
            <v>LPS38_ST_p</v>
          </cell>
          <cell r="B11687" t="str">
            <v>LPS38_ST</v>
          </cell>
          <cell r="C11687" t="str">
            <v>Extracellular lipopolysaccharide group O:38 with a short O antigen polysaccharide</v>
          </cell>
        </row>
        <row r="11688">
          <cell r="A11688" t="str">
            <v>udcdpgal_a1_3_rmn_a1_4_man_a1_3_tyv_p</v>
          </cell>
          <cell r="B11688" t="str">
            <v>udcdpgal_a1_3_rmn_a1_4_man_a1_3_tyv</v>
          </cell>
          <cell r="C11688" t="str">
            <v>Undecaprenyl-diphosphate-galactose-(alpha 1-&gt;3)-rhamnose-(alpha 1-&gt;4)-mannose-(alpha1-&gt;3)-tyvelose</v>
          </cell>
        </row>
        <row r="11689">
          <cell r="A11689" t="str">
            <v>udcdpgalnac_c</v>
          </cell>
          <cell r="B11689" t="str">
            <v>udcdpgalnac</v>
          </cell>
          <cell r="C11689" t="str">
            <v>N-acetyl-alpha-D-galactosaminyl-diphospho-ditrans,octacis-undecaprenol</v>
          </cell>
        </row>
        <row r="11690">
          <cell r="A11690" t="str">
            <v>udcpdpgalnac_b1_3_gal3_b1_4_ribf_qui3nac_c</v>
          </cell>
          <cell r="B11690" t="str">
            <v>udcpdpgalnac_b1_3_gal3_b1_4_ribf_qui3nac</v>
          </cell>
          <cell r="C11690" t="str">
            <v>Cytoplasmic O antigen group O:28ab repeat unit on undecaprenyl diphosphate carrier</v>
          </cell>
        </row>
        <row r="11691">
          <cell r="A11691" t="str">
            <v>LPS17_ST_e</v>
          </cell>
          <cell r="B11691" t="str">
            <v>LPS17_ST</v>
          </cell>
          <cell r="C11691" t="str">
            <v>Extracellular lipopolysaccharide group O:17 with a short O antigen polysaccharide</v>
          </cell>
        </row>
        <row r="11692">
          <cell r="A11692" t="str">
            <v>LPS18__L_e</v>
          </cell>
          <cell r="B11692" t="str">
            <v>LPS18__L</v>
          </cell>
          <cell r="C11692" t="str">
            <v>Extracellular lipopolysaccharide group O:18 with a long O antigen polysaccharide</v>
          </cell>
        </row>
        <row r="11693">
          <cell r="A11693" t="str">
            <v>LPS48__L_p</v>
          </cell>
          <cell r="B11693" t="str">
            <v>LPS48__L</v>
          </cell>
          <cell r="C11693" t="str">
            <v>Periplasmic lipopolysaccharide group O:48 with a long O antigen polysaccharide</v>
          </cell>
        </row>
        <row r="11694">
          <cell r="A11694" t="str">
            <v>LPS39_ST_e</v>
          </cell>
          <cell r="B11694" t="str">
            <v>LPS39_ST</v>
          </cell>
          <cell r="C11694" t="str">
            <v>Periplasmic lipopolysaccharide group O:39 with a short O antigen polysaccharide</v>
          </cell>
        </row>
        <row r="11695">
          <cell r="A11695" t="str">
            <v>LPS1_3_19__L_e</v>
          </cell>
          <cell r="B11695" t="str">
            <v>LPS1_3_19__L</v>
          </cell>
          <cell r="C11695" t="str">
            <v>Extracellular lipopolysaccharide group O:1 3 19 with a long O antigen polysaccharide</v>
          </cell>
        </row>
        <row r="11696">
          <cell r="A11696" t="str">
            <v>LPS44_VL_e</v>
          </cell>
          <cell r="B11696" t="str">
            <v>LPS44_VL</v>
          </cell>
          <cell r="C11696" t="str">
            <v>Extracellular lipopolysaccharide group O:44 with a very long O antigen polysaccharide</v>
          </cell>
        </row>
        <row r="11697">
          <cell r="A11697" t="str">
            <v>LPS21_ST_e</v>
          </cell>
          <cell r="B11697" t="str">
            <v>LPS21_ST</v>
          </cell>
          <cell r="C11697" t="str">
            <v>Extracellular lipopolysaccharide group O:21 with a short O antigen polysaccharide</v>
          </cell>
        </row>
        <row r="11698">
          <cell r="A11698" t="str">
            <v>OA8_VL_p</v>
          </cell>
          <cell r="B11698" t="str">
            <v>OA8_VL</v>
          </cell>
          <cell r="C11698" t="str">
            <v>Periplasmic O antigen group O:8 polysaccharide with a very long chain length (100 repeat units)</v>
          </cell>
        </row>
        <row r="11699">
          <cell r="A11699" t="str">
            <v>LPS8_ST_e</v>
          </cell>
          <cell r="B11699" t="str">
            <v>LPS8_ST</v>
          </cell>
          <cell r="C11699" t="str">
            <v>Extracellular lipopolysaccharide group O:8 with a short O antigen polysaccharide</v>
          </cell>
        </row>
        <row r="11700">
          <cell r="A11700" t="str">
            <v>udcdpglcnac_a1_3_galnac_b1_4_rib_b1_3_qui4N_p</v>
          </cell>
          <cell r="B11700" t="str">
            <v>udcdpglcnac_a1_3_galnac_b1_4_rib_b1_3_qui4N</v>
          </cell>
          <cell r="C11700" t="str">
            <v>Periplasmic O antigen group O:56  repeat unit on undecaprenyl diphosphate carrier</v>
          </cell>
        </row>
        <row r="11701">
          <cell r="A11701" t="str">
            <v>udcdpglcnac_a1_3_galnac_b1_4_rib_b1_3_qui4N_c</v>
          </cell>
          <cell r="B11701" t="str">
            <v>udcdpglcnac_a1_3_galnac_b1_4_rib_b1_3_qui4N</v>
          </cell>
          <cell r="C11701" t="str">
            <v>Periplasmic O antigen group O:56  repeat unit on undecaprenyl diphosphate carrier</v>
          </cell>
        </row>
        <row r="11702">
          <cell r="A11702" t="str">
            <v>LPS62_ST_e</v>
          </cell>
          <cell r="B11702" t="str">
            <v>LPS62_ST</v>
          </cell>
          <cell r="C11702" t="str">
            <v>Periplasmic lipopolysaccharide group O:62 with a short O antigen polysaccharide</v>
          </cell>
        </row>
        <row r="11703">
          <cell r="A11703" t="str">
            <v>OA28ac_VL_p</v>
          </cell>
          <cell r="B11703" t="str">
            <v>OA28ac_VL</v>
          </cell>
          <cell r="C11703" t="str">
            <v>Periplasmic O antigen group O:28ac polysaccharide with a very long chain length (100 repeat units)</v>
          </cell>
        </row>
        <row r="11704">
          <cell r="A11704" t="str">
            <v>OA1_3_19_VL_p</v>
          </cell>
          <cell r="B11704" t="str">
            <v>OA1_3_19_VL</v>
          </cell>
          <cell r="C11704" t="str">
            <v>Periplasmic O antigen group O:1 3 19 polysaccharide with a very long chain length (100 repeat units)</v>
          </cell>
        </row>
        <row r="11705">
          <cell r="A11705" t="str">
            <v>LPS51__L_e</v>
          </cell>
          <cell r="B11705" t="str">
            <v>LPS51__L</v>
          </cell>
          <cell r="C11705" t="str">
            <v>Extracellular lipopolysaccharide group O:51 with a long O antigen polysaccharide</v>
          </cell>
        </row>
        <row r="11706">
          <cell r="A11706" t="str">
            <v>LPS13__L_e</v>
          </cell>
          <cell r="B11706" t="str">
            <v>LPS13__L</v>
          </cell>
          <cell r="C11706" t="str">
            <v>Extracellular lipopolysaccharide group O:13 with a long O antigen polysaccharide</v>
          </cell>
        </row>
        <row r="11707">
          <cell r="A11707" t="str">
            <v>OA50_VL_p</v>
          </cell>
          <cell r="B11707" t="str">
            <v>OA50_VL</v>
          </cell>
          <cell r="C11707" t="str">
            <v>Periplasmic O antigen group O:50 polysaccharide with a very long chain length (100 repeat units)</v>
          </cell>
        </row>
        <row r="11708">
          <cell r="A11708" t="str">
            <v>LPS43_ST_e</v>
          </cell>
          <cell r="B11708" t="str">
            <v>LPS43_ST</v>
          </cell>
          <cell r="C11708" t="str">
            <v>Periplasmic lipopolysaccharide group O:43 with a short O antigen polysaccharide</v>
          </cell>
        </row>
        <row r="11709">
          <cell r="A11709" t="str">
            <v>LPS9_46_27_ST_e</v>
          </cell>
          <cell r="B11709" t="str">
            <v>LPS9_46_27_ST</v>
          </cell>
          <cell r="C11709" t="str">
            <v>Periplasmic lipopolysaccharide group O:9 46 27 with a short O antigen polysaccharide</v>
          </cell>
        </row>
        <row r="11710">
          <cell r="A11710" t="str">
            <v>LPS55__L_p</v>
          </cell>
          <cell r="B11710" t="str">
            <v>LPS55__L</v>
          </cell>
          <cell r="C11710" t="str">
            <v>Periplasmic lipopolysaccharide group O:55 with a long O antigen polysaccharide</v>
          </cell>
        </row>
        <row r="11711">
          <cell r="A11711" t="str">
            <v>OA43_ST_p</v>
          </cell>
          <cell r="B11711" t="str">
            <v>OA43_ST</v>
          </cell>
          <cell r="C11711" t="str">
            <v>Periplasmic O antigen group O:43 polysaccharide with a short chain length (15 repeat units)</v>
          </cell>
        </row>
        <row r="11712">
          <cell r="A11712" t="str">
            <v>LPS58_ST_e</v>
          </cell>
          <cell r="B11712" t="str">
            <v>LPS58_ST</v>
          </cell>
          <cell r="C11712" t="str">
            <v>Extracellular lipopolysaccharide group O:58 with a short O antigen polysaccharide</v>
          </cell>
        </row>
        <row r="11713">
          <cell r="A11713" t="str">
            <v>LPS28ab_VL_e</v>
          </cell>
          <cell r="B11713" t="str">
            <v>LPS28ab_VL</v>
          </cell>
          <cell r="C11713" t="str">
            <v>Extracellular lipopolysaccharide group O:28ab with a very long O antigen polysaccharide</v>
          </cell>
        </row>
        <row r="11714">
          <cell r="A11714" t="str">
            <v>udcpdpgalnac_b1_3_gal3_b1_4_ribf_qui3nac_p</v>
          </cell>
          <cell r="B11714" t="str">
            <v>udcpdpgalnac_b1_3_gal3_b1_4_ribf_qui3nac</v>
          </cell>
          <cell r="C11714" t="str">
            <v>Cytoplasmic O antigen group O:28ab repeat unit on undecaprenyl diphosphate carrier</v>
          </cell>
        </row>
        <row r="11715">
          <cell r="A11715" t="str">
            <v>OA38__L_p</v>
          </cell>
          <cell r="B11715" t="str">
            <v>OA38__L</v>
          </cell>
          <cell r="C11715" t="str">
            <v>Periplasmic O antigen group O:38 polysaccharide with a long chain length (25 repeat units)</v>
          </cell>
        </row>
        <row r="11716">
          <cell r="A11716" t="str">
            <v>LPS67_p</v>
          </cell>
          <cell r="B11716" t="str">
            <v>LPS67</v>
          </cell>
          <cell r="C11716" t="str">
            <v xml:space="preserve">Lipopolysaccharide O:67: Lipid A - [galactose-(beta1-&gt;3)-galactofuranose-(alpha1-&gt;3)] 20 </v>
          </cell>
        </row>
        <row r="11717">
          <cell r="A11717" t="str">
            <v>LPS6_14__L_p</v>
          </cell>
          <cell r="B11717" t="str">
            <v>LPS6_14__L</v>
          </cell>
          <cell r="C11717" t="str">
            <v>Extracellular lipopolysaccharide group O:6 14 with a long O antigen polysaccharide</v>
          </cell>
        </row>
        <row r="11718">
          <cell r="A11718" t="str">
            <v>udcdpgal_b1_3_galf_a1_3_gal_c</v>
          </cell>
          <cell r="B11718" t="str">
            <v>udcdpgal_b1_3_galf_a1_3_gal</v>
          </cell>
          <cell r="C11718" t="str">
            <v>Undecaprenyl-galactose-(beta1-&gt;3)-galactofuranose-(alpha1-&gt;3)</v>
          </cell>
        </row>
        <row r="11719">
          <cell r="A11719" t="str">
            <v>dtdpfuc3nfo_c</v>
          </cell>
          <cell r="B11719" t="str">
            <v>dtdpfuc3nfo</v>
          </cell>
          <cell r="C11719" t="str">
            <v>DTDP-3,6-dideoxy-3-formamido-D-galactose</v>
          </cell>
        </row>
        <row r="11720">
          <cell r="A11720" t="str">
            <v>udcdpgal_a1_3_rmn_a1_4_man_c</v>
          </cell>
          <cell r="B11720" t="str">
            <v>udcdpgal_a1_3_rmn_a1_4_man</v>
          </cell>
          <cell r="C11720" t="str">
            <v>Periplasmic O antigen group O:1 3 19 repeat unit on undecaprenyl diphosphate carrier</v>
          </cell>
        </row>
        <row r="11721">
          <cell r="A11721" t="str">
            <v>LPS53__L_p</v>
          </cell>
          <cell r="B11721" t="str">
            <v>LPS53__L</v>
          </cell>
          <cell r="C11721" t="str">
            <v>Extracellular lipopolysaccharide group O:53 with a very long O antigen polysaccharide</v>
          </cell>
        </row>
        <row r="11722">
          <cell r="A11722" t="str">
            <v>udcdpglcnac_b1_3_gal_a1_4_glcnac_b1_4_gal_b1_4_rib_p</v>
          </cell>
          <cell r="B11722" t="str">
            <v>udcdpglcnac_b1_3_gal_a1_4_glcnac_b1_4_gal_b1_4_rib</v>
          </cell>
          <cell r="C11722" t="str">
            <v>Periplasmic O antigen group O:52 repeat unit on undecaprenyl diphosphate carrier</v>
          </cell>
        </row>
        <row r="11723">
          <cell r="A11723" t="str">
            <v>LPS63__L_e</v>
          </cell>
          <cell r="B11723" t="str">
            <v>LPS63__L</v>
          </cell>
          <cell r="C11723" t="str">
            <v>Periplasmic lipopolysaccharide group O:63 with a long O antigen polysaccharide</v>
          </cell>
        </row>
        <row r="11724">
          <cell r="A11724" t="str">
            <v>LPS1_3_19_VL_p</v>
          </cell>
          <cell r="B11724" t="str">
            <v>LPS1_3_19_VL</v>
          </cell>
          <cell r="C11724" t="str">
            <v>Periplasmic lipopolysaccharide group O:1 3 19 with a very long O antigen polysaccharide</v>
          </cell>
        </row>
        <row r="11725">
          <cell r="A11725" t="str">
            <v>OA9_VL_p</v>
          </cell>
          <cell r="B11725" t="str">
            <v>OA9_VL</v>
          </cell>
          <cell r="C11725" t="str">
            <v>Periplasmic O antigen group O:9 polysaccharide with a very long chain length (100 repeat units)</v>
          </cell>
        </row>
        <row r="11726">
          <cell r="A11726" t="str">
            <v>LPS7__L_e</v>
          </cell>
          <cell r="B11726" t="str">
            <v>LPS7__L</v>
          </cell>
          <cell r="C11726" t="str">
            <v>Extracellular lipopolysaccharide group O:7 with a long O antigen polysaccharide</v>
          </cell>
        </row>
        <row r="11727">
          <cell r="A11727" t="str">
            <v>udpacpnma_c</v>
          </cell>
          <cell r="B11727" t="str">
            <v>udpacpnma</v>
          </cell>
          <cell r="C11727" t="str">
            <v>UDP-N-acetyl-beta-L-pneumosamine</v>
          </cell>
        </row>
        <row r="11728">
          <cell r="A11728" t="str">
            <v>udcdpgal_a1_3_rmn_c</v>
          </cell>
          <cell r="B11728" t="str">
            <v>udcdpgal_a1_3_rmn</v>
          </cell>
          <cell r="C11728" t="str">
            <v>Cytoplasmic O antigen group O:2 partial repeat unit (1) on undecaprenyl diphosphate carrier</v>
          </cell>
        </row>
        <row r="11729">
          <cell r="A11729" t="str">
            <v>LPS42__L_e</v>
          </cell>
          <cell r="B11729" t="str">
            <v>LPS42__L</v>
          </cell>
          <cell r="C11729" t="str">
            <v>Extracellular lipopolysaccharide group O:42 with a long O antigen polysaccharide</v>
          </cell>
        </row>
        <row r="11730">
          <cell r="A11730" t="str">
            <v>OA65__L_p</v>
          </cell>
          <cell r="B11730" t="str">
            <v>OA65__L</v>
          </cell>
          <cell r="C11730" t="str">
            <v>Periplasmic O antigen group O:65 polysaccharide with a long chain length (25 repeat units)</v>
          </cell>
        </row>
        <row r="11731">
          <cell r="A11731" t="str">
            <v>LPS65__L_p</v>
          </cell>
          <cell r="B11731" t="str">
            <v>LPS65__L</v>
          </cell>
          <cell r="C11731" t="str">
            <v>Periplasmic lipopolysaccharide group O:65 with a long O antigen polysaccharide</v>
          </cell>
        </row>
        <row r="11732">
          <cell r="A11732" t="str">
            <v>LPS40_ST_e</v>
          </cell>
          <cell r="B11732" t="str">
            <v>LPS40_ST</v>
          </cell>
          <cell r="C11732" t="str">
            <v>Extracellular lipopolysaccharide group O:40 with a short O antigen polysaccharide</v>
          </cell>
        </row>
        <row r="11733">
          <cell r="A11733" t="str">
            <v>udcdpgal_a1_3_rmn_a1_4_man_a1_3_tyv_c</v>
          </cell>
          <cell r="B11733" t="str">
            <v>udcdpgal_a1_3_rmn_a1_4_man_a1_3_tyv</v>
          </cell>
          <cell r="C11733" t="str">
            <v>Undecaprenyl-diphosphate-galactose-(alpha 1-&gt;3)-rhamnose-(alpha 1-&gt;4)-mannose-(alpha1-&gt;3)-tyvelose</v>
          </cell>
        </row>
        <row r="11734">
          <cell r="A11734" t="str">
            <v>OA56_ST_p</v>
          </cell>
          <cell r="B11734" t="str">
            <v>OA56_ST</v>
          </cell>
          <cell r="C11734" t="str">
            <v>Periplasmic O antigen group O:56 polysaccharide with a short chain length (15 repeat units)</v>
          </cell>
        </row>
        <row r="11735">
          <cell r="A11735" t="str">
            <v>OA41__L_p</v>
          </cell>
          <cell r="B11735" t="str">
            <v>OA41__L</v>
          </cell>
          <cell r="C11735" t="str">
            <v>Periplasmic O antigen group O:41 polysaccharide with a very long chain length (100 repeat units)</v>
          </cell>
        </row>
        <row r="11736">
          <cell r="A11736" t="str">
            <v>OA28ac__L_p</v>
          </cell>
          <cell r="B11736" t="str">
            <v>OA28ac__L</v>
          </cell>
          <cell r="C11736" t="str">
            <v>Periplasmic O antigen group O:28ac polysaccharide with a long chain length (25 repeat units)</v>
          </cell>
        </row>
        <row r="11737">
          <cell r="A11737" t="str">
            <v>OA52_ST_p</v>
          </cell>
          <cell r="B11737" t="str">
            <v>OA52_ST</v>
          </cell>
          <cell r="C11737" t="str">
            <v>Periplasmic O antigen group O:52 polysaccharide with a short chain length (15 repeat units)</v>
          </cell>
        </row>
        <row r="11738">
          <cell r="A11738" t="str">
            <v>OA51_ST_p</v>
          </cell>
          <cell r="B11738" t="str">
            <v>OA51_ST</v>
          </cell>
          <cell r="C11738" t="str">
            <v>Periplasmic O antigen group O:51 polysaccharide with a short chain length (15 repeat units)</v>
          </cell>
        </row>
        <row r="11739">
          <cell r="A11739" t="str">
            <v>OA7_ST_p</v>
          </cell>
          <cell r="B11739" t="str">
            <v>OA7_ST</v>
          </cell>
          <cell r="C11739" t="str">
            <v>Periplasmic O antigen group O:7 polysaccharide with a short chain length (15 repeat units)</v>
          </cell>
        </row>
        <row r="11740">
          <cell r="A11740" t="str">
            <v>LPS52_VL_p</v>
          </cell>
          <cell r="B11740" t="str">
            <v>LPS52_VL</v>
          </cell>
          <cell r="C11740" t="str">
            <v>Extracellular lipopolysaccharide group O:52 with a very long O antigen polysaccharide</v>
          </cell>
        </row>
        <row r="11741">
          <cell r="A11741" t="str">
            <v>OA60_VL_p</v>
          </cell>
          <cell r="B11741" t="str">
            <v>OA60_VL</v>
          </cell>
          <cell r="C11741" t="str">
            <v>Periplasmic O antigen group O:60 polysaccharide with a very long chain length (100 repeat units)</v>
          </cell>
        </row>
        <row r="11742">
          <cell r="A11742" t="str">
            <v>udp2aca26ddl4h_c</v>
          </cell>
          <cell r="B11742" t="str">
            <v>udp2aca26ddl4h</v>
          </cell>
          <cell r="C11742" t="str">
            <v>UDP-2-acetamido-2,6-dideoxy-beta-L-lyxo-4-hexulose</v>
          </cell>
        </row>
        <row r="11743">
          <cell r="A11743" t="str">
            <v>LPS28ac_ST_p</v>
          </cell>
          <cell r="B11743" t="str">
            <v>LPS28ac_ST</v>
          </cell>
          <cell r="C11743" t="str">
            <v>Extracellular lipopolysaccharide group O:28ac with a short O antigen polysaccharide</v>
          </cell>
        </row>
        <row r="11744">
          <cell r="A11744" t="str">
            <v>LPS41_VL_p</v>
          </cell>
          <cell r="B11744" t="str">
            <v>LPS41_VL</v>
          </cell>
          <cell r="C11744" t="str">
            <v>Extracellular lipopolysaccharide group O:41 with very long O antigen</v>
          </cell>
        </row>
        <row r="11745">
          <cell r="A11745" t="str">
            <v>LPS45_ST_p</v>
          </cell>
          <cell r="B11745" t="str">
            <v>LPS45_ST</v>
          </cell>
          <cell r="C11745" t="str">
            <v>Periplasmic lipopolysaccharide group O:45 with a short O antigen polysaccharide</v>
          </cell>
        </row>
        <row r="11746">
          <cell r="A11746" t="str">
            <v>LPS6_14_ST_p</v>
          </cell>
          <cell r="B11746" t="str">
            <v>LPS6_14_ST</v>
          </cell>
          <cell r="C11746" t="str">
            <v>Periplasmic lipopolysaccharide group O:6 14 with a short O antigen polysaccharide</v>
          </cell>
        </row>
        <row r="11747">
          <cell r="A11747" t="str">
            <v>udcdpglcnac_b1_6_mannac_c</v>
          </cell>
          <cell r="B11747" t="str">
            <v>udcdpglcnac_b1_6_mannac</v>
          </cell>
          <cell r="C11747" t="str">
            <v>Cytoplasmic O antigen group O:54 partial repeat unit (1) on undecaprenyl diphosphate carrier</v>
          </cell>
        </row>
        <row r="11748">
          <cell r="A11748" t="str">
            <v>udcdpglcnac_b1_3_gal_a1_4_glcnac_b1_4_gal_b1_4_rib_c</v>
          </cell>
          <cell r="B11748" t="str">
            <v>udcdpglcnac_b1_3_gal_a1_4_glcnac_b1_4_gal_b1_4_rib</v>
          </cell>
          <cell r="C11748" t="str">
            <v>Periplasmic O antigen group O:52 repeat unit on undecaprenyl diphosphate carrier</v>
          </cell>
        </row>
        <row r="11749">
          <cell r="A11749" t="str">
            <v>udpacblquia_c</v>
          </cell>
          <cell r="B11749" t="str">
            <v>udpacblquia</v>
          </cell>
          <cell r="C11749" t="str">
            <v>UDP-N-acetyl-beta-L-quinovosamine</v>
          </cell>
        </row>
        <row r="11750">
          <cell r="A11750" t="str">
            <v>LPS55_ST_e</v>
          </cell>
          <cell r="B11750" t="str">
            <v>LPS55_ST</v>
          </cell>
          <cell r="C11750" t="str">
            <v>Periplasmic lipopolysaccharide group O:55 with a short O antigen polysaccharide</v>
          </cell>
        </row>
        <row r="11751">
          <cell r="A11751" t="str">
            <v>OA28ab_ST_p</v>
          </cell>
          <cell r="B11751" t="str">
            <v>OA28ab_ST</v>
          </cell>
          <cell r="C11751" t="str">
            <v>Periplasmic O antigen group O:28ab polysaccharide with a short chain length (15 repeat units)</v>
          </cell>
        </row>
        <row r="11752">
          <cell r="A11752" t="str">
            <v>LPS28ab_ST_p</v>
          </cell>
          <cell r="B11752" t="str">
            <v>LPS28ab_ST</v>
          </cell>
          <cell r="C11752" t="str">
            <v>Periplasmic lipopolysaccharide group O:28ab with a short O antigen polysaccharide</v>
          </cell>
        </row>
        <row r="11753">
          <cell r="A11753" t="str">
            <v>OA40_VL_p</v>
          </cell>
          <cell r="B11753" t="str">
            <v>OA40_VL</v>
          </cell>
          <cell r="C11753" t="str">
            <v>Periplasmic O antigen group O:40 polysaccharide with a very long chain length (100 repeat units)</v>
          </cell>
        </row>
        <row r="11754">
          <cell r="A11754" t="str">
            <v>udpacgalu_c</v>
          </cell>
          <cell r="B11754" t="str">
            <v>udpacgalu</v>
          </cell>
          <cell r="C11754" t="str">
            <v>UDP-N-acetylgalactosaminuronate</v>
          </cell>
        </row>
        <row r="11755">
          <cell r="A11755" t="str">
            <v>LPS50__L_p</v>
          </cell>
          <cell r="B11755" t="str">
            <v>LPS50__L</v>
          </cell>
          <cell r="C11755" t="str">
            <v>Extracellular lipopolysaccharide group O:50 with a long O antigen polysaccharide</v>
          </cell>
        </row>
        <row r="11756">
          <cell r="A11756" t="str">
            <v>LPS18_VL_p</v>
          </cell>
          <cell r="B11756" t="str">
            <v>LPS18_VL</v>
          </cell>
          <cell r="C11756" t="str">
            <v>Extracellular lipopolysaccharide group O:18 with a very long O antigen polysaccharide</v>
          </cell>
        </row>
        <row r="11757">
          <cell r="A11757" t="str">
            <v>LPS9_46_VL_p</v>
          </cell>
          <cell r="B11757" t="str">
            <v>LPS9_46_VL</v>
          </cell>
          <cell r="C11757" t="str">
            <v>Lipopolysaccharide O:9 46: Lipid A - [Undecaprenyl-diphosphate-galactose-(alpha 1-&gt;3)-rhamnose-(alpha 1-&gt;4)-mannose-(alpha1-&gt;3)-tyvelose] 100</v>
          </cell>
        </row>
        <row r="11758">
          <cell r="A11758" t="str">
            <v>gdpacper_c</v>
          </cell>
          <cell r="B11758" t="str">
            <v>gdpacper</v>
          </cell>
          <cell r="C11758" t="str">
            <v>GDP-N-acetyl-alpha-D-perosamine</v>
          </cell>
        </row>
        <row r="11759">
          <cell r="A11759" t="str">
            <v>OA55_ST_p</v>
          </cell>
          <cell r="B11759" t="str">
            <v>OA55_ST</v>
          </cell>
          <cell r="C11759" t="str">
            <v>Periplasmic O antigen group O:55 polysaccharide with a short chain length (15 repeat units)</v>
          </cell>
        </row>
        <row r="11760">
          <cell r="A11760" t="str">
            <v>udpacman_c</v>
          </cell>
          <cell r="B11760" t="str">
            <v>udpacman</v>
          </cell>
          <cell r="C11760" t="str">
            <v>UDP-N-acetyl-alpha-D-mannosamine</v>
          </cell>
        </row>
        <row r="11761">
          <cell r="A11761" t="str">
            <v>LPS7_VL_p</v>
          </cell>
          <cell r="B11761" t="str">
            <v>LPS7_VL</v>
          </cell>
          <cell r="C11761" t="str">
            <v>Periplasmic lipopolysaccharide group O:7 with a very long O antigen polysaccharide</v>
          </cell>
        </row>
        <row r="11762">
          <cell r="A11762" t="str">
            <v>OA13_ST_p</v>
          </cell>
          <cell r="B11762" t="str">
            <v>OA13_ST</v>
          </cell>
          <cell r="C11762" t="str">
            <v>Periplasmic O antigen group O:13 polysaccharide with a short chain length (15 repeat units)</v>
          </cell>
        </row>
        <row r="11763">
          <cell r="A11763" t="str">
            <v>LPS9_46_ST_e</v>
          </cell>
          <cell r="B11763" t="str">
            <v>LPS9_46_ST</v>
          </cell>
          <cell r="C11763" t="str">
            <v>Lipopolysaccharide O:9 46: Lipid A - [Undecaprenyl-diphosphate-galactose-(alpha 1-&gt;3)-rhamnose-(alpha 1-&gt;4)-mannose-(alpha1-&gt;3)-tyvelose] 15</v>
          </cell>
        </row>
        <row r="11764">
          <cell r="A11764" t="str">
            <v>LPS9_VL_p</v>
          </cell>
          <cell r="B11764" t="str">
            <v>LPS9_VL</v>
          </cell>
          <cell r="C11764" t="str">
            <v>Periplasmic lipopolysaccharide group O:9 with a very long O antigen polysaccharide</v>
          </cell>
        </row>
        <row r="11765">
          <cell r="A11765" t="str">
            <v>OA59_VL_p</v>
          </cell>
          <cell r="B11765" t="str">
            <v>OA59_VL</v>
          </cell>
          <cell r="C11765" t="str">
            <v>Periplasmic O antigen group O:59 polysaccharide with a very long chain length (100 repeat units)</v>
          </cell>
        </row>
        <row r="11766">
          <cell r="A11766" t="str">
            <v>dtdp3d6dgalp_c</v>
          </cell>
          <cell r="B11766" t="str">
            <v>dtdp3d6dgalp</v>
          </cell>
          <cell r="C11766" t="str">
            <v>DTDP-3-dehydro-6-deoxy-alpha-D-galactopyranose</v>
          </cell>
        </row>
        <row r="11767">
          <cell r="A11767" t="str">
            <v>LPS63_ST_e</v>
          </cell>
          <cell r="B11767" t="str">
            <v>LPS63_ST</v>
          </cell>
          <cell r="C11767" t="str">
            <v>Extracellular lipopolysaccharide group O:63 with a short O antigen polysaccharide</v>
          </cell>
        </row>
        <row r="11768">
          <cell r="A11768" t="str">
            <v>LPS6_14_VL_e</v>
          </cell>
          <cell r="B11768" t="str">
            <v>LPS6_14_VL</v>
          </cell>
          <cell r="C11768" t="str">
            <v>Periplasmic lipopolysaccharide group O:6 14 with a very long O antigen polysaccharide</v>
          </cell>
        </row>
        <row r="11769">
          <cell r="A11769" t="str">
            <v>LPS30__L_e</v>
          </cell>
          <cell r="B11769" t="str">
            <v>LPS30__L</v>
          </cell>
          <cell r="C11769" t="str">
            <v>Extracellular lipopolysaccharide group O:30 with a long O antigen polysaccharide</v>
          </cell>
        </row>
        <row r="11770">
          <cell r="A11770" t="str">
            <v>udcpdglcnac_a1_3_rmn_a1_4_gal_b1_4_man_c</v>
          </cell>
          <cell r="B11770" t="str">
            <v>udcpdglcnac_a1_3_rmn_a1_4_gal_b1_4_man</v>
          </cell>
          <cell r="C11770" t="str">
            <v>Periplasmic O antigen group O:11 repeat unit on undecaprenyl diphosphate carrier</v>
          </cell>
        </row>
        <row r="11771">
          <cell r="A11771" t="str">
            <v>OA40_ST_p</v>
          </cell>
          <cell r="B11771" t="str">
            <v>OA40_ST</v>
          </cell>
          <cell r="C11771" t="str">
            <v>Periplasmic O antigen group O:40 polysaccharide with a short chain length (15 repeat units)</v>
          </cell>
        </row>
        <row r="11772">
          <cell r="A11772" t="str">
            <v>OA16_ST_p</v>
          </cell>
          <cell r="B11772" t="str">
            <v>OA16_ST</v>
          </cell>
          <cell r="C11772" t="str">
            <v>Periplasmic O antigen group O:16 polysaccharide with a short chain length (15 repeat units)</v>
          </cell>
        </row>
        <row r="11773">
          <cell r="A11773" t="str">
            <v>OA58__L_p</v>
          </cell>
          <cell r="B11773" t="str">
            <v>OA58__L</v>
          </cell>
          <cell r="C11773" t="str">
            <v>Periplasmic O antigen group O:58 polysaccharide with a long chain length (25 repeat units)</v>
          </cell>
        </row>
        <row r="11774">
          <cell r="A11774" t="str">
            <v>LPS16_VL_e</v>
          </cell>
          <cell r="B11774" t="str">
            <v>LPS16_VL</v>
          </cell>
          <cell r="C11774" t="str">
            <v>Extracellular lipopolysaccharide group O:16 with a very long O antigen polysaccharide</v>
          </cell>
        </row>
        <row r="11775">
          <cell r="A11775" t="str">
            <v>LPS58__L_e</v>
          </cell>
          <cell r="B11775" t="str">
            <v>LPS58__L</v>
          </cell>
          <cell r="C11775" t="str">
            <v>Periplasmic lipopolysaccharide group O:58 with a long O antigen polysaccharide</v>
          </cell>
        </row>
        <row r="11776">
          <cell r="A11776" t="str">
            <v>LPS2__L_p</v>
          </cell>
          <cell r="B11776" t="str">
            <v>LPS2__L</v>
          </cell>
          <cell r="C11776" t="str">
            <v>Extracellular lipopolysaccharide group O:2 with a long O antigen polysaccharide</v>
          </cell>
        </row>
        <row r="11777">
          <cell r="A11777" t="str">
            <v>LPS40__L_e</v>
          </cell>
          <cell r="B11777" t="str">
            <v>LPS40__L</v>
          </cell>
          <cell r="C11777" t="str">
            <v>Extracellular lipopolysaccharide group O:40 with a long O antigen polysaccharide</v>
          </cell>
        </row>
        <row r="11778">
          <cell r="A11778" t="str">
            <v>OA16_VL_p</v>
          </cell>
          <cell r="B11778" t="str">
            <v>OA16_VL</v>
          </cell>
          <cell r="C11778" t="str">
            <v>Periplasmic O antigen group O:16 polysaccharide with a very long chain length (100 repeat units)</v>
          </cell>
        </row>
        <row r="11779">
          <cell r="A11779" t="str">
            <v>OA53_VL_p</v>
          </cell>
          <cell r="B11779" t="str">
            <v>OA53_VL</v>
          </cell>
          <cell r="C11779" t="str">
            <v>Periplasmic lipopolysaccharide group O:53 with a short O antigen polysaccharide</v>
          </cell>
        </row>
        <row r="11780">
          <cell r="A11780" t="str">
            <v>LPS1_3_19_ST_p</v>
          </cell>
          <cell r="B11780" t="str">
            <v>LPS1_3_19_ST</v>
          </cell>
          <cell r="C11780" t="str">
            <v>Periplasmic lipopolysaccharide group O:1 3 19 with a short O antigen polysaccharide</v>
          </cell>
        </row>
        <row r="11781">
          <cell r="A11781" t="str">
            <v>LPS66_ST_e</v>
          </cell>
          <cell r="B11781" t="str">
            <v>LPS66_ST</v>
          </cell>
          <cell r="C11781" t="str">
            <v>Extracellular lipopolysaccharide group O:66 with a short O antigen polysaccharide</v>
          </cell>
        </row>
        <row r="11782">
          <cell r="A11782" t="str">
            <v>LPS53_VL_p</v>
          </cell>
          <cell r="B11782" t="str">
            <v>LPS53_VL</v>
          </cell>
          <cell r="C11782" t="str">
            <v>Extracellular lipopolysaccharide group O:53 with a short O antigen polysaccharide</v>
          </cell>
        </row>
        <row r="11783">
          <cell r="A11783" t="str">
            <v>LPS48_ST_e</v>
          </cell>
          <cell r="B11783" t="str">
            <v>LPS48_ST</v>
          </cell>
          <cell r="C11783" t="str">
            <v>Periplasmic lipopolysaccharide group O:48 with a short O antigen polysaccharide</v>
          </cell>
        </row>
        <row r="11784">
          <cell r="A11784" t="str">
            <v>LPS55_VL_p</v>
          </cell>
          <cell r="B11784" t="str">
            <v>LPS55_VL</v>
          </cell>
          <cell r="C11784" t="str">
            <v>Periplasmic lipopolysaccharide group O:55 with a very long O antigen polysaccharide</v>
          </cell>
        </row>
        <row r="11785">
          <cell r="A11785" t="str">
            <v>LPS38_VL_e</v>
          </cell>
          <cell r="B11785" t="str">
            <v>LPS38_VL</v>
          </cell>
          <cell r="C11785" t="str">
            <v>Periplasmic lipopolysaccharide group O:38 with a very long O antigen polysaccharide</v>
          </cell>
        </row>
        <row r="11786">
          <cell r="A11786" t="str">
            <v>LPS17__L_e</v>
          </cell>
          <cell r="B11786" t="str">
            <v>LPS17__L</v>
          </cell>
          <cell r="C11786" t="str">
            <v>Periplasmic lipopolysaccharide group O:17 with a long O antigen polysaccharide</v>
          </cell>
        </row>
        <row r="11787">
          <cell r="A11787" t="str">
            <v>LPS30_VL_p</v>
          </cell>
          <cell r="B11787" t="str">
            <v>LPS30_VL</v>
          </cell>
          <cell r="C11787" t="str">
            <v>Periplasmic lipopolysaccharide group O:30 with a very long O antigen polysaccharide</v>
          </cell>
        </row>
        <row r="11788">
          <cell r="A11788" t="str">
            <v>OA56_VL_p</v>
          </cell>
          <cell r="B11788" t="str">
            <v>OA56_VL</v>
          </cell>
          <cell r="C11788" t="str">
            <v>Periplasmic O antigen group O:56 polysaccharide with a very long chain length (100 repeat units)</v>
          </cell>
        </row>
        <row r="11789">
          <cell r="A11789" t="str">
            <v>OA9_46_27_VL_p</v>
          </cell>
          <cell r="B11789" t="str">
            <v>OA9_46_27_VL</v>
          </cell>
          <cell r="C11789" t="str">
            <v>Periplasmic O antigen group O:9 46 27 polysaccharide with a very long chain length (100 repeat units)</v>
          </cell>
        </row>
        <row r="11790">
          <cell r="A11790" t="str">
            <v>LPS42_ST_e</v>
          </cell>
          <cell r="B11790" t="str">
            <v>LPS42_ST</v>
          </cell>
          <cell r="C11790" t="str">
            <v>Periplasmic lipopolysaccharide group O:42 with a short O antigen polysaccharide</v>
          </cell>
        </row>
        <row r="11791">
          <cell r="A11791" t="str">
            <v>LPS44_ST_p</v>
          </cell>
          <cell r="B11791" t="str">
            <v>LPS44_ST</v>
          </cell>
          <cell r="C11791" t="str">
            <v>Extracellular lipopolysaccharide group O:44 with a short O antigen polysaccharide</v>
          </cell>
        </row>
        <row r="11792">
          <cell r="A11792" t="str">
            <v>OA51_VL_p</v>
          </cell>
          <cell r="B11792" t="str">
            <v>OA51_VL</v>
          </cell>
          <cell r="C11792" t="str">
            <v>Periplasmic O antigen group O:51 polysaccharide with a very long chain length (100 repeat units)</v>
          </cell>
        </row>
        <row r="11793">
          <cell r="A11793" t="str">
            <v>LPS4_ST_p</v>
          </cell>
          <cell r="B11793" t="str">
            <v>LPS4_ST</v>
          </cell>
          <cell r="C11793" t="str">
            <v>Extracellular lipopolysaccharide group O:XX with a short O antigen polysaccharide</v>
          </cell>
        </row>
        <row r="11794">
          <cell r="A11794" t="str">
            <v>LPS11_ST_e</v>
          </cell>
          <cell r="B11794" t="str">
            <v>LPS11_ST</v>
          </cell>
          <cell r="C11794" t="str">
            <v>Periplasmic lipopolysaccharide group O:11 with a short O antigen polysaccharide</v>
          </cell>
        </row>
        <row r="11795">
          <cell r="A11795" t="str">
            <v>LPS3_10__L_p</v>
          </cell>
          <cell r="B11795" t="str">
            <v>LPS3_10__L</v>
          </cell>
          <cell r="C11795" t="str">
            <v>Periplasmic lipopolysaccharide group O:3 10 with a long O antigen polysaccharide</v>
          </cell>
        </row>
        <row r="11796">
          <cell r="A11796" t="str">
            <v>LPS45__L_e</v>
          </cell>
          <cell r="B11796" t="str">
            <v>LPS45__L</v>
          </cell>
          <cell r="C11796" t="str">
            <v>Periplasmic lipopolysaccharide group O:45 with a long O antigen polysaccharide</v>
          </cell>
        </row>
        <row r="11797">
          <cell r="A11797" t="str">
            <v>LPS9_46__L_p</v>
          </cell>
          <cell r="B11797" t="str">
            <v>LPS9_46__L</v>
          </cell>
          <cell r="C11797" t="str">
            <v>Lipopolysaccharide O:9 46: Lipid A - [Undecaprenyl-diphosphate-galactose-(alpha 1-&gt;3)-rhamnose-(alpha 1-&gt;4)-mannose-(alpha1-&gt;3)-tyvelose] 25</v>
          </cell>
        </row>
        <row r="11798">
          <cell r="A11798" t="str">
            <v>OA63_VL_p</v>
          </cell>
          <cell r="B11798" t="str">
            <v>OA63_VL</v>
          </cell>
          <cell r="C11798" t="str">
            <v>Periplasmic O antigen group O:63 polysaccharide with a very long chain length (100 repeat units)</v>
          </cell>
        </row>
        <row r="11799">
          <cell r="A11799" t="str">
            <v>OA21_VL_p</v>
          </cell>
          <cell r="B11799" t="str">
            <v>OA21_VL</v>
          </cell>
          <cell r="C11799" t="str">
            <v>Periplasmic O antigen group O:21 polysaccharide with a very long chain length (100 repeat units)</v>
          </cell>
        </row>
        <row r="11800">
          <cell r="A11800" t="str">
            <v>LPS11_VL_p</v>
          </cell>
          <cell r="B11800" t="str">
            <v>LPS11_VL</v>
          </cell>
          <cell r="C11800" t="str">
            <v>Extracellular lipopolysaccharide group O:11 with a very long O antigen polysaccharide</v>
          </cell>
        </row>
        <row r="11801">
          <cell r="A11801" t="str">
            <v>LPS11__L_e</v>
          </cell>
          <cell r="B11801" t="str">
            <v>LPS11__L</v>
          </cell>
          <cell r="C11801" t="str">
            <v>Periplasmic lipopolysaccharide group O:11 with a long O antigen polysaccharide</v>
          </cell>
        </row>
        <row r="11802">
          <cell r="A11802" t="str">
            <v>OA2__L_p</v>
          </cell>
          <cell r="B11802" t="str">
            <v>OA2__L</v>
          </cell>
          <cell r="C11802" t="str">
            <v>Periplasmic O antigen group O:2 polysaccharide with a long chain length (25 repeat units)</v>
          </cell>
        </row>
        <row r="11803">
          <cell r="A11803" t="str">
            <v>LPS50_VL_e</v>
          </cell>
          <cell r="B11803" t="str">
            <v>LPS50_VL</v>
          </cell>
          <cell r="C11803" t="str">
            <v>Periplasmic lipopolysaccharide group O:50 with a very long O antigen polysaccharide</v>
          </cell>
        </row>
        <row r="11804">
          <cell r="A11804" t="str">
            <v>OA57_VL_p</v>
          </cell>
          <cell r="B11804" t="str">
            <v>OA57_VL</v>
          </cell>
          <cell r="C11804" t="str">
            <v>Periplasmic O antigen group O:57 polysaccharide with a very long chain length (100 repeat units)</v>
          </cell>
        </row>
        <row r="11805">
          <cell r="A11805" t="str">
            <v>LPS41_ST_e</v>
          </cell>
          <cell r="B11805" t="str">
            <v>LPS41_ST</v>
          </cell>
          <cell r="C11805" t="str">
            <v>Periplasmic lipopolysaccharide group O:41 with a long O antigen polysaccharide</v>
          </cell>
        </row>
        <row r="11806">
          <cell r="A11806" t="str">
            <v>OA40__L_p</v>
          </cell>
          <cell r="B11806" t="str">
            <v>OA40__L</v>
          </cell>
          <cell r="C11806" t="str">
            <v>Periplasmic O antigen group O:40 polysaccharide with a long chain length (25 repeat units)</v>
          </cell>
        </row>
        <row r="11807">
          <cell r="A11807" t="str">
            <v>LPS35__L_e</v>
          </cell>
          <cell r="B11807" t="str">
            <v>LPS35__L</v>
          </cell>
          <cell r="C11807" t="str">
            <v>Periplasmic lipopolysaccharide group O:35 with a long O antigen polysaccharide</v>
          </cell>
        </row>
        <row r="11808">
          <cell r="A11808" t="str">
            <v>LPS58_VL_p</v>
          </cell>
          <cell r="B11808" t="str">
            <v>LPS58_VL</v>
          </cell>
          <cell r="C11808" t="str">
            <v>Extracellular lipopolysaccharide group O:58 with a very long O antigen polysaccharide</v>
          </cell>
        </row>
        <row r="11809">
          <cell r="A11809" t="str">
            <v>LPS13_ST_e</v>
          </cell>
          <cell r="B11809" t="str">
            <v>LPS13_ST</v>
          </cell>
          <cell r="C11809" t="str">
            <v>Periplasmic lipopolysaccharide group O:13 with a short O antigen polysaccharide</v>
          </cell>
        </row>
        <row r="11810">
          <cell r="A11810" t="str">
            <v>OA7__L_p</v>
          </cell>
          <cell r="B11810" t="str">
            <v>OA7__L</v>
          </cell>
          <cell r="C11810" t="str">
            <v>Periplasmic O antigen group O:7 polysaccharide with a long chain length (25 repeat units)</v>
          </cell>
        </row>
        <row r="11811">
          <cell r="A11811" t="str">
            <v>OA58_VL_p</v>
          </cell>
          <cell r="B11811" t="str">
            <v>OA58_VL</v>
          </cell>
          <cell r="C11811" t="str">
            <v>Periplasmic O antigen group O:58 polysaccharide with a very long chain length (100 repeat units)</v>
          </cell>
        </row>
        <row r="11812">
          <cell r="A11812" t="str">
            <v>LPS56__L_p</v>
          </cell>
          <cell r="B11812" t="str">
            <v>LPS56__L</v>
          </cell>
          <cell r="C11812" t="str">
            <v>Periplasmic lipopolysaccharide group O:56 with a long O antigen polysaccharide</v>
          </cell>
        </row>
        <row r="11813">
          <cell r="A11813" t="str">
            <v>OA66__L_p</v>
          </cell>
          <cell r="B11813" t="str">
            <v>OA66__L</v>
          </cell>
          <cell r="C11813" t="str">
            <v>Periplasmic O antigen group O:66 polysaccharide with a long chain length (25 repeat units)</v>
          </cell>
        </row>
        <row r="11814">
          <cell r="A11814" t="str">
            <v>OA6_14__L_p</v>
          </cell>
          <cell r="B11814" t="str">
            <v>OA6_14__L</v>
          </cell>
          <cell r="C11814" t="str">
            <v>Periplasmic O antigen group O:6 14 polysaccharide with a long chain length (25 repeat units)</v>
          </cell>
        </row>
        <row r="11815">
          <cell r="A11815" t="str">
            <v>OA56__L_p</v>
          </cell>
          <cell r="B11815" t="str">
            <v>OA56__L</v>
          </cell>
          <cell r="C11815" t="str">
            <v>Periplasmic O antigen group O:56 polysaccharide with a long chain length (25 repeat units</v>
          </cell>
        </row>
        <row r="11816">
          <cell r="A11816" t="str">
            <v>13dpg_c</v>
          </cell>
          <cell r="B11816" t="str">
            <v>13dpg</v>
          </cell>
          <cell r="C11816" t="str">
            <v>3-Phospho-D-glyceroyl phosphate</v>
          </cell>
        </row>
        <row r="11817">
          <cell r="A11817" t="str">
            <v>1pyr5c_c</v>
          </cell>
          <cell r="B11817" t="str">
            <v>1pyr5c</v>
          </cell>
          <cell r="C11817" t="str">
            <v>1-Pyrroline-5-carboxylate</v>
          </cell>
        </row>
        <row r="11818">
          <cell r="A11818" t="str">
            <v>1tdec7eg3p_c</v>
          </cell>
          <cell r="B11818" t="str">
            <v>1tdec7eg3p</v>
          </cell>
          <cell r="C11818" t="str">
            <v>1-tetradec-7-enoyl-sn-glycerol 3-phosphate</v>
          </cell>
        </row>
        <row r="11819">
          <cell r="A11819" t="str">
            <v>23dappa_c</v>
          </cell>
          <cell r="B11819" t="str">
            <v>23dappa</v>
          </cell>
          <cell r="C11819" t="str">
            <v>2,3-diaminopropionate</v>
          </cell>
        </row>
        <row r="11820">
          <cell r="A11820" t="str">
            <v>23dhacoa_c</v>
          </cell>
          <cell r="B11820" t="str">
            <v>23dhacoa</v>
          </cell>
          <cell r="C11820" t="str">
            <v>2,3-dehydroadipyl-CoA</v>
          </cell>
        </row>
        <row r="11821">
          <cell r="A11821" t="str">
            <v>23dhb_c</v>
          </cell>
          <cell r="B11821" t="str">
            <v>23dhb</v>
          </cell>
          <cell r="C11821" t="str">
            <v>2,3-Dihydroxybenzoate</v>
          </cell>
        </row>
        <row r="11822">
          <cell r="A11822" t="str">
            <v>23dhmp_c</v>
          </cell>
          <cell r="B11822" t="str">
            <v>23dhmp</v>
          </cell>
          <cell r="C11822" t="str">
            <v>(R)-2,3-Dihydroxy-3-methylpentanoate</v>
          </cell>
        </row>
        <row r="11823">
          <cell r="A11823" t="str">
            <v>23doguln_c</v>
          </cell>
          <cell r="B11823" t="str">
            <v>23doguln</v>
          </cell>
          <cell r="C11823" t="str">
            <v>2,3-Dioxo-L-gulonate</v>
          </cell>
        </row>
        <row r="11824">
          <cell r="A11824" t="str">
            <v>25aics_c</v>
          </cell>
          <cell r="B11824" t="str">
            <v>25aics</v>
          </cell>
          <cell r="C11824" t="str">
            <v>(S)-2-[5-Amino-1-(5-phospho-D-ribosyl)imidazole-4-carboxamido]succinate</v>
          </cell>
        </row>
        <row r="11825">
          <cell r="A11825" t="str">
            <v>2agpe120_c</v>
          </cell>
          <cell r="B11825" t="str">
            <v>2agpe120</v>
          </cell>
          <cell r="C11825" t="str">
            <v>2-Acyl-sn-glycero-3-phosphoethanolamine (n-C12:0)</v>
          </cell>
        </row>
        <row r="11826">
          <cell r="A11826" t="str">
            <v>2agpe161_c</v>
          </cell>
          <cell r="B11826" t="str">
            <v>2agpe161</v>
          </cell>
          <cell r="C11826" t="str">
            <v>2-Acyl-sn-glycero-3-phosphoethanolamine (n-C16:1)</v>
          </cell>
        </row>
        <row r="11827">
          <cell r="A11827" t="str">
            <v>2agpe180_c</v>
          </cell>
          <cell r="B11827" t="str">
            <v>2agpe180</v>
          </cell>
          <cell r="C11827" t="str">
            <v>2-Acyl-sn-glycero-3-phosphoethanolamine (n-C18:0)</v>
          </cell>
        </row>
        <row r="11828">
          <cell r="A11828" t="str">
            <v>2agpg141_c</v>
          </cell>
          <cell r="B11828" t="str">
            <v>2agpg141</v>
          </cell>
          <cell r="C11828" t="str">
            <v>2-Acyl-sn-glycero-3-phosphoglycerol (n-C14:1)</v>
          </cell>
        </row>
        <row r="11829">
          <cell r="A11829" t="str">
            <v>2ahbut_c</v>
          </cell>
          <cell r="B11829" t="str">
            <v>2ahbut</v>
          </cell>
          <cell r="C11829" t="str">
            <v>(S)-2-Aceto-2-hydroxybutanoate</v>
          </cell>
        </row>
        <row r="11830">
          <cell r="A11830" t="str">
            <v>2dda7p_c</v>
          </cell>
          <cell r="B11830" t="str">
            <v>2dda7p</v>
          </cell>
          <cell r="C11830" t="str">
            <v>2-Dehydro-3-deoxy-D-arabino-heptonate 7-phosphate</v>
          </cell>
        </row>
        <row r="11831">
          <cell r="A11831" t="str">
            <v>2ddg6p_c</v>
          </cell>
          <cell r="B11831" t="str">
            <v>2ddg6p</v>
          </cell>
          <cell r="C11831" t="str">
            <v>2-Dehydro-3-deoxy-D-gluconate 6-phosphate</v>
          </cell>
        </row>
        <row r="11832">
          <cell r="A11832" t="str">
            <v>2ddglcn_c</v>
          </cell>
          <cell r="B11832" t="str">
            <v>2ddglcn</v>
          </cell>
          <cell r="C11832" t="str">
            <v>2-Dehydro-3-deoxy-D-gluconate</v>
          </cell>
        </row>
        <row r="11833">
          <cell r="A11833" t="str">
            <v>2dhguln_c</v>
          </cell>
          <cell r="B11833" t="str">
            <v>2dhguln</v>
          </cell>
          <cell r="C11833" t="str">
            <v>2-Dehydro-L-gulonate</v>
          </cell>
        </row>
        <row r="11834">
          <cell r="A11834" t="str">
            <v>2fe1s_c</v>
          </cell>
          <cell r="B11834" t="str">
            <v>2fe1s</v>
          </cell>
          <cell r="C11834" t="str">
            <v>[2Fe-1S] desulfurated iron-sulfur cluster</v>
          </cell>
        </row>
        <row r="11835">
          <cell r="A11835" t="str">
            <v>2ippm_c</v>
          </cell>
          <cell r="B11835" t="str">
            <v>2ippm</v>
          </cell>
          <cell r="C11835" t="str">
            <v>2-Isopropylmaleate</v>
          </cell>
        </row>
        <row r="11836">
          <cell r="A11836" t="str">
            <v>2me4p_c</v>
          </cell>
          <cell r="B11836" t="str">
            <v>2me4p</v>
          </cell>
          <cell r="C11836" t="str">
            <v>2-C-methyl-D-erythritol 4-phosphate</v>
          </cell>
        </row>
        <row r="11837">
          <cell r="A11837" t="str">
            <v>2mecdp_c</v>
          </cell>
          <cell r="B11837" t="str">
            <v>2mecdp</v>
          </cell>
          <cell r="C11837" t="str">
            <v>2-C-methyl-D-erythritol 2,4-cyclodiphosphate</v>
          </cell>
        </row>
        <row r="11838">
          <cell r="A11838" t="str">
            <v>2odec11eg3p_c</v>
          </cell>
          <cell r="B11838" t="str">
            <v>2odec11eg3p</v>
          </cell>
          <cell r="C11838" t="str">
            <v>2-octadec-11-enoyl-sn-glycerol 3-phosphate</v>
          </cell>
        </row>
        <row r="11839">
          <cell r="A11839" t="str">
            <v>2oxpaccoa_c</v>
          </cell>
          <cell r="B11839" t="str">
            <v>2oxpaccoa</v>
          </cell>
          <cell r="C11839" t="str">
            <v>2-oxepin-2(3H)-ylideneacetyl-CoA</v>
          </cell>
        </row>
        <row r="11840">
          <cell r="A11840" t="str">
            <v>2shchc_c</v>
          </cell>
          <cell r="B11840" t="str">
            <v>2shchc</v>
          </cell>
          <cell r="C11840" t="str">
            <v>2-Succinyl-6-hydroxy-2,4-cyclohexadiene-1-carboxylate</v>
          </cell>
        </row>
        <row r="11841">
          <cell r="A11841" t="str">
            <v>2tdec7eg3p_c</v>
          </cell>
          <cell r="B11841" t="str">
            <v>2tdec7eg3p</v>
          </cell>
          <cell r="C11841" t="str">
            <v>2-tetradec-7-enoyl-sn-glycerol 3-phosphate</v>
          </cell>
        </row>
        <row r="11842">
          <cell r="A11842" t="str">
            <v>3dhguln_c</v>
          </cell>
          <cell r="B11842" t="str">
            <v>3dhguln</v>
          </cell>
          <cell r="C11842" t="str">
            <v>3-Dehydro-L-gulonate</v>
          </cell>
        </row>
        <row r="11843">
          <cell r="A11843" t="str">
            <v>3dhsk_c</v>
          </cell>
          <cell r="B11843" t="str">
            <v>3dhsk</v>
          </cell>
          <cell r="C11843" t="str">
            <v>3-Dehydroshikimate</v>
          </cell>
        </row>
        <row r="11844">
          <cell r="A11844" t="str">
            <v>3hcinnm_c</v>
          </cell>
          <cell r="B11844" t="str">
            <v>3hcinnm</v>
          </cell>
          <cell r="C11844" t="str">
            <v>3-hydroxycinnamic acid</v>
          </cell>
        </row>
        <row r="11845">
          <cell r="A11845" t="str">
            <v>3hcvac11eACP_c</v>
          </cell>
          <cell r="B11845" t="str">
            <v>3hcvac11eACP</v>
          </cell>
          <cell r="C11845" t="str">
            <v>(R)-3-hydroxy-cis-vacc-11-enoyl-[acyl-carrier protein]</v>
          </cell>
        </row>
        <row r="11846">
          <cell r="A11846" t="str">
            <v>3hddecACP_c</v>
          </cell>
          <cell r="B11846" t="str">
            <v>3hddecACP</v>
          </cell>
          <cell r="C11846" t="str">
            <v>(R)-3-Hydroxydodecanoyl-[acyl-carrier protein]</v>
          </cell>
        </row>
        <row r="11847">
          <cell r="A11847" t="str">
            <v>3hoctACP_c</v>
          </cell>
          <cell r="B11847" t="str">
            <v>3hoctACP</v>
          </cell>
          <cell r="C11847" t="str">
            <v>(R)-3-Hydroxyoctanoyl-[acyl-carrier protein]</v>
          </cell>
        </row>
        <row r="11848">
          <cell r="A11848" t="str">
            <v>3hpalmACP_c</v>
          </cell>
          <cell r="B11848" t="str">
            <v>3hpalmACP</v>
          </cell>
          <cell r="C11848" t="str">
            <v>R-3-hydroxypalmitoyl-[acyl-carrier protein]</v>
          </cell>
        </row>
        <row r="11849">
          <cell r="A11849" t="str">
            <v>3htdcoa_c</v>
          </cell>
          <cell r="B11849" t="str">
            <v>3htdcoa</v>
          </cell>
          <cell r="C11849" t="str">
            <v>(S)-3-Hydroxytetradecanoyl-CoA</v>
          </cell>
        </row>
        <row r="11850">
          <cell r="A11850" t="str">
            <v>3ig3p_c</v>
          </cell>
          <cell r="B11850" t="str">
            <v>3ig3p</v>
          </cell>
          <cell r="C11850" t="str">
            <v>C'-(3-Indolyl)-glycerol 3-phosphate</v>
          </cell>
        </row>
        <row r="11851">
          <cell r="A11851" t="str">
            <v>3mob_c</v>
          </cell>
          <cell r="B11851" t="str">
            <v>3mob</v>
          </cell>
          <cell r="C11851" t="str">
            <v>3-Methyl-2-oxobutanoate</v>
          </cell>
        </row>
        <row r="11852">
          <cell r="A11852" t="str">
            <v>3ocpalm9eACP_c</v>
          </cell>
          <cell r="B11852" t="str">
            <v>3ocpalm9eACP</v>
          </cell>
          <cell r="C11852" t="str">
            <v>3-oxo-cis-palm-9-eoyl-[acyl-carrier protein]</v>
          </cell>
        </row>
        <row r="11853">
          <cell r="A11853" t="str">
            <v>3oddecACP_c</v>
          </cell>
          <cell r="B11853" t="str">
            <v>3oddecACP</v>
          </cell>
          <cell r="C11853" t="str">
            <v>3-Oxododecanoyl-[acyl-carrier protein]</v>
          </cell>
        </row>
        <row r="11854">
          <cell r="A11854" t="str">
            <v>3ohexACP_c</v>
          </cell>
          <cell r="B11854" t="str">
            <v>3ohexACP</v>
          </cell>
          <cell r="C11854" t="str">
            <v>3-Oxohexanoyl-[acyl-carrier protein]</v>
          </cell>
        </row>
        <row r="11855">
          <cell r="A11855" t="str">
            <v>3ooctdACP_c</v>
          </cell>
          <cell r="B11855" t="str">
            <v>3ooctdACP</v>
          </cell>
          <cell r="C11855" t="str">
            <v>3-Oxooctadecanoyl-[acyl-carrier protein]</v>
          </cell>
        </row>
        <row r="11856">
          <cell r="A11856" t="str">
            <v>3ophb_c</v>
          </cell>
          <cell r="B11856" t="str">
            <v>3ophb</v>
          </cell>
          <cell r="C11856" t="str">
            <v>3-Octaprenyl-4-hydroxybenzoate</v>
          </cell>
        </row>
        <row r="11857">
          <cell r="A11857" t="str">
            <v>4abutn_c</v>
          </cell>
          <cell r="B11857" t="str">
            <v>4abutn</v>
          </cell>
          <cell r="C11857" t="str">
            <v>4-Aminobutanal</v>
          </cell>
        </row>
        <row r="11858">
          <cell r="A11858" t="str">
            <v>4adcho_c</v>
          </cell>
          <cell r="B11858" t="str">
            <v>4adcho</v>
          </cell>
          <cell r="C11858" t="str">
            <v>4-amino-4-deoxychorismate</v>
          </cell>
        </row>
        <row r="11859">
          <cell r="A11859" t="str">
            <v>4ampm_c</v>
          </cell>
          <cell r="B11859" t="str">
            <v>4ampm</v>
          </cell>
          <cell r="C11859" t="str">
            <v>4-Amino-2-methyl-5-phosphomethylpyrimidine</v>
          </cell>
        </row>
        <row r="11860">
          <cell r="A11860" t="str">
            <v>4fe4s_c</v>
          </cell>
          <cell r="B11860" t="str">
            <v>4fe4s</v>
          </cell>
          <cell r="C11860" t="str">
            <v>[4Fe-4S] iron-sulfur cluster</v>
          </cell>
        </row>
        <row r="11861">
          <cell r="A11861" t="str">
            <v>4hbz_c</v>
          </cell>
          <cell r="B11861" t="str">
            <v>4hbz</v>
          </cell>
          <cell r="C11861" t="str">
            <v>4-Hydroxybenzoate</v>
          </cell>
        </row>
        <row r="11862">
          <cell r="A11862" t="str">
            <v>4pasp_c</v>
          </cell>
          <cell r="B11862" t="str">
            <v>4pasp</v>
          </cell>
          <cell r="C11862" t="str">
            <v>4-Phospho-L-aspartate</v>
          </cell>
        </row>
        <row r="11863">
          <cell r="A11863" t="str">
            <v>4per_c</v>
          </cell>
          <cell r="B11863" t="str">
            <v>4per</v>
          </cell>
          <cell r="C11863" t="str">
            <v>4-Phospho-D-erythronate</v>
          </cell>
        </row>
        <row r="11864">
          <cell r="A11864" t="str">
            <v>4ppan_c</v>
          </cell>
          <cell r="B11864" t="str">
            <v>4ppan</v>
          </cell>
          <cell r="C11864" t="str">
            <v>D-4'-Phosphopantothenate</v>
          </cell>
        </row>
        <row r="11865">
          <cell r="A11865" t="str">
            <v>5aprbu_c</v>
          </cell>
          <cell r="B11865" t="str">
            <v>5aprbu</v>
          </cell>
          <cell r="C11865" t="str">
            <v>5-Amino-6-(5'-phosphoribitylamino)uracil</v>
          </cell>
        </row>
        <row r="11866">
          <cell r="A11866" t="str">
            <v>5caiz_c</v>
          </cell>
          <cell r="B11866" t="str">
            <v>5caiz</v>
          </cell>
          <cell r="C11866" t="str">
            <v>5-phosphoribosyl-5-carboxyaminoimidazole</v>
          </cell>
        </row>
        <row r="11867">
          <cell r="A11867" t="str">
            <v>5prdmbz_c</v>
          </cell>
          <cell r="B11867" t="str">
            <v>5prdmbz</v>
          </cell>
          <cell r="C11867" t="str">
            <v>N1-(5-Phospho-alpha-D-ribosyl)-5,6-dimethylbenzimidazole</v>
          </cell>
        </row>
        <row r="11868">
          <cell r="A11868" t="str">
            <v>LalaLglu_c</v>
          </cell>
          <cell r="B11868" t="str">
            <v>LalaLglu</v>
          </cell>
          <cell r="C11868" t="str">
            <v>L-alanine-L-glutamate</v>
          </cell>
        </row>
        <row r="11869">
          <cell r="A11869" t="str">
            <v>N1aspmd_c</v>
          </cell>
          <cell r="B11869" t="str">
            <v>N1aspmd</v>
          </cell>
          <cell r="C11869" t="str">
            <v>N1-Acetylspermidine</v>
          </cell>
        </row>
        <row r="11870">
          <cell r="A11870" t="str">
            <v>ac_c</v>
          </cell>
          <cell r="B11870" t="str">
            <v>ac</v>
          </cell>
          <cell r="C11870" t="str">
            <v>Acetate</v>
          </cell>
        </row>
        <row r="11871">
          <cell r="A11871" t="str">
            <v>acgam6p_c</v>
          </cell>
          <cell r="B11871" t="str">
            <v>acgam6p</v>
          </cell>
          <cell r="C11871" t="str">
            <v>N-Acetyl-D-glucosamine 6-phosphate</v>
          </cell>
        </row>
        <row r="11872">
          <cell r="A11872" t="str">
            <v>acglc__D_c</v>
          </cell>
          <cell r="B11872" t="str">
            <v>acglc__D</v>
          </cell>
          <cell r="C11872" t="str">
            <v>6-Acetyl-D-glucose</v>
          </cell>
        </row>
        <row r="11873">
          <cell r="A11873" t="str">
            <v>acmanap_c</v>
          </cell>
          <cell r="B11873" t="str">
            <v>acmanap</v>
          </cell>
          <cell r="C11873" t="str">
            <v>N-Acetyl-D-mannosamine 6-phosphate</v>
          </cell>
        </row>
        <row r="11874">
          <cell r="A11874" t="str">
            <v>acon_C_c</v>
          </cell>
          <cell r="B11874" t="str">
            <v>acon_C</v>
          </cell>
          <cell r="C11874" t="str">
            <v>Cis-Aconitate</v>
          </cell>
        </row>
        <row r="11875">
          <cell r="A11875" t="str">
            <v>acon_T_c</v>
          </cell>
          <cell r="B11875" t="str">
            <v>acon_T</v>
          </cell>
          <cell r="C11875" t="str">
            <v>Trans-Aconitate</v>
          </cell>
        </row>
        <row r="11876">
          <cell r="A11876" t="str">
            <v>adn_c</v>
          </cell>
          <cell r="B11876" t="str">
            <v>adn</v>
          </cell>
          <cell r="C11876" t="str">
            <v>Adenosine</v>
          </cell>
        </row>
        <row r="11877">
          <cell r="A11877" t="str">
            <v>adocbip_c</v>
          </cell>
          <cell r="B11877" t="str">
            <v>adocbip</v>
          </cell>
          <cell r="C11877" t="str">
            <v>Adenosyl cobinamide phosphate</v>
          </cell>
        </row>
        <row r="11878">
          <cell r="A11878" t="str">
            <v>adocbl_c</v>
          </cell>
          <cell r="B11878" t="str">
            <v>adocbl</v>
          </cell>
          <cell r="C11878" t="str">
            <v>Adenosylcobalamin</v>
          </cell>
        </row>
        <row r="11879">
          <cell r="A11879" t="str">
            <v>ahcys_c</v>
          </cell>
          <cell r="B11879" t="str">
            <v>ahcys</v>
          </cell>
          <cell r="C11879" t="str">
            <v>S-Adenosyl-L-homocysteine</v>
          </cell>
        </row>
        <row r="11880">
          <cell r="A11880" t="str">
            <v>ala__D_c</v>
          </cell>
          <cell r="B11880" t="str">
            <v>ala__D</v>
          </cell>
          <cell r="C11880" t="str">
            <v>D-Alanine</v>
          </cell>
        </row>
        <row r="11881">
          <cell r="A11881" t="str">
            <v>alaala_c</v>
          </cell>
          <cell r="B11881" t="str">
            <v>alaala</v>
          </cell>
          <cell r="C11881" t="str">
            <v>D-Alanyl-D-alanine</v>
          </cell>
        </row>
        <row r="11882">
          <cell r="A11882" t="str">
            <v>anhm4p_c</v>
          </cell>
          <cell r="B11882" t="str">
            <v>anhm4p</v>
          </cell>
          <cell r="C11882" t="str">
            <v>1,6-anhydrous-N-Acetylmuramyl-tetrapeptide</v>
          </cell>
        </row>
        <row r="11883">
          <cell r="A11883" t="str">
            <v>ap5a_c</v>
          </cell>
          <cell r="B11883" t="str">
            <v>ap5a</v>
          </cell>
          <cell r="C11883" t="str">
            <v>P1,P5-Bis(5'-adenosyl) pentaphosphate</v>
          </cell>
        </row>
        <row r="11884">
          <cell r="A11884" t="str">
            <v>apoACP_c</v>
          </cell>
          <cell r="B11884" t="str">
            <v>apoACP</v>
          </cell>
          <cell r="C11884" t="str">
            <v>Apoprotein [acyl carrier protein]</v>
          </cell>
        </row>
        <row r="11885">
          <cell r="A11885" t="str">
            <v>appl_c</v>
          </cell>
          <cell r="B11885" t="str">
            <v>appl</v>
          </cell>
          <cell r="C11885" t="str">
            <v>1-Aminopropan-2-ol</v>
          </cell>
        </row>
        <row r="11886">
          <cell r="A11886" t="str">
            <v>asn__L_c</v>
          </cell>
          <cell r="B11886" t="str">
            <v>asn__L</v>
          </cell>
          <cell r="C11886" t="str">
            <v>L-Asparagine</v>
          </cell>
        </row>
        <row r="11887">
          <cell r="A11887" t="str">
            <v>asptrna_c</v>
          </cell>
          <cell r="B11887" t="str">
            <v>asptrna</v>
          </cell>
          <cell r="C11887" t="str">
            <v>L-Aspartyl-tRNA(Asp)</v>
          </cell>
        </row>
        <row r="11888">
          <cell r="A11888" t="str">
            <v>athtp_c</v>
          </cell>
          <cell r="B11888" t="str">
            <v>athtp</v>
          </cell>
          <cell r="C11888" t="str">
            <v>Adenosine thiamine triphosphate</v>
          </cell>
        </row>
        <row r="11889">
          <cell r="A11889" t="str">
            <v>atp_c</v>
          </cell>
          <cell r="B11889" t="str">
            <v>atp</v>
          </cell>
          <cell r="C11889" t="str">
            <v>ATP C10H12N5O13P3</v>
          </cell>
        </row>
        <row r="11890">
          <cell r="A11890" t="str">
            <v>betald_c</v>
          </cell>
          <cell r="B11890" t="str">
            <v>betald</v>
          </cell>
          <cell r="C11890" t="str">
            <v>Betaine aldehyde</v>
          </cell>
        </row>
        <row r="11891">
          <cell r="A11891" t="str">
            <v>bglycogen_c</v>
          </cell>
          <cell r="B11891" t="str">
            <v>bglycogen</v>
          </cell>
          <cell r="C11891" t="str">
            <v>Branching glycogen</v>
          </cell>
        </row>
        <row r="11892">
          <cell r="A11892" t="str">
            <v>bmoco1gdp_c</v>
          </cell>
          <cell r="B11892" t="str">
            <v>bmoco1gdp</v>
          </cell>
          <cell r="C11892" t="str">
            <v>Bis-molybdopterin mono-guanine dinucleotide</v>
          </cell>
        </row>
        <row r="11893">
          <cell r="A11893" t="str">
            <v>bwco1gdp_c</v>
          </cell>
          <cell r="B11893" t="str">
            <v>bwco1gdp</v>
          </cell>
          <cell r="C11893" t="str">
            <v>Tungsten bispterin cofactor mono-guanine dinucleotide</v>
          </cell>
        </row>
        <row r="11894">
          <cell r="A11894" t="str">
            <v>ca2_c</v>
          </cell>
          <cell r="B11894" t="str">
            <v>ca2</v>
          </cell>
          <cell r="C11894" t="str">
            <v>Calcium</v>
          </cell>
        </row>
        <row r="11895">
          <cell r="A11895" t="str">
            <v>camp_c</v>
          </cell>
          <cell r="B11895" t="str">
            <v>camp</v>
          </cell>
          <cell r="C11895" t="str">
            <v>CAMP C10H11N5O6P</v>
          </cell>
        </row>
        <row r="11896">
          <cell r="A11896" t="str">
            <v>cbm_c</v>
          </cell>
          <cell r="B11896" t="str">
            <v>cbm</v>
          </cell>
          <cell r="C11896" t="str">
            <v>Carbamate</v>
          </cell>
        </row>
        <row r="11897">
          <cell r="A11897" t="str">
            <v>cdg_c</v>
          </cell>
          <cell r="B11897" t="str">
            <v>cdg</v>
          </cell>
          <cell r="C11897" t="str">
            <v>7-deaza-7-carboxyguanine</v>
          </cell>
        </row>
        <row r="11898">
          <cell r="A11898" t="str">
            <v>cdp_c</v>
          </cell>
          <cell r="B11898" t="str">
            <v>cdp</v>
          </cell>
          <cell r="C11898" t="str">
            <v>CDP C9H12N3O11P2</v>
          </cell>
        </row>
        <row r="11899">
          <cell r="A11899" t="str">
            <v>cdpdhdec9eg_c</v>
          </cell>
          <cell r="B11899" t="str">
            <v>cdpdhdec9eg</v>
          </cell>
          <cell r="C11899" t="str">
            <v>CDP-1,2-dihexadec-9-enoylglycerol</v>
          </cell>
        </row>
        <row r="11900">
          <cell r="A11900" t="str">
            <v>cdpdodec11eg_c</v>
          </cell>
          <cell r="B11900" t="str">
            <v>cdpdodec11eg</v>
          </cell>
          <cell r="C11900" t="str">
            <v>CDP-1,2-dioctadec-11-enoylglycerol</v>
          </cell>
        </row>
        <row r="11901">
          <cell r="A11901" t="str">
            <v>cdpdtdec7eg_c</v>
          </cell>
          <cell r="B11901" t="str">
            <v>cdpdtdec7eg</v>
          </cell>
          <cell r="C11901" t="str">
            <v>CDP-1,2-ditetradec-7-enoylglycerol</v>
          </cell>
        </row>
        <row r="11902">
          <cell r="A11902" t="str">
            <v>chor_c</v>
          </cell>
          <cell r="B11902" t="str">
            <v>chor</v>
          </cell>
          <cell r="C11902" t="str">
            <v>Chorismate</v>
          </cell>
        </row>
        <row r="11903">
          <cell r="A11903" t="str">
            <v>ckdo_c</v>
          </cell>
          <cell r="B11903" t="str">
            <v>ckdo</v>
          </cell>
          <cell r="C11903" t="str">
            <v>CMP-3-deoxy-D-manno-octulosonate</v>
          </cell>
        </row>
        <row r="11904">
          <cell r="A11904" t="str">
            <v>cobalt2_c</v>
          </cell>
          <cell r="B11904" t="str">
            <v>cobalt2</v>
          </cell>
          <cell r="C11904" t="str">
            <v>Co2+</v>
          </cell>
        </row>
        <row r="11905">
          <cell r="A11905" t="str">
            <v>colipa_c</v>
          </cell>
          <cell r="B11905" t="str">
            <v>colipa</v>
          </cell>
          <cell r="C11905" t="str">
            <v>Core oligosaccharide lipid A</v>
          </cell>
        </row>
        <row r="11906">
          <cell r="A11906" t="str">
            <v>cpg160_c</v>
          </cell>
          <cell r="B11906" t="str">
            <v>cpg160</v>
          </cell>
          <cell r="C11906" t="str">
            <v>Cyclopropane phosphatidylglycerol (dihexadec-9,10-cyclo-anoyl, n-C16:0 cyclo)</v>
          </cell>
        </row>
        <row r="11907">
          <cell r="A11907" t="str">
            <v>cph4_c</v>
          </cell>
          <cell r="B11907" t="str">
            <v>cph4</v>
          </cell>
          <cell r="C11907" t="str">
            <v>6-carboxy-5,6,7,8-tetrahydropterin</v>
          </cell>
        </row>
        <row r="11908">
          <cell r="A11908" t="str">
            <v>cpmp_c</v>
          </cell>
          <cell r="B11908" t="str">
            <v>cpmp</v>
          </cell>
          <cell r="C11908" t="str">
            <v>Cyclic pyranopterin monophosphate</v>
          </cell>
        </row>
        <row r="11909">
          <cell r="A11909" t="str">
            <v>crncoa_c</v>
          </cell>
          <cell r="B11909" t="str">
            <v>crncoa</v>
          </cell>
          <cell r="C11909" t="str">
            <v>L-Carnitinyl-CoA</v>
          </cell>
        </row>
        <row r="11910">
          <cell r="A11910" t="str">
            <v>cu_c</v>
          </cell>
          <cell r="B11910" t="str">
            <v>cu</v>
          </cell>
          <cell r="C11910" t="str">
            <v>Cu+</v>
          </cell>
        </row>
        <row r="11911">
          <cell r="A11911" t="str">
            <v>cynt_c</v>
          </cell>
          <cell r="B11911" t="str">
            <v>cynt</v>
          </cell>
          <cell r="C11911" t="str">
            <v>Cyanate</v>
          </cell>
        </row>
        <row r="11912">
          <cell r="A11912" t="str">
            <v>dad_2_c</v>
          </cell>
          <cell r="B11912" t="str">
            <v>dad_2</v>
          </cell>
          <cell r="C11912" t="str">
            <v>Deoxyadenosine</v>
          </cell>
        </row>
        <row r="11913">
          <cell r="A11913" t="str">
            <v>dad_5_c</v>
          </cell>
          <cell r="B11913" t="str">
            <v>dad_5</v>
          </cell>
          <cell r="C11913" t="str">
            <v>5'-Deoxyadenosine</v>
          </cell>
        </row>
        <row r="11914">
          <cell r="A11914" t="str">
            <v>dadp_c</v>
          </cell>
          <cell r="B11914" t="str">
            <v>dadp</v>
          </cell>
          <cell r="C11914" t="str">
            <v>DADP C10H12N5O9P2</v>
          </cell>
        </row>
        <row r="11915">
          <cell r="A11915" t="str">
            <v>damp_c</v>
          </cell>
          <cell r="B11915" t="str">
            <v>damp</v>
          </cell>
          <cell r="C11915" t="str">
            <v>DAMP C10H12N5O6P</v>
          </cell>
        </row>
        <row r="11916">
          <cell r="A11916" t="str">
            <v>dc2coa_c</v>
          </cell>
          <cell r="B11916" t="str">
            <v>dc2coa</v>
          </cell>
          <cell r="C11916" t="str">
            <v>Trans-Dec-2-enoyl-CoA</v>
          </cell>
        </row>
        <row r="11917">
          <cell r="A11917" t="str">
            <v>dca_c</v>
          </cell>
          <cell r="B11917" t="str">
            <v>dca</v>
          </cell>
          <cell r="C11917" t="str">
            <v>Decanoate (n-C10:0)</v>
          </cell>
        </row>
        <row r="11918">
          <cell r="A11918" t="str">
            <v>dcacoa_c</v>
          </cell>
          <cell r="B11918" t="str">
            <v>dcacoa</v>
          </cell>
          <cell r="C11918" t="str">
            <v>Decanoyl-CoA (n-C10:0CoA)</v>
          </cell>
        </row>
        <row r="11919">
          <cell r="A11919" t="str">
            <v>dcdp_c</v>
          </cell>
          <cell r="B11919" t="str">
            <v>dcdp</v>
          </cell>
          <cell r="C11919" t="str">
            <v>DCDP C9H12N3O10P2</v>
          </cell>
        </row>
        <row r="11920">
          <cell r="A11920" t="str">
            <v>dcmp_c</v>
          </cell>
          <cell r="B11920" t="str">
            <v>dcmp</v>
          </cell>
          <cell r="C11920" t="str">
            <v>DCMP C9H12N3O7P</v>
          </cell>
        </row>
        <row r="11921">
          <cell r="A11921" t="str">
            <v>dhap_c</v>
          </cell>
          <cell r="B11921" t="str">
            <v>dhap</v>
          </cell>
          <cell r="C11921" t="str">
            <v>Dihydroxyacetone phosphate</v>
          </cell>
        </row>
        <row r="11922">
          <cell r="A11922" t="str">
            <v>dhcinnm_c</v>
          </cell>
          <cell r="B11922" t="str">
            <v>dhcinnm</v>
          </cell>
          <cell r="C11922" t="str">
            <v>2,3-dihydroxicinnamic acid</v>
          </cell>
        </row>
        <row r="11923">
          <cell r="A11923" t="str">
            <v>dhf_c</v>
          </cell>
          <cell r="B11923" t="str">
            <v>dhf</v>
          </cell>
          <cell r="C11923" t="str">
            <v>7,8-Dihydrofolate</v>
          </cell>
        </row>
        <row r="11924">
          <cell r="A11924" t="str">
            <v>dhor__S_c</v>
          </cell>
          <cell r="B11924" t="str">
            <v>dhor__S</v>
          </cell>
          <cell r="C11924" t="str">
            <v>(S)-Dihydroorotate</v>
          </cell>
        </row>
        <row r="11925">
          <cell r="A11925" t="str">
            <v>dhptd_c</v>
          </cell>
          <cell r="B11925" t="str">
            <v>dhptd</v>
          </cell>
          <cell r="C11925" t="str">
            <v>4,5-dihydroxy-2,3-pentanedione</v>
          </cell>
        </row>
        <row r="11926">
          <cell r="A11926" t="str">
            <v>didp_c</v>
          </cell>
          <cell r="B11926" t="str">
            <v>didp</v>
          </cell>
          <cell r="C11926" t="str">
            <v>DIDP; 2'-deoxyinosine-5'-diphosphate(3-)</v>
          </cell>
        </row>
        <row r="11927">
          <cell r="A11927" t="str">
            <v>dsbdox_c</v>
          </cell>
          <cell r="B11927" t="str">
            <v>dsbdox</v>
          </cell>
          <cell r="C11927" t="str">
            <v>Fused thiol:disulfide interchange protein (oxidized)</v>
          </cell>
        </row>
        <row r="11928">
          <cell r="A11928" t="str">
            <v>dscl_c</v>
          </cell>
          <cell r="B11928" t="str">
            <v>dscl</v>
          </cell>
          <cell r="C11928" t="str">
            <v>Dihydrosirohydrochlorin</v>
          </cell>
        </row>
        <row r="11929">
          <cell r="A11929" t="str">
            <v>dtbt_c</v>
          </cell>
          <cell r="B11929" t="str">
            <v>dtbt</v>
          </cell>
          <cell r="C11929" t="str">
            <v>Dethiobiotin</v>
          </cell>
        </row>
        <row r="11930">
          <cell r="A11930" t="str">
            <v>dtdp4d6dm_c</v>
          </cell>
          <cell r="B11930" t="str">
            <v>dtdp4d6dm</v>
          </cell>
          <cell r="C11930" t="str">
            <v>DTDP-4-dehydro-6-deoxy-L-mannose</v>
          </cell>
        </row>
        <row r="11931">
          <cell r="A11931" t="str">
            <v>dtdprmn_c</v>
          </cell>
          <cell r="B11931" t="str">
            <v>dtdprmn</v>
          </cell>
          <cell r="C11931" t="str">
            <v>DTDP-L-rhamnose</v>
          </cell>
        </row>
        <row r="11932">
          <cell r="A11932" t="str">
            <v>e4p_c</v>
          </cell>
          <cell r="B11932" t="str">
            <v>e4p</v>
          </cell>
          <cell r="C11932" t="str">
            <v>D-Erythrose 4-phosphate</v>
          </cell>
        </row>
        <row r="11933">
          <cell r="A11933" t="str">
            <v>egmeACP_c</v>
          </cell>
          <cell r="B11933" t="str">
            <v>egmeACP</v>
          </cell>
          <cell r="C11933" t="str">
            <v>Enoylglutaryl-[acyl-carrier protein] methyl ester</v>
          </cell>
        </row>
        <row r="11934">
          <cell r="A11934" t="str">
            <v>epmeACP_c</v>
          </cell>
          <cell r="B11934" t="str">
            <v>epmeACP</v>
          </cell>
          <cell r="C11934" t="str">
            <v>Enoylpimeloyl-[acyl-carrier protein] methyl ester</v>
          </cell>
        </row>
        <row r="11935">
          <cell r="A11935" t="str">
            <v>f6p_c</v>
          </cell>
          <cell r="B11935" t="str">
            <v>f6p</v>
          </cell>
          <cell r="C11935" t="str">
            <v>D-Fructose 6-phosphate</v>
          </cell>
        </row>
        <row r="11936">
          <cell r="A11936" t="str">
            <v>fdp_c</v>
          </cell>
          <cell r="B11936" t="str">
            <v>fdp</v>
          </cell>
          <cell r="C11936" t="str">
            <v>D-Fructose 1,6-bisphosphate</v>
          </cell>
        </row>
        <row r="11937">
          <cell r="A11937" t="str">
            <v>fe3dhbzs_c</v>
          </cell>
          <cell r="B11937" t="str">
            <v>fe3dhbzs</v>
          </cell>
          <cell r="C11937" t="str">
            <v>Ferric 2,3-dihydroxybenzoylserine</v>
          </cell>
        </row>
        <row r="11938">
          <cell r="A11938" t="str">
            <v>fe3hox_un_c</v>
          </cell>
          <cell r="B11938" t="str">
            <v>fe3hox_un</v>
          </cell>
          <cell r="C11938" t="str">
            <v>Fe(III)hydoxamate, unloaded</v>
          </cell>
        </row>
        <row r="11939">
          <cell r="A11939" t="str">
            <v>flxr_c</v>
          </cell>
          <cell r="B11939" t="str">
            <v>flxr</v>
          </cell>
          <cell r="C11939" t="str">
            <v>Flavodoxin reduced</v>
          </cell>
        </row>
        <row r="11940">
          <cell r="A11940" t="str">
            <v>fmettrna_c</v>
          </cell>
          <cell r="B11940" t="str">
            <v>fmettrna</v>
          </cell>
          <cell r="C11940" t="str">
            <v>N-Formylmethionyl-tRNA</v>
          </cell>
        </row>
        <row r="11941">
          <cell r="A11941" t="str">
            <v>fmnh2_c</v>
          </cell>
          <cell r="B11941" t="str">
            <v>fmnh2</v>
          </cell>
          <cell r="C11941" t="str">
            <v>Reduced FMN</v>
          </cell>
        </row>
        <row r="11942">
          <cell r="A11942" t="str">
            <v>for_c</v>
          </cell>
          <cell r="B11942" t="str">
            <v>for</v>
          </cell>
          <cell r="C11942" t="str">
            <v>Formate</v>
          </cell>
        </row>
        <row r="11943">
          <cell r="A11943" t="str">
            <v>fprica_c</v>
          </cell>
          <cell r="B11943" t="str">
            <v>fprica</v>
          </cell>
          <cell r="C11943" t="str">
            <v>5-Formamido-1-(5-phospho-D-ribosyl)imidazole-4-carboxamide</v>
          </cell>
        </row>
        <row r="11944">
          <cell r="A11944" t="str">
            <v>fum_c</v>
          </cell>
          <cell r="B11944" t="str">
            <v>fum</v>
          </cell>
          <cell r="C11944" t="str">
            <v>Fumarate</v>
          </cell>
        </row>
        <row r="11945">
          <cell r="A11945" t="str">
            <v>g3pg_c</v>
          </cell>
          <cell r="B11945" t="str">
            <v>g3pg</v>
          </cell>
          <cell r="C11945" t="str">
            <v>Glycerophosphoglycerol</v>
          </cell>
        </row>
        <row r="11946">
          <cell r="A11946" t="str">
            <v>gal_c</v>
          </cell>
          <cell r="B11946" t="str">
            <v>gal</v>
          </cell>
          <cell r="C11946" t="str">
            <v>D-Galactose</v>
          </cell>
        </row>
        <row r="11947">
          <cell r="A11947" t="str">
            <v>gal1p_c</v>
          </cell>
          <cell r="B11947" t="str">
            <v>gal1p</v>
          </cell>
          <cell r="C11947" t="str">
            <v>Alpha-D-Galactose 1-phosphate</v>
          </cell>
        </row>
        <row r="11948">
          <cell r="A11948" t="str">
            <v>galct__D_c</v>
          </cell>
          <cell r="B11948" t="str">
            <v>galct__D</v>
          </cell>
          <cell r="C11948" t="str">
            <v>D-Galactarate</v>
          </cell>
        </row>
        <row r="11949">
          <cell r="A11949" t="str">
            <v>galctn__D_c</v>
          </cell>
          <cell r="B11949" t="str">
            <v>galctn__D</v>
          </cell>
          <cell r="C11949" t="str">
            <v>D-Galactonate</v>
          </cell>
        </row>
        <row r="11950">
          <cell r="A11950" t="str">
            <v>galctn__L_c</v>
          </cell>
          <cell r="B11950" t="str">
            <v>galctn__L</v>
          </cell>
          <cell r="C11950" t="str">
            <v>L-Galactonate</v>
          </cell>
        </row>
        <row r="11951">
          <cell r="A11951" t="str">
            <v>gam1p_c</v>
          </cell>
          <cell r="B11951" t="str">
            <v>gam1p</v>
          </cell>
          <cell r="C11951" t="str">
            <v>D-Glucosamine 1-phosphate</v>
          </cell>
        </row>
        <row r="11952">
          <cell r="A11952" t="str">
            <v>gam6p_c</v>
          </cell>
          <cell r="B11952" t="str">
            <v>gam6p</v>
          </cell>
          <cell r="C11952" t="str">
            <v>D-Glucosamine 6-phosphate</v>
          </cell>
        </row>
        <row r="11953">
          <cell r="A11953" t="str">
            <v>gcald_c</v>
          </cell>
          <cell r="B11953" t="str">
            <v>gcald</v>
          </cell>
          <cell r="C11953" t="str">
            <v>Glycolaldehyde</v>
          </cell>
        </row>
        <row r="11954">
          <cell r="A11954" t="str">
            <v>gdpfuc_c</v>
          </cell>
          <cell r="B11954" t="str">
            <v>gdpfuc</v>
          </cell>
          <cell r="C11954" t="str">
            <v>GDP-L-fucose</v>
          </cell>
        </row>
        <row r="11955">
          <cell r="A11955" t="str">
            <v>ggptrc_c</v>
          </cell>
          <cell r="B11955" t="str">
            <v>ggptrc</v>
          </cell>
          <cell r="C11955" t="str">
            <v>Gamma-glutamyl-putrescine</v>
          </cell>
        </row>
        <row r="11956">
          <cell r="A11956" t="str">
            <v>glntrna_c</v>
          </cell>
          <cell r="B11956" t="str">
            <v>glntrna</v>
          </cell>
          <cell r="C11956" t="str">
            <v>L-Glutaminyl-tRNA(Gln)</v>
          </cell>
        </row>
        <row r="11957">
          <cell r="A11957" t="str">
            <v>glutrna_c</v>
          </cell>
          <cell r="B11957" t="str">
            <v>glutrna</v>
          </cell>
          <cell r="C11957" t="str">
            <v>L-Glutamyl-tRNA(Glu)</v>
          </cell>
        </row>
        <row r="11958">
          <cell r="A11958" t="str">
            <v>glx_c</v>
          </cell>
          <cell r="B11958" t="str">
            <v>glx</v>
          </cell>
          <cell r="C11958" t="str">
            <v>Glyoxylate</v>
          </cell>
        </row>
        <row r="11959">
          <cell r="A11959" t="str">
            <v>glyb_c</v>
          </cell>
          <cell r="B11959" t="str">
            <v>glyb</v>
          </cell>
          <cell r="C11959" t="str">
            <v>Glycine betaine</v>
          </cell>
        </row>
        <row r="11960">
          <cell r="A11960" t="str">
            <v>gmeACP_c</v>
          </cell>
          <cell r="B11960" t="str">
            <v>gmeACP</v>
          </cell>
          <cell r="C11960" t="str">
            <v>Glutaryl-[acyl-carrier protein] methyl ester</v>
          </cell>
        </row>
        <row r="11961">
          <cell r="A11961" t="str">
            <v>grxox_c</v>
          </cell>
          <cell r="B11961" t="str">
            <v>grxox</v>
          </cell>
          <cell r="C11961" t="str">
            <v>Glutaredoxin (oxidized)</v>
          </cell>
        </row>
        <row r="11962">
          <cell r="A11962" t="str">
            <v>gtp_c</v>
          </cell>
          <cell r="B11962" t="str">
            <v>gtp</v>
          </cell>
          <cell r="C11962" t="str">
            <v>GTP C10H12N5O14P3</v>
          </cell>
        </row>
        <row r="11963">
          <cell r="A11963" t="str">
            <v>h2mb4p_c</v>
          </cell>
          <cell r="B11963" t="str">
            <v>h2mb4p</v>
          </cell>
          <cell r="C11963" t="str">
            <v>1-hydroxy-2-methyl-2-(E)-butenyl 4-diphosphate</v>
          </cell>
        </row>
        <row r="11964">
          <cell r="A11964" t="str">
            <v>h2o2_c</v>
          </cell>
          <cell r="B11964" t="str">
            <v>h2o2</v>
          </cell>
          <cell r="C11964" t="str">
            <v>Hydrogen peroxide</v>
          </cell>
        </row>
        <row r="11965">
          <cell r="A11965" t="str">
            <v>h2s_c</v>
          </cell>
          <cell r="B11965" t="str">
            <v>h2s</v>
          </cell>
          <cell r="C11965" t="str">
            <v>Hydrogen sulfide</v>
          </cell>
        </row>
        <row r="11966">
          <cell r="A11966" t="str">
            <v>hco3_c</v>
          </cell>
          <cell r="B11966" t="str">
            <v>hco3</v>
          </cell>
          <cell r="C11966" t="str">
            <v>Bicarbonate</v>
          </cell>
        </row>
        <row r="11967">
          <cell r="A11967" t="str">
            <v>hdcap_c</v>
          </cell>
          <cell r="B11967" t="str">
            <v>hdcap</v>
          </cell>
          <cell r="C11967" t="str">
            <v>Hexadecanoyl-phosphate (n-C16:0)</v>
          </cell>
        </row>
        <row r="11968">
          <cell r="A11968" t="str">
            <v>hdcoa_c</v>
          </cell>
          <cell r="B11968" t="str">
            <v>hdcoa</v>
          </cell>
          <cell r="C11968" t="str">
            <v>Hexadecenoyl-CoA (n-C16:1CoA)</v>
          </cell>
        </row>
        <row r="11969">
          <cell r="A11969" t="str">
            <v>hdeACP_c</v>
          </cell>
          <cell r="B11969" t="str">
            <v>hdeACP</v>
          </cell>
          <cell r="C11969" t="str">
            <v>Cis-hexadec-9-enoyl-[acyl-carrier protein] (n-C16:1)</v>
          </cell>
        </row>
        <row r="11970">
          <cell r="A11970" t="str">
            <v>hgmeACP_c</v>
          </cell>
          <cell r="B11970" t="str">
            <v>hgmeACP</v>
          </cell>
          <cell r="C11970" t="str">
            <v>3-Hydroxyglutaryl-[acyl-carrier protein] methyl ester</v>
          </cell>
        </row>
        <row r="11971">
          <cell r="A11971" t="str">
            <v>histrna_c</v>
          </cell>
          <cell r="B11971" t="str">
            <v>histrna</v>
          </cell>
          <cell r="C11971" t="str">
            <v>L-Histidyl-tRNA(His)</v>
          </cell>
        </row>
        <row r="11972">
          <cell r="A11972" t="str">
            <v>hmbil_c</v>
          </cell>
          <cell r="B11972" t="str">
            <v>hmbil</v>
          </cell>
          <cell r="C11972" t="str">
            <v>Hydroxymethylbilane</v>
          </cell>
        </row>
        <row r="11973">
          <cell r="A11973" t="str">
            <v>hpyr_c</v>
          </cell>
          <cell r="B11973" t="str">
            <v>hpyr</v>
          </cell>
          <cell r="C11973" t="str">
            <v>Hydroxypyruvate</v>
          </cell>
        </row>
        <row r="11974">
          <cell r="A11974" t="str">
            <v>hx2coa_c</v>
          </cell>
          <cell r="B11974" t="str">
            <v>hx2coa</v>
          </cell>
          <cell r="C11974" t="str">
            <v>Trans-Hex-2-enoyl-CoA</v>
          </cell>
        </row>
        <row r="11975">
          <cell r="A11975" t="str">
            <v>hxa_c</v>
          </cell>
          <cell r="B11975" t="str">
            <v>hxa</v>
          </cell>
          <cell r="C11975" t="str">
            <v>Hexanoate (n-C6:0)</v>
          </cell>
        </row>
        <row r="11976">
          <cell r="A11976" t="str">
            <v>iletrna_c</v>
          </cell>
          <cell r="B11976" t="str">
            <v>iletrna</v>
          </cell>
          <cell r="C11976" t="str">
            <v>L-Isoleucyl-tRNA(Ile)</v>
          </cell>
        </row>
        <row r="11977">
          <cell r="A11977" t="str">
            <v>ins_c</v>
          </cell>
          <cell r="B11977" t="str">
            <v>ins</v>
          </cell>
          <cell r="C11977" t="str">
            <v>Inosine</v>
          </cell>
        </row>
        <row r="11978">
          <cell r="A11978" t="str">
            <v>iscs_c</v>
          </cell>
          <cell r="B11978" t="str">
            <v>iscs</v>
          </cell>
          <cell r="C11978" t="str">
            <v>IscS sulfur acceptor protein</v>
          </cell>
        </row>
        <row r="11979">
          <cell r="A11979" t="str">
            <v>iscu_2fe2s2_c</v>
          </cell>
          <cell r="B11979" t="str">
            <v>iscu_2fe2s2</v>
          </cell>
          <cell r="C11979" t="str">
            <v>IscU with two bound [2Fe-2S] clusters</v>
          </cell>
        </row>
        <row r="11980">
          <cell r="A11980" t="str">
            <v>iscu_4fe4s_c</v>
          </cell>
          <cell r="B11980" t="str">
            <v>iscu_4fe4s</v>
          </cell>
          <cell r="C11980" t="str">
            <v>IscU with bound [4Fe-4S] cluster</v>
          </cell>
        </row>
        <row r="11981">
          <cell r="A11981" t="str">
            <v>kdo2lipid4_c</v>
          </cell>
          <cell r="B11981" t="str">
            <v>kdo2lipid4</v>
          </cell>
          <cell r="C11981" t="str">
            <v>KDO(2)-lipid IV(A)</v>
          </cell>
        </row>
        <row r="11982">
          <cell r="A11982" t="str">
            <v>kdo2lipid4p_c</v>
          </cell>
          <cell r="B11982" t="str">
            <v>kdo2lipid4p</v>
          </cell>
          <cell r="C11982" t="str">
            <v>KDO(2)-lipid IV(A) with palmitoleoyl</v>
          </cell>
        </row>
        <row r="11983">
          <cell r="A11983" t="str">
            <v>kphphhlipa_c</v>
          </cell>
          <cell r="B11983" t="str">
            <v>kphphhlipa</v>
          </cell>
          <cell r="C11983" t="str">
            <v>Kdo-phospho-heptosyl-phospho-heptosyl-heptosyl-kdo2-lipidA</v>
          </cell>
        </row>
        <row r="11984">
          <cell r="A11984" t="str">
            <v>lac__D_c</v>
          </cell>
          <cell r="B11984" t="str">
            <v>lac__D</v>
          </cell>
          <cell r="C11984" t="str">
            <v>D-Lactate</v>
          </cell>
        </row>
        <row r="11985">
          <cell r="A11985" t="str">
            <v>lac__L_c</v>
          </cell>
          <cell r="B11985" t="str">
            <v>lac__L</v>
          </cell>
          <cell r="C11985" t="str">
            <v>L-Lactate</v>
          </cell>
        </row>
        <row r="11986">
          <cell r="A11986" t="str">
            <v>lald__L_c</v>
          </cell>
          <cell r="B11986" t="str">
            <v>lald__L</v>
          </cell>
          <cell r="C11986" t="str">
            <v>L-Lactaldehyde</v>
          </cell>
        </row>
        <row r="11987">
          <cell r="A11987" t="str">
            <v>leutrna_c</v>
          </cell>
          <cell r="B11987" t="str">
            <v>leutrna</v>
          </cell>
          <cell r="C11987" t="str">
            <v>L-Leucyl-tRNA(Leu)</v>
          </cell>
        </row>
        <row r="11988">
          <cell r="A11988" t="str">
            <v>lipoamp_c</v>
          </cell>
          <cell r="B11988" t="str">
            <v>lipoamp</v>
          </cell>
          <cell r="C11988" t="str">
            <v>Lipoyl-AMP</v>
          </cell>
        </row>
        <row r="11989">
          <cell r="A11989" t="str">
            <v>lyx__L_c</v>
          </cell>
          <cell r="B11989" t="str">
            <v>lyx__L</v>
          </cell>
          <cell r="C11989" t="str">
            <v>L-Lyxose</v>
          </cell>
        </row>
        <row r="11990">
          <cell r="A11990" t="str">
            <v>mal__D_c</v>
          </cell>
          <cell r="B11990" t="str">
            <v>mal__D</v>
          </cell>
          <cell r="C11990" t="str">
            <v>D-Malate</v>
          </cell>
        </row>
        <row r="11991">
          <cell r="A11991" t="str">
            <v>mal__L_c</v>
          </cell>
          <cell r="B11991" t="str">
            <v>mal__L</v>
          </cell>
          <cell r="C11991" t="str">
            <v>L-Malate</v>
          </cell>
        </row>
        <row r="11992">
          <cell r="A11992" t="str">
            <v>malthp_c</v>
          </cell>
          <cell r="B11992" t="str">
            <v>malthp</v>
          </cell>
          <cell r="C11992" t="str">
            <v>Maltoheptaose</v>
          </cell>
        </row>
        <row r="11993">
          <cell r="A11993" t="str">
            <v>malttr_c</v>
          </cell>
          <cell r="B11993" t="str">
            <v>malttr</v>
          </cell>
          <cell r="C11993" t="str">
            <v>Maltotriose C18H32O16</v>
          </cell>
        </row>
        <row r="11994">
          <cell r="A11994" t="str">
            <v>man6p_c</v>
          </cell>
          <cell r="B11994" t="str">
            <v>man6p</v>
          </cell>
          <cell r="C11994" t="str">
            <v>D-Mannose 6-phosphate</v>
          </cell>
        </row>
        <row r="11995">
          <cell r="A11995" t="str">
            <v>meoh_c</v>
          </cell>
          <cell r="B11995" t="str">
            <v>meoh</v>
          </cell>
          <cell r="C11995" t="str">
            <v>Methanol</v>
          </cell>
        </row>
        <row r="11996">
          <cell r="A11996" t="str">
            <v>metsox_R__L_c</v>
          </cell>
          <cell r="B11996" t="str">
            <v>metsox_R__L</v>
          </cell>
          <cell r="C11996" t="str">
            <v>L-methionine-R-sulfoxide</v>
          </cell>
        </row>
        <row r="11997">
          <cell r="A11997" t="str">
            <v>mlthf_c</v>
          </cell>
          <cell r="B11997" t="str">
            <v>mlthf</v>
          </cell>
          <cell r="C11997" t="str">
            <v>5,10-Methylenetetrahydrofolate</v>
          </cell>
        </row>
        <row r="11998">
          <cell r="A11998" t="str">
            <v>mmcoa__S_c</v>
          </cell>
          <cell r="B11998" t="str">
            <v>mmcoa__S</v>
          </cell>
          <cell r="C11998" t="str">
            <v>(S)-Methylmalonyl-CoA</v>
          </cell>
        </row>
        <row r="11999">
          <cell r="A11999" t="str">
            <v>mmet_c</v>
          </cell>
          <cell r="B11999" t="str">
            <v>mmet</v>
          </cell>
          <cell r="C11999" t="str">
            <v>S-Methyl-L-methionine</v>
          </cell>
        </row>
        <row r="12000">
          <cell r="A12000" t="str">
            <v>mn2_c</v>
          </cell>
          <cell r="B12000" t="str">
            <v>mn2</v>
          </cell>
          <cell r="C12000" t="str">
            <v>Manganese</v>
          </cell>
        </row>
        <row r="12001">
          <cell r="A12001" t="str">
            <v>moadamp_c</v>
          </cell>
          <cell r="B12001" t="str">
            <v>moadamp</v>
          </cell>
          <cell r="C12001" t="str">
            <v>MoaD Protein with bound AMP</v>
          </cell>
        </row>
        <row r="12002">
          <cell r="A12002" t="str">
            <v>mococdp_c</v>
          </cell>
          <cell r="B12002" t="str">
            <v>mococdp</v>
          </cell>
          <cell r="C12002" t="str">
            <v>Molybdopterin cytosine dinucleotide</v>
          </cell>
        </row>
        <row r="12003">
          <cell r="A12003" t="str">
            <v>mocogdp_c</v>
          </cell>
          <cell r="B12003" t="str">
            <v>mocogdp</v>
          </cell>
          <cell r="C12003" t="str">
            <v>Molybdopterin guanine dinucleotide</v>
          </cell>
        </row>
        <row r="12004">
          <cell r="A12004" t="str">
            <v>mql8_c</v>
          </cell>
          <cell r="B12004" t="str">
            <v>mql8</v>
          </cell>
          <cell r="C12004" t="str">
            <v>Menaquinol 8</v>
          </cell>
        </row>
        <row r="12005">
          <cell r="A12005" t="str">
            <v>mthgxl_c</v>
          </cell>
          <cell r="B12005" t="str">
            <v>mthgxl</v>
          </cell>
          <cell r="C12005" t="str">
            <v>Methylglyoxal</v>
          </cell>
        </row>
        <row r="12006">
          <cell r="A12006" t="str">
            <v>n8aspmd_c</v>
          </cell>
          <cell r="B12006" t="str">
            <v>n8aspmd</v>
          </cell>
          <cell r="C12006" t="str">
            <v>N8-Acetylspermidine</v>
          </cell>
        </row>
        <row r="12007">
          <cell r="A12007" t="str">
            <v>na1_c</v>
          </cell>
          <cell r="B12007" t="str">
            <v>na1</v>
          </cell>
          <cell r="C12007" t="str">
            <v>Sodium</v>
          </cell>
        </row>
        <row r="12008">
          <cell r="A12008" t="str">
            <v>nadph_c</v>
          </cell>
          <cell r="B12008" t="str">
            <v>nadph</v>
          </cell>
          <cell r="C12008" t="str">
            <v>Nicotinamide adenine dinucleotide phosphate - reduced</v>
          </cell>
        </row>
        <row r="12009">
          <cell r="A12009" t="str">
            <v>nmn_c</v>
          </cell>
          <cell r="B12009" t="str">
            <v>nmn</v>
          </cell>
          <cell r="C12009" t="str">
            <v>NMN C11H14N2O8P</v>
          </cell>
        </row>
        <row r="12010">
          <cell r="A12010" t="str">
            <v>octa_c</v>
          </cell>
          <cell r="B12010" t="str">
            <v>octa</v>
          </cell>
          <cell r="C12010" t="str">
            <v>Octanoate (n-C8:0)</v>
          </cell>
        </row>
        <row r="12011">
          <cell r="A12011" t="str">
            <v>octeACP_c</v>
          </cell>
          <cell r="B12011" t="str">
            <v>octeACP</v>
          </cell>
          <cell r="C12011" t="str">
            <v>Cis-octadec-11-enoyl-[acyl-carrier protein] (n-C18:1)</v>
          </cell>
        </row>
        <row r="12012">
          <cell r="A12012" t="str">
            <v>ogmeACP_c</v>
          </cell>
          <cell r="B12012" t="str">
            <v>ogmeACP</v>
          </cell>
          <cell r="C12012" t="str">
            <v>3-Oxo-glutaryl-[acyl-carrier protein] methyl ester</v>
          </cell>
        </row>
        <row r="12013">
          <cell r="A12013" t="str">
            <v>ohpb_c</v>
          </cell>
          <cell r="B12013" t="str">
            <v>ohpb</v>
          </cell>
          <cell r="C12013" t="str">
            <v>2-Oxo-3-hydroxy-4-phosphobutanoate</v>
          </cell>
        </row>
        <row r="12014">
          <cell r="A12014" t="str">
            <v>orot_c</v>
          </cell>
          <cell r="B12014" t="str">
            <v>orot</v>
          </cell>
          <cell r="C12014" t="str">
            <v>Orotate C5H3N2O4</v>
          </cell>
        </row>
        <row r="12015">
          <cell r="A12015" t="str">
            <v>oxam_c</v>
          </cell>
          <cell r="B12015" t="str">
            <v>oxam</v>
          </cell>
          <cell r="C12015" t="str">
            <v>Oxamate</v>
          </cell>
        </row>
        <row r="12016">
          <cell r="A12016" t="str">
            <v>pa120_c</v>
          </cell>
          <cell r="B12016" t="str">
            <v>pa120</v>
          </cell>
          <cell r="C12016" t="str">
            <v>1,2-didodecanoyl-sn-glycerol 3-phosphate</v>
          </cell>
        </row>
        <row r="12017">
          <cell r="A12017" t="str">
            <v>pa140_c</v>
          </cell>
          <cell r="B12017" t="str">
            <v>pa140</v>
          </cell>
          <cell r="C12017" t="str">
            <v>1,2-ditetradecanoyl-sn-glycerol 3-phosphate</v>
          </cell>
        </row>
        <row r="12018">
          <cell r="A12018" t="str">
            <v>pa181_c</v>
          </cell>
          <cell r="B12018" t="str">
            <v>pa181</v>
          </cell>
          <cell r="C12018" t="str">
            <v>1,2-dioctadec-11-enoyl-sn-glycerol 3-phosphate</v>
          </cell>
        </row>
        <row r="12019">
          <cell r="A12019" t="str">
            <v>pac_c</v>
          </cell>
          <cell r="B12019" t="str">
            <v>pac</v>
          </cell>
          <cell r="C12019" t="str">
            <v>Phenylacetic acid</v>
          </cell>
        </row>
        <row r="12020">
          <cell r="A12020" t="str">
            <v>pan4p_c</v>
          </cell>
          <cell r="B12020" t="str">
            <v>pan4p</v>
          </cell>
          <cell r="C12020" t="str">
            <v>Pantetheine 4'-phosphate</v>
          </cell>
        </row>
        <row r="12021">
          <cell r="A12021" t="str">
            <v>pe161_c</v>
          </cell>
          <cell r="B12021" t="str">
            <v>pe161</v>
          </cell>
          <cell r="C12021" t="str">
            <v>Phosphatidylethanolamine (dihexadec-9enoyl, n-C16:1)</v>
          </cell>
        </row>
        <row r="12022">
          <cell r="A12022" t="str">
            <v>pg140_c</v>
          </cell>
          <cell r="B12022" t="str">
            <v>pg140</v>
          </cell>
          <cell r="C12022" t="str">
            <v>Phosphatidylglycerol (ditetradecanoyl, n-C14:0)</v>
          </cell>
        </row>
        <row r="12023">
          <cell r="A12023" t="str">
            <v>pgp141_c</v>
          </cell>
          <cell r="B12023" t="str">
            <v>pgp141</v>
          </cell>
          <cell r="C12023" t="str">
            <v>Phosphatidylglycerophosphate (ditetradec-7-enoyl, n-C14:1)</v>
          </cell>
        </row>
        <row r="12024">
          <cell r="A12024" t="str">
            <v>pgp161_c</v>
          </cell>
          <cell r="B12024" t="str">
            <v>pgp161</v>
          </cell>
          <cell r="C12024" t="str">
            <v>Phosphatidylglycerophosphate (dihexadec-9-enoyl, n-C16:1)</v>
          </cell>
        </row>
        <row r="12025">
          <cell r="A12025" t="str">
            <v>phetrna_c</v>
          </cell>
          <cell r="B12025" t="str">
            <v>phetrna</v>
          </cell>
          <cell r="C12025" t="str">
            <v>L-Phenylalanyl-tRNA(Phe)</v>
          </cell>
        </row>
        <row r="12026">
          <cell r="A12026" t="str">
            <v>phthr_c</v>
          </cell>
          <cell r="B12026" t="str">
            <v>phthr</v>
          </cell>
          <cell r="C12026" t="str">
            <v>O-Phospho-4-hydroxy-L-threonine</v>
          </cell>
        </row>
        <row r="12027">
          <cell r="A12027" t="str">
            <v>pi_c</v>
          </cell>
          <cell r="B12027" t="str">
            <v>pi</v>
          </cell>
          <cell r="C12027" t="str">
            <v>Phosphate</v>
          </cell>
        </row>
        <row r="12028">
          <cell r="A12028" t="str">
            <v>pnto__R_c</v>
          </cell>
          <cell r="B12028" t="str">
            <v>pnto__R</v>
          </cell>
          <cell r="C12028" t="str">
            <v>(R)-Pantothenate</v>
          </cell>
        </row>
        <row r="12029">
          <cell r="A12029" t="str">
            <v>poaac_c</v>
          </cell>
          <cell r="B12029" t="str">
            <v>poaac</v>
          </cell>
          <cell r="C12029" t="str">
            <v>Peroxyaminoacrylate</v>
          </cell>
        </row>
        <row r="12030">
          <cell r="A12030" t="str">
            <v>ppi_c</v>
          </cell>
          <cell r="B12030" t="str">
            <v>ppi</v>
          </cell>
          <cell r="C12030" t="str">
            <v>Diphosphate</v>
          </cell>
        </row>
        <row r="12031">
          <cell r="A12031" t="str">
            <v>ps140_c</v>
          </cell>
          <cell r="B12031" t="str">
            <v>ps140</v>
          </cell>
          <cell r="C12031" t="str">
            <v>Phosphatidylserine (ditetradecanoyl, n-C14:0)</v>
          </cell>
        </row>
        <row r="12032">
          <cell r="A12032" t="str">
            <v>ps160_c</v>
          </cell>
          <cell r="B12032" t="str">
            <v>ps160</v>
          </cell>
          <cell r="C12032" t="str">
            <v>Phosphatidylserine (dihexadecanoyl, n-C16:0)</v>
          </cell>
        </row>
        <row r="12033">
          <cell r="A12033" t="str">
            <v>ps161_c</v>
          </cell>
          <cell r="B12033" t="str">
            <v>ps161</v>
          </cell>
          <cell r="C12033" t="str">
            <v>Phosphatidylserine (dihexadec-9-enoyl, n-C16:1)</v>
          </cell>
        </row>
        <row r="12034">
          <cell r="A12034" t="str">
            <v>ps180_c</v>
          </cell>
          <cell r="B12034" t="str">
            <v>ps180</v>
          </cell>
          <cell r="C12034" t="str">
            <v>Phosphatidylserine (dioctadecanoyl, n-C18:0)</v>
          </cell>
        </row>
        <row r="12035">
          <cell r="A12035" t="str">
            <v>ps181_c</v>
          </cell>
          <cell r="B12035" t="str">
            <v>ps181</v>
          </cell>
          <cell r="C12035" t="str">
            <v>Phosphatidylserine (dioctadec-11-enoyl, n-C18:1)</v>
          </cell>
        </row>
        <row r="12036">
          <cell r="A12036" t="str">
            <v>q8_c</v>
          </cell>
          <cell r="B12036" t="str">
            <v>q8</v>
          </cell>
          <cell r="C12036" t="str">
            <v>Ubiquinone-8</v>
          </cell>
        </row>
        <row r="12037">
          <cell r="A12037" t="str">
            <v>s17bp_c</v>
          </cell>
          <cell r="B12037" t="str">
            <v>s17bp</v>
          </cell>
          <cell r="C12037" t="str">
            <v>Sedoheptulose 1,7-bisphosphate</v>
          </cell>
        </row>
        <row r="12038">
          <cell r="A12038" t="str">
            <v>sarcs_c</v>
          </cell>
          <cell r="B12038" t="str">
            <v>sarcs</v>
          </cell>
          <cell r="C12038" t="str">
            <v>Sarcosine C3H7NO2</v>
          </cell>
        </row>
        <row r="12039">
          <cell r="A12039" t="str">
            <v>sertrna_sec_c</v>
          </cell>
          <cell r="B12039" t="str">
            <v>sertrna_sec</v>
          </cell>
          <cell r="C12039" t="str">
            <v>L-Seryl-tRNA(Sec)</v>
          </cell>
        </row>
        <row r="12040">
          <cell r="A12040" t="str">
            <v>skm5p_c</v>
          </cell>
          <cell r="B12040" t="str">
            <v>skm5p</v>
          </cell>
          <cell r="C12040" t="str">
            <v>Shikimate 5-phosphate</v>
          </cell>
        </row>
        <row r="12041">
          <cell r="A12041" t="str">
            <v>so2_c</v>
          </cell>
          <cell r="B12041" t="str">
            <v>so2</v>
          </cell>
          <cell r="C12041" t="str">
            <v>Sulfur dioxide</v>
          </cell>
        </row>
        <row r="12042">
          <cell r="A12042" t="str">
            <v>sucbz_c</v>
          </cell>
          <cell r="B12042" t="str">
            <v>sucbz</v>
          </cell>
          <cell r="C12042" t="str">
            <v>O-Succinylbenzoate</v>
          </cell>
        </row>
        <row r="12043">
          <cell r="A12043" t="str">
            <v>sucsal_c</v>
          </cell>
          <cell r="B12043" t="str">
            <v>sucsal</v>
          </cell>
          <cell r="C12043" t="str">
            <v>Succinic semialdehyde</v>
          </cell>
        </row>
        <row r="12044">
          <cell r="A12044" t="str">
            <v>sufbcd_2fe2s_c</v>
          </cell>
          <cell r="B12044" t="str">
            <v>sufbcd_2fe2s</v>
          </cell>
          <cell r="C12044" t="str">
            <v>SufBCD with bound [2Fe-2S] cluster</v>
          </cell>
        </row>
        <row r="12045">
          <cell r="A12045" t="str">
            <v>sufbcd_4fe4s_c</v>
          </cell>
          <cell r="B12045" t="str">
            <v>sufbcd_4fe4s</v>
          </cell>
          <cell r="C12045" t="str">
            <v>SufBCD with bound [4Fe-4S] cluster</v>
          </cell>
        </row>
        <row r="12046">
          <cell r="A12046" t="str">
            <v>sulfac_c</v>
          </cell>
          <cell r="B12046" t="str">
            <v>sulfac</v>
          </cell>
          <cell r="C12046" t="str">
            <v>Sulfoacetate</v>
          </cell>
        </row>
        <row r="12047">
          <cell r="A12047" t="str">
            <v>t3c5ddeceACP_c</v>
          </cell>
          <cell r="B12047" t="str">
            <v>t3c5ddeceACP</v>
          </cell>
          <cell r="C12047" t="str">
            <v>Trans-3-cis-5-dodecenoyl-[acyl-carrier protein]</v>
          </cell>
        </row>
        <row r="12048">
          <cell r="A12048" t="str">
            <v>tartr__L_c</v>
          </cell>
          <cell r="B12048" t="str">
            <v>tartr__L</v>
          </cell>
          <cell r="C12048" t="str">
            <v>L-tartrate</v>
          </cell>
        </row>
        <row r="12049">
          <cell r="A12049" t="str">
            <v>tcynt_c</v>
          </cell>
          <cell r="B12049" t="str">
            <v>tcynt</v>
          </cell>
          <cell r="C12049" t="str">
            <v>Thiocyanate</v>
          </cell>
        </row>
        <row r="12050">
          <cell r="A12050" t="str">
            <v>tdcoa_c</v>
          </cell>
          <cell r="B12050" t="str">
            <v>tdcoa</v>
          </cell>
          <cell r="C12050" t="str">
            <v>Tetradecanoyl-CoA (n-C14:0CoA)</v>
          </cell>
        </row>
        <row r="12051">
          <cell r="A12051" t="str">
            <v>tddec2eACP_c</v>
          </cell>
          <cell r="B12051" t="str">
            <v>tddec2eACP</v>
          </cell>
          <cell r="C12051" t="str">
            <v>Trans-Dodec-2-enoyl-[acyl-carrier protein]</v>
          </cell>
        </row>
        <row r="12052">
          <cell r="A12052" t="str">
            <v>tdec2eACP_c</v>
          </cell>
          <cell r="B12052" t="str">
            <v>tdec2eACP</v>
          </cell>
          <cell r="C12052" t="str">
            <v>Trans-Dec-2-enoyl-[acyl-carrier protein]</v>
          </cell>
        </row>
        <row r="12053">
          <cell r="A12053" t="str">
            <v>thex2eACP_c</v>
          </cell>
          <cell r="B12053" t="str">
            <v>thex2eACP</v>
          </cell>
          <cell r="C12053" t="str">
            <v>Trans-Hex-2-enoyl-[acyl-carrier protein]</v>
          </cell>
        </row>
        <row r="12054">
          <cell r="A12054" t="str">
            <v>thptdn_c</v>
          </cell>
          <cell r="B12054" t="str">
            <v>thptdn</v>
          </cell>
          <cell r="C12054" t="str">
            <v>5,6,7,8-tetrahydropteridine</v>
          </cell>
        </row>
        <row r="12055">
          <cell r="A12055" t="str">
            <v>tre6p_c</v>
          </cell>
          <cell r="B12055" t="str">
            <v>tre6p</v>
          </cell>
          <cell r="C12055" t="str">
            <v>Alpha,alpha'-Trehalose 6-phosphate</v>
          </cell>
        </row>
        <row r="12056">
          <cell r="A12056" t="str">
            <v>trnagln_c</v>
          </cell>
          <cell r="B12056" t="str">
            <v>trnagln</v>
          </cell>
          <cell r="C12056" t="str">
            <v>TRNA(Gln)</v>
          </cell>
        </row>
        <row r="12057">
          <cell r="A12057" t="str">
            <v>trnaleu_c</v>
          </cell>
          <cell r="B12057" t="str">
            <v>trnaleu</v>
          </cell>
          <cell r="C12057" t="str">
            <v>TRNA(Leu)</v>
          </cell>
        </row>
        <row r="12058">
          <cell r="A12058" t="str">
            <v>trnalys_c</v>
          </cell>
          <cell r="B12058" t="str">
            <v>trnalys</v>
          </cell>
          <cell r="C12058" t="str">
            <v>TRNA(Lys)</v>
          </cell>
        </row>
        <row r="12059">
          <cell r="A12059" t="str">
            <v>trnasecys_c</v>
          </cell>
          <cell r="B12059" t="str">
            <v>trnasecys</v>
          </cell>
          <cell r="C12059" t="str">
            <v>TRNA(SeCys)</v>
          </cell>
        </row>
        <row r="12060">
          <cell r="A12060" t="str">
            <v>trnatyr_c</v>
          </cell>
          <cell r="B12060" t="str">
            <v>trnatyr</v>
          </cell>
          <cell r="C12060" t="str">
            <v>TRNA(Tyr)</v>
          </cell>
        </row>
        <row r="12061">
          <cell r="A12061" t="str">
            <v>trnaval_c</v>
          </cell>
          <cell r="B12061" t="str">
            <v>trnaval</v>
          </cell>
          <cell r="C12061" t="str">
            <v>TRNA(Val)</v>
          </cell>
        </row>
        <row r="12062">
          <cell r="A12062" t="str">
            <v>trp__L_c</v>
          </cell>
          <cell r="B12062" t="str">
            <v>trp__L</v>
          </cell>
          <cell r="C12062" t="str">
            <v>L-Tryptophan</v>
          </cell>
        </row>
        <row r="12063">
          <cell r="A12063" t="str">
            <v>ttdca_c</v>
          </cell>
          <cell r="B12063" t="str">
            <v>ttdca</v>
          </cell>
          <cell r="C12063" t="str">
            <v>Tetradecanoate (n-C14:0)</v>
          </cell>
        </row>
        <row r="12064">
          <cell r="A12064" t="str">
            <v>ttdcap_c</v>
          </cell>
          <cell r="B12064" t="str">
            <v>ttdcap</v>
          </cell>
          <cell r="C12064" t="str">
            <v>Tetradecanoyl-phosphate (n-C14:0)</v>
          </cell>
        </row>
        <row r="12065">
          <cell r="A12065" t="str">
            <v>tyr__L_c</v>
          </cell>
          <cell r="B12065" t="str">
            <v>tyr__L</v>
          </cell>
          <cell r="C12065" t="str">
            <v>L-Tyrosine</v>
          </cell>
        </row>
        <row r="12066">
          <cell r="A12066" t="str">
            <v>tyrtrna_c</v>
          </cell>
          <cell r="B12066" t="str">
            <v>tyrtrna</v>
          </cell>
          <cell r="C12066" t="str">
            <v>L-Tyrosyl-tRNA(Tyr)</v>
          </cell>
        </row>
        <row r="12067">
          <cell r="A12067" t="str">
            <v>u23ga_c</v>
          </cell>
          <cell r="B12067" t="str">
            <v>u23ga</v>
          </cell>
          <cell r="C12067" t="str">
            <v>UDP-2,3-bis(3-hydroxytetradecanoyl)glucosamine</v>
          </cell>
        </row>
        <row r="12068">
          <cell r="A12068" t="str">
            <v>udpLa4n_c</v>
          </cell>
          <cell r="B12068" t="str">
            <v>udpLa4n</v>
          </cell>
          <cell r="C12068" t="str">
            <v>Uridine 5''-diphospho-{beta}-4-deoxy-4-amino-L-arabinose</v>
          </cell>
        </row>
        <row r="12069">
          <cell r="A12069" t="str">
            <v>udpLa4o_c</v>
          </cell>
          <cell r="B12069" t="str">
            <v>udpLa4o</v>
          </cell>
          <cell r="C12069" t="str">
            <v>UDP-4-keto-pyranose</v>
          </cell>
        </row>
        <row r="12070">
          <cell r="A12070" t="str">
            <v>udpgal_c</v>
          </cell>
          <cell r="B12070" t="str">
            <v>udpgal</v>
          </cell>
          <cell r="C12070" t="str">
            <v>UDPgalactose</v>
          </cell>
        </row>
        <row r="12071">
          <cell r="A12071" t="str">
            <v>ugmd_c</v>
          </cell>
          <cell r="B12071" t="str">
            <v>ugmd</v>
          </cell>
          <cell r="C12071" t="str">
            <v>UDP-N-acetylmuramoyl-L-alanyl-D-gamma-glutamyl-meso-2,6-diaminopimelate</v>
          </cell>
        </row>
        <row r="12072">
          <cell r="A12072" t="str">
            <v>unagamu_c</v>
          </cell>
          <cell r="B12072" t="str">
            <v>unagamu</v>
          </cell>
          <cell r="C12072" t="str">
            <v>Undecaprenyl-diphospho-N-acetylglucosamine-N-acetylmannosaminuronate</v>
          </cell>
        </row>
        <row r="12073">
          <cell r="A12073" t="str">
            <v>urate_c</v>
          </cell>
          <cell r="B12073" t="str">
            <v>urate</v>
          </cell>
          <cell r="C12073" t="str">
            <v>Urate C5H4N4O3</v>
          </cell>
        </row>
        <row r="12074">
          <cell r="A12074" t="str">
            <v>urdglyc_c</v>
          </cell>
          <cell r="B12074" t="str">
            <v>urdglyc</v>
          </cell>
          <cell r="C12074" t="str">
            <v>(-)-Ureidoglycolate</v>
          </cell>
        </row>
        <row r="12075">
          <cell r="A12075" t="str">
            <v>val__L_c</v>
          </cell>
          <cell r="B12075" t="str">
            <v>val__L</v>
          </cell>
          <cell r="C12075" t="str">
            <v>L-Valine</v>
          </cell>
        </row>
        <row r="12076">
          <cell r="A12076" t="str">
            <v>valtrna_c</v>
          </cell>
          <cell r="B12076" t="str">
            <v>valtrna</v>
          </cell>
          <cell r="C12076" t="str">
            <v>L-Valyl-tRNA(Val)</v>
          </cell>
        </row>
        <row r="12077">
          <cell r="A12077" t="str">
            <v>xtsn_c</v>
          </cell>
          <cell r="B12077" t="str">
            <v>xtsn</v>
          </cell>
          <cell r="C12077" t="str">
            <v>Xanthosine</v>
          </cell>
        </row>
        <row r="12078">
          <cell r="A12078" t="str">
            <v>xu5p__D_c</v>
          </cell>
          <cell r="B12078" t="str">
            <v>xu5p__D</v>
          </cell>
          <cell r="C12078" t="str">
            <v>D-Xylulose 5-phosphate</v>
          </cell>
        </row>
        <row r="12079">
          <cell r="A12079" t="str">
            <v>12ppd__R_e</v>
          </cell>
          <cell r="B12079" t="str">
            <v>12ppd__R</v>
          </cell>
          <cell r="C12079" t="str">
            <v>(R)-Propane-1,2-diol</v>
          </cell>
        </row>
        <row r="12080">
          <cell r="A12080" t="str">
            <v>23cump_e</v>
          </cell>
          <cell r="B12080" t="str">
            <v>23cump</v>
          </cell>
          <cell r="C12080" t="str">
            <v>2',3'-Cyclic UMP</v>
          </cell>
        </row>
        <row r="12081">
          <cell r="A12081" t="str">
            <v>34dhpac_e</v>
          </cell>
          <cell r="B12081" t="str">
            <v>34dhpac</v>
          </cell>
          <cell r="C12081" t="str">
            <v>3,4-Dihydroxyphenylacetaldehyde</v>
          </cell>
        </row>
        <row r="12082">
          <cell r="A12082" t="str">
            <v>3cmp_e</v>
          </cell>
          <cell r="B12082" t="str">
            <v>3cmp</v>
          </cell>
          <cell r="C12082" t="str">
            <v>3  CMP C9H12N3O8P</v>
          </cell>
        </row>
        <row r="12083">
          <cell r="A12083" t="str">
            <v>3ump_e</v>
          </cell>
          <cell r="B12083" t="str">
            <v>3ump</v>
          </cell>
          <cell r="C12083" t="str">
            <v>3  UMP C9H11N2O9P</v>
          </cell>
        </row>
        <row r="12084">
          <cell r="A12084" t="str">
            <v>4abut_e</v>
          </cell>
          <cell r="B12084" t="str">
            <v>4abut</v>
          </cell>
          <cell r="C12084" t="str">
            <v>4-Aminobutanoate</v>
          </cell>
        </row>
        <row r="12085">
          <cell r="A12085" t="str">
            <v>5dglcn_e</v>
          </cell>
          <cell r="B12085" t="str">
            <v>5dglcn</v>
          </cell>
          <cell r="C12085" t="str">
            <v>5-Dehydro-D-gluconate</v>
          </cell>
        </row>
        <row r="12086">
          <cell r="A12086" t="str">
            <v>LalaDgluMdap_e</v>
          </cell>
          <cell r="B12086" t="str">
            <v>LalaDgluMdap</v>
          </cell>
          <cell r="C12086" t="str">
            <v>L-alanine-D-glutamate-meso-2,6-diaminoheptanedioate</v>
          </cell>
        </row>
        <row r="12087">
          <cell r="A12087" t="str">
            <v>acac_e</v>
          </cell>
          <cell r="B12087" t="str">
            <v>acac</v>
          </cell>
          <cell r="C12087" t="str">
            <v>Acetoacetate</v>
          </cell>
        </row>
        <row r="12088">
          <cell r="A12088" t="str">
            <v>acgal1p_e</v>
          </cell>
          <cell r="B12088" t="str">
            <v>acgal1p</v>
          </cell>
          <cell r="C12088" t="str">
            <v>N-Acetyl-D-galactosamine 1-phosphate</v>
          </cell>
        </row>
        <row r="12089">
          <cell r="A12089" t="str">
            <v>acmana_e</v>
          </cell>
          <cell r="B12089" t="str">
            <v>acmana</v>
          </cell>
          <cell r="C12089" t="str">
            <v>N-Acetyl-D-mannosamine</v>
          </cell>
        </row>
        <row r="12090">
          <cell r="A12090" t="str">
            <v>ade_e</v>
          </cell>
          <cell r="B12090" t="str">
            <v>ade</v>
          </cell>
          <cell r="C12090" t="str">
            <v>Adenine</v>
          </cell>
        </row>
        <row r="12091">
          <cell r="A12091" t="str">
            <v>alltn_e</v>
          </cell>
          <cell r="B12091" t="str">
            <v>alltn</v>
          </cell>
          <cell r="C12091" t="str">
            <v>Allantoin</v>
          </cell>
        </row>
        <row r="12092">
          <cell r="A12092" t="str">
            <v>anhgm_e</v>
          </cell>
          <cell r="B12092" t="str">
            <v>anhgm</v>
          </cell>
          <cell r="C12092" t="str">
            <v>N-Acetyl-D-glucosamine(anhydrous)N-Acetylmuramic acid</v>
          </cell>
        </row>
        <row r="12093">
          <cell r="A12093" t="str">
            <v>arbtn_fe3_e</v>
          </cell>
          <cell r="B12093" t="str">
            <v>arbtn_fe3</v>
          </cell>
          <cell r="C12093" t="str">
            <v>Aerobactin</v>
          </cell>
        </row>
        <row r="12094">
          <cell r="A12094" t="str">
            <v>arg__L_e</v>
          </cell>
          <cell r="B12094" t="str">
            <v>arg__L</v>
          </cell>
          <cell r="C12094" t="str">
            <v>L-Arginine</v>
          </cell>
        </row>
        <row r="12095">
          <cell r="A12095" t="str">
            <v>cbl1_e</v>
          </cell>
          <cell r="B12095" t="str">
            <v>cbl1</v>
          </cell>
          <cell r="C12095" t="str">
            <v>Cob(I)alamin</v>
          </cell>
        </row>
        <row r="12096">
          <cell r="A12096" t="str">
            <v>cgly_e</v>
          </cell>
          <cell r="B12096" t="str">
            <v>cgly</v>
          </cell>
          <cell r="C12096" t="str">
            <v>Cys Gly C5H10N2O3S</v>
          </cell>
        </row>
        <row r="12097">
          <cell r="A12097" t="str">
            <v>chol_e</v>
          </cell>
          <cell r="B12097" t="str">
            <v>chol</v>
          </cell>
          <cell r="C12097" t="str">
            <v>Choline C5H14NO</v>
          </cell>
        </row>
        <row r="12098">
          <cell r="A12098" t="str">
            <v>cit_e</v>
          </cell>
          <cell r="B12098" t="str">
            <v>cit</v>
          </cell>
          <cell r="C12098" t="str">
            <v>Citrate</v>
          </cell>
        </row>
        <row r="12099">
          <cell r="A12099" t="str">
            <v>co2_e</v>
          </cell>
          <cell r="B12099" t="str">
            <v>co2</v>
          </cell>
          <cell r="C12099" t="str">
            <v>CO2 CO2</v>
          </cell>
        </row>
        <row r="12100">
          <cell r="A12100" t="str">
            <v>cpgn_e</v>
          </cell>
          <cell r="B12100" t="str">
            <v>cpgn</v>
          </cell>
          <cell r="C12100" t="str">
            <v>Coprogen</v>
          </cell>
        </row>
        <row r="12101">
          <cell r="A12101" t="str">
            <v>cpgn_un_e</v>
          </cell>
          <cell r="B12101" t="str">
            <v>cpgn_un</v>
          </cell>
          <cell r="C12101" t="str">
            <v>Coprogen unloaded (no Fe(III))</v>
          </cell>
        </row>
        <row r="12102">
          <cell r="A12102" t="str">
            <v>cyan_e</v>
          </cell>
          <cell r="B12102" t="str">
            <v>cyan</v>
          </cell>
          <cell r="C12102" t="str">
            <v>Hydrogen cyanide</v>
          </cell>
        </row>
        <row r="12103">
          <cell r="A12103" t="str">
            <v>dgsn_e</v>
          </cell>
          <cell r="B12103" t="str">
            <v>dgsn</v>
          </cell>
          <cell r="C12103" t="str">
            <v>Deoxyguanosine</v>
          </cell>
        </row>
        <row r="12104">
          <cell r="A12104" t="str">
            <v>dms_e</v>
          </cell>
          <cell r="B12104" t="str">
            <v>dms</v>
          </cell>
          <cell r="C12104" t="str">
            <v>Dimethyl sulfide</v>
          </cell>
        </row>
        <row r="12105">
          <cell r="A12105" t="str">
            <v>dmso_e</v>
          </cell>
          <cell r="B12105" t="str">
            <v>dmso</v>
          </cell>
          <cell r="C12105" t="str">
            <v>Dimethyl sulfoxide</v>
          </cell>
        </row>
        <row r="12106">
          <cell r="A12106" t="str">
            <v>etha_e</v>
          </cell>
          <cell r="B12106" t="str">
            <v>etha</v>
          </cell>
          <cell r="C12106" t="str">
            <v>Ethanolamine</v>
          </cell>
        </row>
        <row r="12107">
          <cell r="A12107" t="str">
            <v>ethso3_e</v>
          </cell>
          <cell r="B12107" t="str">
            <v>ethso3</v>
          </cell>
          <cell r="C12107" t="str">
            <v>Ethanesulfonate</v>
          </cell>
        </row>
        <row r="12108">
          <cell r="A12108" t="str">
            <v>fecrm_un_e</v>
          </cell>
          <cell r="B12108" t="str">
            <v>fecrm_un</v>
          </cell>
          <cell r="C12108" t="str">
            <v>Ferrichrome minus Fe(III)</v>
          </cell>
        </row>
        <row r="12109">
          <cell r="A12109" t="str">
            <v>feenter_e</v>
          </cell>
          <cell r="B12109" t="str">
            <v>feenter</v>
          </cell>
          <cell r="C12109" t="str">
            <v>Fe-enterobactin</v>
          </cell>
        </row>
        <row r="12110">
          <cell r="A12110" t="str">
            <v>g6p_e</v>
          </cell>
          <cell r="B12110" t="str">
            <v>g6p</v>
          </cell>
          <cell r="C12110" t="str">
            <v>D-Glucose 6-phosphate</v>
          </cell>
        </row>
        <row r="12111">
          <cell r="A12111" t="str">
            <v>gal_bD_e</v>
          </cell>
          <cell r="B12111" t="str">
            <v>gal_bD</v>
          </cell>
          <cell r="C12111" t="str">
            <v>Beta D-Galactose</v>
          </cell>
        </row>
        <row r="12112">
          <cell r="A12112" t="str">
            <v>gly_e</v>
          </cell>
          <cell r="B12112" t="str">
            <v>gly</v>
          </cell>
          <cell r="C12112" t="str">
            <v>Glycine</v>
          </cell>
        </row>
        <row r="12113">
          <cell r="A12113" t="str">
            <v>glyc3p_e</v>
          </cell>
          <cell r="B12113" t="str">
            <v>glyc3p</v>
          </cell>
          <cell r="C12113" t="str">
            <v>Glycerol 3-phosphate</v>
          </cell>
        </row>
        <row r="12114">
          <cell r="A12114" t="str">
            <v>gmp_e</v>
          </cell>
          <cell r="B12114" t="str">
            <v>gmp</v>
          </cell>
          <cell r="C12114" t="str">
            <v>GMP C10H12N5O8P</v>
          </cell>
        </row>
        <row r="12115">
          <cell r="A12115" t="str">
            <v>gthrd_e</v>
          </cell>
          <cell r="B12115" t="str">
            <v>gthrd</v>
          </cell>
          <cell r="C12115" t="str">
            <v>Reduced glutathione</v>
          </cell>
        </row>
        <row r="12116">
          <cell r="A12116" t="str">
            <v>inost_e</v>
          </cell>
          <cell r="B12116" t="str">
            <v>inost</v>
          </cell>
          <cell r="C12116" t="str">
            <v>Myo-Inositol</v>
          </cell>
        </row>
        <row r="12117">
          <cell r="A12117" t="str">
            <v>leu__L_e</v>
          </cell>
          <cell r="B12117" t="str">
            <v>leu__L</v>
          </cell>
          <cell r="C12117" t="str">
            <v>L-Leucine</v>
          </cell>
        </row>
        <row r="12118">
          <cell r="A12118" t="str">
            <v>lipoate_e</v>
          </cell>
          <cell r="B12118" t="str">
            <v>lipoate</v>
          </cell>
          <cell r="C12118" t="str">
            <v>Lipoate</v>
          </cell>
        </row>
        <row r="12119">
          <cell r="A12119" t="str">
            <v>lys__L_e</v>
          </cell>
          <cell r="B12119" t="str">
            <v>lys__L</v>
          </cell>
          <cell r="C12119" t="str">
            <v>L-Lysine</v>
          </cell>
        </row>
        <row r="12120">
          <cell r="A12120" t="str">
            <v>man_e</v>
          </cell>
          <cell r="B12120" t="str">
            <v>man</v>
          </cell>
          <cell r="C12120" t="str">
            <v>D-Mannose</v>
          </cell>
        </row>
        <row r="12121">
          <cell r="A12121" t="str">
            <v>melib_e</v>
          </cell>
          <cell r="B12121" t="str">
            <v>melib</v>
          </cell>
          <cell r="C12121" t="str">
            <v>Melibiose C12H22O11</v>
          </cell>
        </row>
        <row r="12122">
          <cell r="A12122" t="str">
            <v>mobd_e</v>
          </cell>
          <cell r="B12122" t="str">
            <v>mobd</v>
          </cell>
          <cell r="C12122" t="str">
            <v>Molybdate</v>
          </cell>
        </row>
        <row r="12123">
          <cell r="A12123" t="str">
            <v>nac_e</v>
          </cell>
          <cell r="B12123" t="str">
            <v>nac</v>
          </cell>
          <cell r="C12123" t="str">
            <v>Nicotinate</v>
          </cell>
        </row>
        <row r="12124">
          <cell r="A12124" t="str">
            <v>nh4_e</v>
          </cell>
          <cell r="B12124" t="str">
            <v>nh4</v>
          </cell>
          <cell r="C12124" t="str">
            <v>Ammonium</v>
          </cell>
        </row>
        <row r="12125">
          <cell r="A12125" t="str">
            <v>no_e</v>
          </cell>
          <cell r="B12125" t="str">
            <v>no</v>
          </cell>
          <cell r="C12125" t="str">
            <v>Nitric oxide</v>
          </cell>
        </row>
        <row r="12126">
          <cell r="A12126" t="str">
            <v>no3_e</v>
          </cell>
          <cell r="B12126" t="str">
            <v>no3</v>
          </cell>
          <cell r="C12126" t="str">
            <v>Nitrate</v>
          </cell>
        </row>
        <row r="12127">
          <cell r="A12127" t="str">
            <v>o2_e</v>
          </cell>
          <cell r="B12127" t="str">
            <v>o2</v>
          </cell>
          <cell r="C12127" t="str">
            <v>O2 O2</v>
          </cell>
        </row>
        <row r="12128">
          <cell r="A12128" t="str">
            <v>ocdca_e</v>
          </cell>
          <cell r="B12128" t="str">
            <v>ocdca</v>
          </cell>
          <cell r="C12128" t="str">
            <v>Octadecanoate (n-C18:0)</v>
          </cell>
        </row>
        <row r="12129">
          <cell r="A12129" t="str">
            <v>orn_e</v>
          </cell>
          <cell r="B12129" t="str">
            <v>orn</v>
          </cell>
          <cell r="C12129" t="str">
            <v>Ornithine</v>
          </cell>
        </row>
        <row r="12130">
          <cell r="A12130" t="str">
            <v>pacald_e</v>
          </cell>
          <cell r="B12130" t="str">
            <v>pacald</v>
          </cell>
          <cell r="C12130" t="str">
            <v>Phenylacetaldehyde</v>
          </cell>
        </row>
        <row r="12131">
          <cell r="A12131" t="str">
            <v>pheme_e</v>
          </cell>
          <cell r="B12131" t="str">
            <v>pheme</v>
          </cell>
          <cell r="C12131" t="str">
            <v>Protoheme C34H30FeN4O4</v>
          </cell>
        </row>
        <row r="12132">
          <cell r="A12132" t="str">
            <v>ppa_e</v>
          </cell>
          <cell r="B12132" t="str">
            <v>ppa</v>
          </cell>
          <cell r="C12132" t="str">
            <v>Propionate (n-C3:0)</v>
          </cell>
        </row>
        <row r="12133">
          <cell r="A12133" t="str">
            <v>ppal_e</v>
          </cell>
          <cell r="B12133" t="str">
            <v>ppal</v>
          </cell>
          <cell r="C12133" t="str">
            <v>Propanal</v>
          </cell>
        </row>
        <row r="12134">
          <cell r="A12134" t="str">
            <v>pydam_e</v>
          </cell>
          <cell r="B12134" t="str">
            <v>pydam</v>
          </cell>
          <cell r="C12134" t="str">
            <v>Pyridoxamine</v>
          </cell>
        </row>
        <row r="12135">
          <cell r="A12135" t="str">
            <v>pydxn_e</v>
          </cell>
          <cell r="B12135" t="str">
            <v>pydxn</v>
          </cell>
          <cell r="C12135" t="str">
            <v>Pyridoxine</v>
          </cell>
        </row>
        <row r="12136">
          <cell r="A12136" t="str">
            <v>skm_e</v>
          </cell>
          <cell r="B12136" t="str">
            <v>skm</v>
          </cell>
          <cell r="C12136" t="str">
            <v>Shikimate</v>
          </cell>
        </row>
        <row r="12137">
          <cell r="A12137" t="str">
            <v>slnt_e</v>
          </cell>
          <cell r="B12137" t="str">
            <v>slnt</v>
          </cell>
          <cell r="C12137" t="str">
            <v>Selenite</v>
          </cell>
        </row>
        <row r="12138">
          <cell r="A12138" t="str">
            <v>so3_e</v>
          </cell>
          <cell r="B12138" t="str">
            <v>so3</v>
          </cell>
          <cell r="C12138" t="str">
            <v>Sulfite</v>
          </cell>
        </row>
        <row r="12139">
          <cell r="A12139" t="str">
            <v>thm_e</v>
          </cell>
          <cell r="B12139" t="str">
            <v>thm</v>
          </cell>
          <cell r="C12139" t="str">
            <v>Thiamin</v>
          </cell>
        </row>
        <row r="12140">
          <cell r="A12140" t="str">
            <v>thym_e</v>
          </cell>
          <cell r="B12140" t="str">
            <v>thym</v>
          </cell>
          <cell r="C12140" t="str">
            <v>Thymine C5H6N2O2</v>
          </cell>
        </row>
        <row r="12141">
          <cell r="A12141" t="str">
            <v>tsul_e</v>
          </cell>
          <cell r="B12141" t="str">
            <v>tsul</v>
          </cell>
          <cell r="C12141" t="str">
            <v>Thiosulfate</v>
          </cell>
        </row>
        <row r="12142">
          <cell r="A12142" t="str">
            <v>tungs_e</v>
          </cell>
          <cell r="B12142" t="str">
            <v>tungs</v>
          </cell>
          <cell r="C12142" t="str">
            <v>Tungstate</v>
          </cell>
        </row>
        <row r="12143">
          <cell r="A12143" t="str">
            <v>uacgam_e</v>
          </cell>
          <cell r="B12143" t="str">
            <v>uacgam</v>
          </cell>
          <cell r="C12143" t="str">
            <v>UDP-N-acetyl-D-glucosamine</v>
          </cell>
        </row>
        <row r="12144">
          <cell r="A12144" t="str">
            <v>udpglcur_e</v>
          </cell>
          <cell r="B12144" t="str">
            <v>udpglcur</v>
          </cell>
          <cell r="C12144" t="str">
            <v>UDP-D-glucuronate</v>
          </cell>
        </row>
        <row r="12145">
          <cell r="A12145" t="str">
            <v>xyl__D_e</v>
          </cell>
          <cell r="B12145" t="str">
            <v>xyl__D</v>
          </cell>
          <cell r="C12145" t="str">
            <v>D-Xylose</v>
          </cell>
        </row>
        <row r="12146">
          <cell r="A12146" t="str">
            <v>1agpe180_p</v>
          </cell>
          <cell r="B12146" t="str">
            <v>1agpe180</v>
          </cell>
          <cell r="C12146" t="str">
            <v>1-Acyl-sn-glycero-3-phosphoethanolamine (n-C18:0)</v>
          </cell>
        </row>
        <row r="12147">
          <cell r="A12147" t="str">
            <v>1agpg141_p</v>
          </cell>
          <cell r="B12147" t="str">
            <v>1agpg141</v>
          </cell>
          <cell r="C12147" t="str">
            <v>1-Acyl-sn-glycero-3-phosphoglycerol (n-C14:1)</v>
          </cell>
        </row>
        <row r="12148">
          <cell r="A12148" t="str">
            <v>1agpg161_p</v>
          </cell>
          <cell r="B12148" t="str">
            <v>1agpg161</v>
          </cell>
          <cell r="C12148" t="str">
            <v>1-Acyl-sn-glycero-3-phosphoglycerol (n-C16:1)</v>
          </cell>
        </row>
        <row r="12149">
          <cell r="A12149" t="str">
            <v>1agpg181_p</v>
          </cell>
          <cell r="B12149" t="str">
            <v>1agpg181</v>
          </cell>
          <cell r="C12149" t="str">
            <v>1-Acyl-sn-glycero-3-phosphoglycerol (n-C18:1)</v>
          </cell>
        </row>
        <row r="12150">
          <cell r="A12150" t="str">
            <v>1tdec7eg3p_p</v>
          </cell>
          <cell r="B12150" t="str">
            <v>1tdec7eg3p</v>
          </cell>
          <cell r="C12150" t="str">
            <v>1-tetradec-7-enoyl-sn-glycerol 3-phosphate</v>
          </cell>
        </row>
        <row r="12151">
          <cell r="A12151" t="str">
            <v>23camp_p</v>
          </cell>
          <cell r="B12151" t="str">
            <v>23camp</v>
          </cell>
          <cell r="C12151" t="str">
            <v>2',3'-Cyclic AMP</v>
          </cell>
        </row>
        <row r="12152">
          <cell r="A12152" t="str">
            <v>23ccmp_p</v>
          </cell>
          <cell r="B12152" t="str">
            <v>23ccmp</v>
          </cell>
          <cell r="C12152" t="str">
            <v>2',3'-Cyclic CMP</v>
          </cell>
        </row>
        <row r="12153">
          <cell r="A12153" t="str">
            <v>23cgmp_p</v>
          </cell>
          <cell r="B12153" t="str">
            <v>23cgmp</v>
          </cell>
          <cell r="C12153" t="str">
            <v>2',3'-Cyclic GMP</v>
          </cell>
        </row>
        <row r="12154">
          <cell r="A12154" t="str">
            <v>23dappa_p</v>
          </cell>
          <cell r="B12154" t="str">
            <v>23dappa</v>
          </cell>
          <cell r="C12154" t="str">
            <v>2,3-diaminopropionate</v>
          </cell>
        </row>
        <row r="12155">
          <cell r="A12155" t="str">
            <v>2agpe120_p</v>
          </cell>
          <cell r="B12155" t="str">
            <v>2agpe120</v>
          </cell>
          <cell r="C12155" t="str">
            <v>2-Acyl-sn-glycero-3-phosphoethanolamine (n-C12:0)</v>
          </cell>
        </row>
        <row r="12156">
          <cell r="A12156" t="str">
            <v>2agpe161_p</v>
          </cell>
          <cell r="B12156" t="str">
            <v>2agpe161</v>
          </cell>
          <cell r="C12156" t="str">
            <v>2-Acyl-sn-glycero-3-phosphoethanolamine (n-C16:1)</v>
          </cell>
        </row>
        <row r="12157">
          <cell r="A12157" t="str">
            <v>2agpe180_p</v>
          </cell>
          <cell r="B12157" t="str">
            <v>2agpe180</v>
          </cell>
          <cell r="C12157" t="str">
            <v>2-Acyl-sn-glycero-3-phosphoethanolamine (n-C18:0)</v>
          </cell>
        </row>
        <row r="12158">
          <cell r="A12158" t="str">
            <v>2agpg141_p</v>
          </cell>
          <cell r="B12158" t="str">
            <v>2agpg141</v>
          </cell>
          <cell r="C12158" t="str">
            <v>2-Acyl-sn-glycero-3-phosphoglycerol (n-C14:1)</v>
          </cell>
        </row>
        <row r="12159">
          <cell r="A12159" t="str">
            <v>2ddglcn_p</v>
          </cell>
          <cell r="B12159" t="str">
            <v>2ddglcn</v>
          </cell>
          <cell r="C12159" t="str">
            <v>2-Dehydro-3-deoxy-D-gluconate</v>
          </cell>
        </row>
        <row r="12160">
          <cell r="A12160" t="str">
            <v>2odec11eg3p_p</v>
          </cell>
          <cell r="B12160" t="str">
            <v>2odec11eg3p</v>
          </cell>
          <cell r="C12160" t="str">
            <v>2-octadec-11-enoyl-sn-glycerol 3-phosphate</v>
          </cell>
        </row>
        <row r="12161">
          <cell r="A12161" t="str">
            <v>2tdec7eg3p_p</v>
          </cell>
          <cell r="B12161" t="str">
            <v>2tdec7eg3p</v>
          </cell>
          <cell r="C12161" t="str">
            <v>2-tetradec-7-enoyl-sn-glycerol 3-phosphate</v>
          </cell>
        </row>
        <row r="12162">
          <cell r="A12162" t="str">
            <v>3gmp_p</v>
          </cell>
          <cell r="B12162" t="str">
            <v>3gmp</v>
          </cell>
          <cell r="C12162" t="str">
            <v>Guanosine 3  phosphate C10H12N5O8P</v>
          </cell>
        </row>
        <row r="12163">
          <cell r="A12163" t="str">
            <v>3hcinnm_p</v>
          </cell>
          <cell r="B12163" t="str">
            <v>3hcinnm</v>
          </cell>
          <cell r="C12163" t="str">
            <v>3-hydroxycinnamic acid</v>
          </cell>
        </row>
        <row r="12164">
          <cell r="A12164" t="str">
            <v>LalaLglu_p</v>
          </cell>
          <cell r="B12164" t="str">
            <v>LalaLglu</v>
          </cell>
          <cell r="C12164" t="str">
            <v>L-alanine-L-glutamate</v>
          </cell>
        </row>
        <row r="12165">
          <cell r="A12165" t="str">
            <v>ac_p</v>
          </cell>
          <cell r="B12165" t="str">
            <v>ac</v>
          </cell>
          <cell r="C12165" t="str">
            <v>Acetate</v>
          </cell>
        </row>
        <row r="12166">
          <cell r="A12166" t="str">
            <v>adn_p</v>
          </cell>
          <cell r="B12166" t="str">
            <v>adn</v>
          </cell>
          <cell r="C12166" t="str">
            <v>Adenosine</v>
          </cell>
        </row>
        <row r="12167">
          <cell r="A12167" t="str">
            <v>adocbl_p</v>
          </cell>
          <cell r="B12167" t="str">
            <v>adocbl</v>
          </cell>
          <cell r="C12167" t="str">
            <v>Adenosylcobalamin</v>
          </cell>
        </row>
        <row r="12168">
          <cell r="A12168" t="str">
            <v>ala__D_p</v>
          </cell>
          <cell r="B12168" t="str">
            <v>ala__D</v>
          </cell>
          <cell r="C12168" t="str">
            <v>D-Alanine</v>
          </cell>
        </row>
        <row r="12169">
          <cell r="A12169" t="str">
            <v>alaala_p</v>
          </cell>
          <cell r="B12169" t="str">
            <v>alaala</v>
          </cell>
          <cell r="C12169" t="str">
            <v>D-Alanyl-D-alanine</v>
          </cell>
        </row>
        <row r="12170">
          <cell r="A12170" t="str">
            <v>arbt_p</v>
          </cell>
          <cell r="B12170" t="str">
            <v>arbt</v>
          </cell>
          <cell r="C12170" t="str">
            <v>Arbutin C12H16O7</v>
          </cell>
        </row>
        <row r="12171">
          <cell r="A12171" t="str">
            <v>ascb__L_p</v>
          </cell>
          <cell r="B12171" t="str">
            <v>ascb__L</v>
          </cell>
          <cell r="C12171" t="str">
            <v>L-Ascorbate</v>
          </cell>
        </row>
        <row r="12172">
          <cell r="A12172" t="str">
            <v>asn__L_p</v>
          </cell>
          <cell r="B12172" t="str">
            <v>asn__L</v>
          </cell>
          <cell r="C12172" t="str">
            <v>L-Asparagine</v>
          </cell>
        </row>
        <row r="12173">
          <cell r="A12173" t="str">
            <v>ca2_p</v>
          </cell>
          <cell r="B12173" t="str">
            <v>ca2</v>
          </cell>
          <cell r="C12173" t="str">
            <v>Calcium</v>
          </cell>
        </row>
        <row r="12174">
          <cell r="A12174" t="str">
            <v>chtbs_p</v>
          </cell>
          <cell r="B12174" t="str">
            <v>chtbs</v>
          </cell>
          <cell r="C12174" t="str">
            <v>N,N'-diacetylchitobiose</v>
          </cell>
        </row>
        <row r="12175">
          <cell r="A12175" t="str">
            <v>clpn120_p</v>
          </cell>
          <cell r="B12175" t="str">
            <v>clpn120</v>
          </cell>
          <cell r="C12175" t="str">
            <v>Cardiolipin (tetradodecanoyl, n-C12:0)</v>
          </cell>
        </row>
        <row r="12176">
          <cell r="A12176" t="str">
            <v>clpn161_p</v>
          </cell>
          <cell r="B12176" t="str">
            <v>clpn161</v>
          </cell>
          <cell r="C12176" t="str">
            <v>Cardiolipin (tetrahexadec-9-enoyl, n-C16:1)</v>
          </cell>
        </row>
        <row r="12177">
          <cell r="A12177" t="str">
            <v>cobalt2_p</v>
          </cell>
          <cell r="B12177" t="str">
            <v>cobalt2</v>
          </cell>
          <cell r="C12177" t="str">
            <v>Co2+</v>
          </cell>
        </row>
        <row r="12178">
          <cell r="A12178" t="str">
            <v>colipa_p</v>
          </cell>
          <cell r="B12178" t="str">
            <v>colipa</v>
          </cell>
          <cell r="C12178" t="str">
            <v>Core oligosaccharide lipid A</v>
          </cell>
        </row>
        <row r="12179">
          <cell r="A12179" t="str">
            <v>colipap_p</v>
          </cell>
          <cell r="B12179" t="str">
            <v>colipap</v>
          </cell>
          <cell r="C12179" t="str">
            <v>Core oligosaccharide lipid A diphosphate</v>
          </cell>
        </row>
        <row r="12180">
          <cell r="A12180" t="str">
            <v>cu_p</v>
          </cell>
          <cell r="B12180" t="str">
            <v>cu</v>
          </cell>
          <cell r="C12180" t="str">
            <v>Cu+</v>
          </cell>
        </row>
        <row r="12181">
          <cell r="A12181" t="str">
            <v>cynt_p</v>
          </cell>
          <cell r="B12181" t="str">
            <v>cynt</v>
          </cell>
          <cell r="C12181" t="str">
            <v>Cyanate</v>
          </cell>
        </row>
        <row r="12182">
          <cell r="A12182" t="str">
            <v>dad_2_p</v>
          </cell>
          <cell r="B12182" t="str">
            <v>dad_2</v>
          </cell>
          <cell r="C12182" t="str">
            <v>Deoxyadenosine</v>
          </cell>
        </row>
        <row r="12183">
          <cell r="A12183" t="str">
            <v>damp_p</v>
          </cell>
          <cell r="B12183" t="str">
            <v>damp</v>
          </cell>
          <cell r="C12183" t="str">
            <v>DAMP C10H12N5O6P</v>
          </cell>
        </row>
        <row r="12184">
          <cell r="A12184" t="str">
            <v>dca_p</v>
          </cell>
          <cell r="B12184" t="str">
            <v>dca</v>
          </cell>
          <cell r="C12184" t="str">
            <v>Decanoate (n-C10:0)</v>
          </cell>
        </row>
        <row r="12185">
          <cell r="A12185" t="str">
            <v>dcmp_p</v>
          </cell>
          <cell r="B12185" t="str">
            <v>dcmp</v>
          </cell>
          <cell r="C12185" t="str">
            <v>DCMP C9H12N3O7P</v>
          </cell>
        </row>
        <row r="12186">
          <cell r="A12186" t="str">
            <v>dopa_p</v>
          </cell>
          <cell r="B12186" t="str">
            <v>dopa</v>
          </cell>
          <cell r="C12186" t="str">
            <v>Dopamine</v>
          </cell>
        </row>
        <row r="12187">
          <cell r="A12187" t="str">
            <v>dsbard_p</v>
          </cell>
          <cell r="B12187" t="str">
            <v>dsbard</v>
          </cell>
          <cell r="C12187" t="str">
            <v>Periplasmic protein disulfide isomerase I (reduced)</v>
          </cell>
        </row>
        <row r="12188">
          <cell r="A12188" t="str">
            <v>dsbgox_p</v>
          </cell>
          <cell r="B12188" t="str">
            <v>dsbgox</v>
          </cell>
          <cell r="C12188" t="str">
            <v>Periplasmic disulfide isomerase/thiol-disulphide oxidase (oxidized)</v>
          </cell>
        </row>
        <row r="12189">
          <cell r="A12189" t="str">
            <v>f6p_p</v>
          </cell>
          <cell r="B12189" t="str">
            <v>f6p</v>
          </cell>
          <cell r="C12189" t="str">
            <v>D-Fructose 6-phosphate</v>
          </cell>
        </row>
        <row r="12190">
          <cell r="A12190" t="str">
            <v>fe3dhbzs_p</v>
          </cell>
          <cell r="B12190" t="str">
            <v>fe3dhbzs</v>
          </cell>
          <cell r="C12190" t="str">
            <v>Ferric 2,3-dihydroxybenzoylserine</v>
          </cell>
        </row>
        <row r="12191">
          <cell r="A12191" t="str">
            <v>fe3hox_un_p</v>
          </cell>
          <cell r="B12191" t="str">
            <v>fe3hox_un</v>
          </cell>
          <cell r="C12191" t="str">
            <v>Fe(III)hydoxamate, unloaded</v>
          </cell>
        </row>
        <row r="12192">
          <cell r="A12192" t="str">
            <v>for_p</v>
          </cell>
          <cell r="B12192" t="str">
            <v>for</v>
          </cell>
          <cell r="C12192" t="str">
            <v>Formate</v>
          </cell>
        </row>
        <row r="12193">
          <cell r="A12193" t="str">
            <v>fum_p</v>
          </cell>
          <cell r="B12193" t="str">
            <v>fum</v>
          </cell>
          <cell r="C12193" t="str">
            <v>Fumarate</v>
          </cell>
        </row>
        <row r="12194">
          <cell r="A12194" t="str">
            <v>fusa_p</v>
          </cell>
          <cell r="B12194" t="str">
            <v>fusa</v>
          </cell>
          <cell r="C12194" t="str">
            <v>Fusidic acid</v>
          </cell>
        </row>
        <row r="12195">
          <cell r="A12195" t="str">
            <v>g3pg_p</v>
          </cell>
          <cell r="B12195" t="str">
            <v>g3pg</v>
          </cell>
          <cell r="C12195" t="str">
            <v>Glycerophosphoglycerol</v>
          </cell>
        </row>
        <row r="12196">
          <cell r="A12196" t="str">
            <v>gal_p</v>
          </cell>
          <cell r="B12196" t="str">
            <v>gal</v>
          </cell>
          <cell r="C12196" t="str">
            <v>D-Galactose</v>
          </cell>
        </row>
        <row r="12197">
          <cell r="A12197" t="str">
            <v>gal1p_p</v>
          </cell>
          <cell r="B12197" t="str">
            <v>gal1p</v>
          </cell>
          <cell r="C12197" t="str">
            <v>Alpha-D-Galactose 1-phosphate</v>
          </cell>
        </row>
        <row r="12198">
          <cell r="A12198" t="str">
            <v>galct__D_p</v>
          </cell>
          <cell r="B12198" t="str">
            <v>galct__D</v>
          </cell>
          <cell r="C12198" t="str">
            <v>D-Galactarate</v>
          </cell>
        </row>
        <row r="12199">
          <cell r="A12199" t="str">
            <v>galctn__D_p</v>
          </cell>
          <cell r="B12199" t="str">
            <v>galctn__D</v>
          </cell>
          <cell r="C12199" t="str">
            <v>D-Galactonate</v>
          </cell>
        </row>
        <row r="12200">
          <cell r="A12200" t="str">
            <v>galctn__L_p</v>
          </cell>
          <cell r="B12200" t="str">
            <v>galctn__L</v>
          </cell>
          <cell r="C12200" t="str">
            <v>L-Galactonate</v>
          </cell>
        </row>
        <row r="12201">
          <cell r="A12201" t="str">
            <v>gam6p_p</v>
          </cell>
          <cell r="B12201" t="str">
            <v>gam6p</v>
          </cell>
          <cell r="C12201" t="str">
            <v>D-Glucosamine 6-phosphate</v>
          </cell>
        </row>
        <row r="12202">
          <cell r="A12202" t="str">
            <v>glyb_p</v>
          </cell>
          <cell r="B12202" t="str">
            <v>glyb</v>
          </cell>
          <cell r="C12202" t="str">
            <v>Glycine betaine</v>
          </cell>
        </row>
        <row r="12203">
          <cell r="A12203" t="str">
            <v>gtp_p</v>
          </cell>
          <cell r="B12203" t="str">
            <v>gtp</v>
          </cell>
          <cell r="C12203" t="str">
            <v>GTP C10H12N5O14P3</v>
          </cell>
        </row>
        <row r="12204">
          <cell r="A12204" t="str">
            <v>h2o2_p</v>
          </cell>
          <cell r="B12204" t="str">
            <v>h2o2</v>
          </cell>
          <cell r="C12204" t="str">
            <v>Hydrogen peroxide</v>
          </cell>
        </row>
        <row r="12205">
          <cell r="A12205" t="str">
            <v>h2s_p</v>
          </cell>
          <cell r="B12205" t="str">
            <v>h2s</v>
          </cell>
          <cell r="C12205" t="str">
            <v>Hydrogen sulfide</v>
          </cell>
        </row>
        <row r="12206">
          <cell r="A12206" t="str">
            <v>hxa_p</v>
          </cell>
          <cell r="B12206" t="str">
            <v>hxa</v>
          </cell>
          <cell r="C12206" t="str">
            <v>Hexanoate (n-C6:0)</v>
          </cell>
        </row>
        <row r="12207">
          <cell r="A12207" t="str">
            <v>ins_p</v>
          </cell>
          <cell r="B12207" t="str">
            <v>ins</v>
          </cell>
          <cell r="C12207" t="str">
            <v>Inosine</v>
          </cell>
        </row>
        <row r="12208">
          <cell r="A12208" t="str">
            <v>kdo2lipid4_p</v>
          </cell>
          <cell r="B12208" t="str">
            <v>kdo2lipid4</v>
          </cell>
          <cell r="C12208" t="str">
            <v>KDO(2)-lipid IV(A)</v>
          </cell>
        </row>
        <row r="12209">
          <cell r="A12209" t="str">
            <v>lac__D_p</v>
          </cell>
          <cell r="B12209" t="str">
            <v>lac__D</v>
          </cell>
          <cell r="C12209" t="str">
            <v>D-Lactate</v>
          </cell>
        </row>
        <row r="12210">
          <cell r="A12210" t="str">
            <v>lac__L_p</v>
          </cell>
          <cell r="B12210" t="str">
            <v>lac__L</v>
          </cell>
          <cell r="C12210" t="str">
            <v>L-Lactate</v>
          </cell>
        </row>
        <row r="12211">
          <cell r="A12211" t="str">
            <v>lpp_p</v>
          </cell>
          <cell r="B12211" t="str">
            <v>lpp</v>
          </cell>
          <cell r="C12211" t="str">
            <v>Lipoprotein</v>
          </cell>
        </row>
        <row r="12212">
          <cell r="A12212" t="str">
            <v>lyx__L_p</v>
          </cell>
          <cell r="B12212" t="str">
            <v>lyx__L</v>
          </cell>
          <cell r="C12212" t="str">
            <v>L-Lyxose</v>
          </cell>
        </row>
        <row r="12213">
          <cell r="A12213" t="str">
            <v>mal__D_p</v>
          </cell>
          <cell r="B12213" t="str">
            <v>mal__D</v>
          </cell>
          <cell r="C12213" t="str">
            <v>D-Malate</v>
          </cell>
        </row>
        <row r="12214">
          <cell r="A12214" t="str">
            <v>mal__L_p</v>
          </cell>
          <cell r="B12214" t="str">
            <v>mal__L</v>
          </cell>
          <cell r="C12214" t="str">
            <v>L-Malate</v>
          </cell>
        </row>
        <row r="12215">
          <cell r="A12215" t="str">
            <v>malttr_p</v>
          </cell>
          <cell r="B12215" t="str">
            <v>malttr</v>
          </cell>
          <cell r="C12215" t="str">
            <v>Maltotriose C18H32O16</v>
          </cell>
        </row>
        <row r="12216">
          <cell r="A12216" t="str">
            <v>man6p_p</v>
          </cell>
          <cell r="B12216" t="str">
            <v>man6p</v>
          </cell>
          <cell r="C12216" t="str">
            <v>D-Mannose 6-phosphate</v>
          </cell>
        </row>
        <row r="12217">
          <cell r="A12217" t="str">
            <v>manglyc_p</v>
          </cell>
          <cell r="B12217" t="str">
            <v>manglyc</v>
          </cell>
          <cell r="C12217" t="str">
            <v>2(alpha-D-Mannosyl)-D-glycerate</v>
          </cell>
        </row>
        <row r="12218">
          <cell r="A12218" t="str">
            <v>meoh_p</v>
          </cell>
          <cell r="B12218" t="str">
            <v>meoh</v>
          </cell>
          <cell r="C12218" t="str">
            <v>Methanol</v>
          </cell>
        </row>
        <row r="12219">
          <cell r="A12219" t="str">
            <v>metsox_R__L_p</v>
          </cell>
          <cell r="B12219" t="str">
            <v>metsox_R__L</v>
          </cell>
          <cell r="C12219" t="str">
            <v>L-methionine-R-sulfoxide</v>
          </cell>
        </row>
        <row r="12220">
          <cell r="A12220" t="str">
            <v>mmet_p</v>
          </cell>
          <cell r="B12220" t="str">
            <v>mmet</v>
          </cell>
          <cell r="C12220" t="str">
            <v>S-Methyl-L-methionine</v>
          </cell>
        </row>
        <row r="12221">
          <cell r="A12221" t="str">
            <v>mn2_p</v>
          </cell>
          <cell r="B12221" t="str">
            <v>mn2</v>
          </cell>
          <cell r="C12221" t="str">
            <v>Manganese</v>
          </cell>
        </row>
        <row r="12222">
          <cell r="A12222" t="str">
            <v>murein3px3p_p</v>
          </cell>
          <cell r="B12222" t="str">
            <v>murein3px3p</v>
          </cell>
          <cell r="C12222" t="str">
            <v>Two disacharide linked murein units, tripeptide crosslinked tripeptide (A2pm-&gt;A2pm) (middle of chain)</v>
          </cell>
        </row>
        <row r="12223">
          <cell r="A12223" t="str">
            <v>murein4px4px4p_p</v>
          </cell>
          <cell r="B12223" t="str">
            <v>murein4px4px4p</v>
          </cell>
          <cell r="C12223" t="str">
            <v>Three disacharide linked murein units (tetrapeptide crosslinked tetrapeptide (A2pm-&gt;D-ala) &amp; tetrapeptide corsslinked tetrapeptide (A2pm-&gt;D-ala)) (middle of chain)</v>
          </cell>
        </row>
        <row r="12224">
          <cell r="A12224" t="str">
            <v>murein5p5p_p</v>
          </cell>
          <cell r="B12224" t="str">
            <v>murein5p5p</v>
          </cell>
          <cell r="C12224" t="str">
            <v>Two linked disacharide pentapeptide murein units (uncrosslinked, middle of chain)</v>
          </cell>
        </row>
        <row r="12225">
          <cell r="A12225" t="str">
            <v>murein5px4p_p</v>
          </cell>
          <cell r="B12225" t="str">
            <v>murein5px4p</v>
          </cell>
          <cell r="C12225" t="str">
            <v>Two disacharide linked murein units, pentapeptide crosslinked tetrapeptide (A2pm-&gt;D-ala) (middle of chain)</v>
          </cell>
        </row>
        <row r="12226">
          <cell r="A12226" t="str">
            <v>na1_p</v>
          </cell>
          <cell r="B12226" t="str">
            <v>na1</v>
          </cell>
          <cell r="C12226" t="str">
            <v>Sodium</v>
          </cell>
        </row>
        <row r="12227">
          <cell r="A12227" t="str">
            <v>nmn_p</v>
          </cell>
          <cell r="B12227" t="str">
            <v>nmn</v>
          </cell>
          <cell r="C12227" t="str">
            <v>NMN C11H14N2O8P</v>
          </cell>
        </row>
        <row r="12228">
          <cell r="A12228" t="str">
            <v>octa_p</v>
          </cell>
          <cell r="B12228" t="str">
            <v>octa</v>
          </cell>
          <cell r="C12228" t="str">
            <v>Octanoate (n-C8:0)</v>
          </cell>
        </row>
        <row r="12229">
          <cell r="A12229" t="str">
            <v>orot_p</v>
          </cell>
          <cell r="B12229" t="str">
            <v>orot</v>
          </cell>
          <cell r="C12229" t="str">
            <v>Orotate C5H3N2O4</v>
          </cell>
        </row>
        <row r="12230">
          <cell r="A12230" t="str">
            <v>pa120_p</v>
          </cell>
          <cell r="B12230" t="str">
            <v>pa120</v>
          </cell>
          <cell r="C12230" t="str">
            <v>1,2-didodecanoyl-sn-glycerol 3-phosphate</v>
          </cell>
        </row>
        <row r="12231">
          <cell r="A12231" t="str">
            <v>pa140_p</v>
          </cell>
          <cell r="B12231" t="str">
            <v>pa140</v>
          </cell>
          <cell r="C12231" t="str">
            <v>1,2-ditetradecanoyl-sn-glycerol 3-phosphate</v>
          </cell>
        </row>
        <row r="12232">
          <cell r="A12232" t="str">
            <v>pa181_p</v>
          </cell>
          <cell r="B12232" t="str">
            <v>pa181</v>
          </cell>
          <cell r="C12232" t="str">
            <v>1,2-dioctadec-11-enoyl-sn-glycerol 3-phosphate</v>
          </cell>
        </row>
        <row r="12233">
          <cell r="A12233" t="str">
            <v>pe161_p</v>
          </cell>
          <cell r="B12233" t="str">
            <v>pe161</v>
          </cell>
          <cell r="C12233" t="str">
            <v>Phosphatidylethanolamine (dihexadec-9enoyl, n-C16:1)</v>
          </cell>
        </row>
        <row r="12234">
          <cell r="A12234" t="str">
            <v>pg140_p</v>
          </cell>
          <cell r="B12234" t="str">
            <v>pg140</v>
          </cell>
          <cell r="C12234" t="str">
            <v>Phosphatidylglycerol (ditetradecanoyl, n-C14:0)</v>
          </cell>
        </row>
        <row r="12235">
          <cell r="A12235" t="str">
            <v>pgp141_p</v>
          </cell>
          <cell r="B12235" t="str">
            <v>pgp141</v>
          </cell>
          <cell r="C12235" t="str">
            <v>Phosphatidylglycerophosphate (ditetradec-7-enoyl, n-C14:1)</v>
          </cell>
        </row>
        <row r="12236">
          <cell r="A12236" t="str">
            <v>pgp161_p</v>
          </cell>
          <cell r="B12236" t="str">
            <v>pgp161</v>
          </cell>
          <cell r="C12236" t="str">
            <v>Phosphatidylglycerophosphate (dihexadec-9-enoyl, n-C16:1)</v>
          </cell>
        </row>
        <row r="12237">
          <cell r="A12237" t="str">
            <v>pi_p</v>
          </cell>
          <cell r="B12237" t="str">
            <v>pi</v>
          </cell>
          <cell r="C12237" t="str">
            <v>Phosphate</v>
          </cell>
        </row>
        <row r="12238">
          <cell r="A12238" t="str">
            <v>pnto__R_p</v>
          </cell>
          <cell r="B12238" t="str">
            <v>pnto__R</v>
          </cell>
          <cell r="C12238" t="str">
            <v>(R)-Pantothenate</v>
          </cell>
        </row>
        <row r="12239">
          <cell r="A12239" t="str">
            <v>ppt_p</v>
          </cell>
          <cell r="B12239" t="str">
            <v>ppt</v>
          </cell>
          <cell r="C12239" t="str">
            <v>Phosphonate</v>
          </cell>
        </row>
        <row r="12240">
          <cell r="A12240" t="str">
            <v>so2_p</v>
          </cell>
          <cell r="B12240" t="str">
            <v>so2</v>
          </cell>
          <cell r="C12240" t="str">
            <v>Sulfur dioxide</v>
          </cell>
        </row>
        <row r="12241">
          <cell r="A12241" t="str">
            <v>sulfac_p</v>
          </cell>
          <cell r="B12241" t="str">
            <v>sulfac</v>
          </cell>
          <cell r="C12241" t="str">
            <v>Sulfoacetate</v>
          </cell>
        </row>
        <row r="12242">
          <cell r="A12242" t="str">
            <v>tartr__L_p</v>
          </cell>
          <cell r="B12242" t="str">
            <v>tartr__L</v>
          </cell>
          <cell r="C12242" t="str">
            <v>L-tartrate</v>
          </cell>
        </row>
        <row r="12243">
          <cell r="A12243" t="str">
            <v>tcynt_p</v>
          </cell>
          <cell r="B12243" t="str">
            <v>tcynt</v>
          </cell>
          <cell r="C12243" t="str">
            <v>Thiocyanate</v>
          </cell>
        </row>
        <row r="12244">
          <cell r="A12244" t="str">
            <v>trp__L_p</v>
          </cell>
          <cell r="B12244" t="str">
            <v>trp__L</v>
          </cell>
          <cell r="C12244" t="str">
            <v>L-Tryptophan</v>
          </cell>
        </row>
        <row r="12245">
          <cell r="A12245" t="str">
            <v>ttdca_p</v>
          </cell>
          <cell r="B12245" t="str">
            <v>ttdca</v>
          </cell>
          <cell r="C12245" t="str">
            <v>Tetradecanoate (n-C14:0)</v>
          </cell>
        </row>
        <row r="12246">
          <cell r="A12246" t="str">
            <v>ttrcyc_p</v>
          </cell>
          <cell r="B12246" t="str">
            <v>ttrcyc</v>
          </cell>
          <cell r="C12246" t="str">
            <v>Tetracycline</v>
          </cell>
        </row>
        <row r="12247">
          <cell r="A12247" t="str">
            <v>tym_p</v>
          </cell>
          <cell r="B12247" t="str">
            <v>tym</v>
          </cell>
          <cell r="C12247" t="str">
            <v>Tyramine</v>
          </cell>
        </row>
        <row r="12248">
          <cell r="A12248" t="str">
            <v>tyr__L_p</v>
          </cell>
          <cell r="B12248" t="str">
            <v>tyr__L</v>
          </cell>
          <cell r="C12248" t="str">
            <v>L-Tyrosine</v>
          </cell>
        </row>
        <row r="12249">
          <cell r="A12249" t="str">
            <v>udpgal_p</v>
          </cell>
          <cell r="B12249" t="str">
            <v>udpgal</v>
          </cell>
          <cell r="C12249" t="str">
            <v>UDPgalactose</v>
          </cell>
        </row>
        <row r="12250">
          <cell r="A12250" t="str">
            <v>val__L_p</v>
          </cell>
          <cell r="B12250" t="str">
            <v>val__L</v>
          </cell>
          <cell r="C12250" t="str">
            <v>L-Valine</v>
          </cell>
        </row>
        <row r="12251">
          <cell r="A12251" t="str">
            <v>xtsn_p</v>
          </cell>
          <cell r="B12251" t="str">
            <v>xtsn</v>
          </cell>
          <cell r="C12251" t="str">
            <v>Xanthosine</v>
          </cell>
        </row>
        <row r="12252">
          <cell r="A12252" t="str">
            <v>4hba_c</v>
          </cell>
          <cell r="B12252" t="str">
            <v>4hba</v>
          </cell>
          <cell r="C12252" t="str">
            <v>4-Hydroxy-benzyl alcohol</v>
          </cell>
        </row>
        <row r="12253">
          <cell r="A12253" t="str">
            <v>pmcoa_c</v>
          </cell>
          <cell r="B12253" t="str">
            <v>pmcoa</v>
          </cell>
          <cell r="C12253" t="str">
            <v>Pimeloyl-CoA</v>
          </cell>
        </row>
        <row r="12254">
          <cell r="A12254" t="str">
            <v>10fthf_m</v>
          </cell>
          <cell r="B12254" t="str">
            <v>10fthf</v>
          </cell>
          <cell r="C12254" t="str">
            <v>10-Formyltetrahydrofolate</v>
          </cell>
        </row>
        <row r="12255">
          <cell r="A12255" t="str">
            <v>12dgr_SC_c</v>
          </cell>
          <cell r="B12255" t="str">
            <v>12dgr_SC</v>
          </cell>
          <cell r="C12255" t="str">
            <v>1 2 Diacylglycerol  yeast specific C3540H6644O500</v>
          </cell>
        </row>
        <row r="12256">
          <cell r="A12256" t="str">
            <v>13dampp_c</v>
          </cell>
          <cell r="B12256" t="str">
            <v>13dampp</v>
          </cell>
          <cell r="C12256" t="str">
            <v>1 3 Diaminopropane C3H12N2</v>
          </cell>
        </row>
        <row r="12257">
          <cell r="A12257" t="str">
            <v>23camp_c</v>
          </cell>
          <cell r="B12257" t="str">
            <v>23camp</v>
          </cell>
          <cell r="C12257" t="str">
            <v>2',3'-Cyclic AMP</v>
          </cell>
        </row>
        <row r="12258">
          <cell r="A12258" t="str">
            <v>2doxg6p_c</v>
          </cell>
          <cell r="B12258" t="str">
            <v>2doxg6p</v>
          </cell>
          <cell r="C12258" t="str">
            <v>2 Deoxy D glucose 6 phosphate C6H11O8P</v>
          </cell>
        </row>
        <row r="12259">
          <cell r="A12259" t="str">
            <v>2hb_e</v>
          </cell>
          <cell r="B12259" t="str">
            <v>2hb</v>
          </cell>
          <cell r="C12259" t="str">
            <v>2 Hydroxybutyrate C4H7O3</v>
          </cell>
        </row>
        <row r="12260">
          <cell r="A12260" t="str">
            <v>2hp6mbq_m</v>
          </cell>
          <cell r="B12260" t="str">
            <v>2hp6mbq</v>
          </cell>
          <cell r="C12260" t="str">
            <v>2 Hexaprenyl 6 methoxy 1 4 benzoquinone C37H54O3</v>
          </cell>
        </row>
        <row r="12261">
          <cell r="A12261" t="str">
            <v>2mbtoh_m</v>
          </cell>
          <cell r="B12261" t="str">
            <v>2mbtoh</v>
          </cell>
          <cell r="C12261" t="str">
            <v>2 methyl 1 butanol C5H12O</v>
          </cell>
        </row>
        <row r="12262">
          <cell r="A12262" t="str">
            <v>2mppal_m</v>
          </cell>
          <cell r="B12262" t="str">
            <v>2mppal</v>
          </cell>
          <cell r="C12262" t="str">
            <v>2 methylpropanal C4H8O</v>
          </cell>
        </row>
        <row r="12263">
          <cell r="A12263" t="str">
            <v>2obut_m</v>
          </cell>
          <cell r="B12263" t="str">
            <v>2obut</v>
          </cell>
          <cell r="C12263" t="str">
            <v>2-Oxobutanoate</v>
          </cell>
        </row>
        <row r="12264">
          <cell r="A12264" t="str">
            <v>2phetoh_m</v>
          </cell>
          <cell r="B12264" t="str">
            <v>2phetoh</v>
          </cell>
          <cell r="C12264" t="str">
            <v>2 phenylethanol C8H10O</v>
          </cell>
        </row>
        <row r="12265">
          <cell r="A12265" t="str">
            <v>35cdamp_c</v>
          </cell>
          <cell r="B12265" t="str">
            <v>35cdamp</v>
          </cell>
          <cell r="C12265" t="str">
            <v>3  5  Cyclic dAMP C10H11N5O5P</v>
          </cell>
        </row>
        <row r="12266">
          <cell r="A12266" t="str">
            <v>3hph5mb_m</v>
          </cell>
          <cell r="B12266" t="str">
            <v>3hph5mb</v>
          </cell>
          <cell r="C12266" t="str">
            <v>3 Hexaprenyl 4 hydroxy 5 methoxybenzoate C38H55O4</v>
          </cell>
        </row>
        <row r="12267">
          <cell r="A12267" t="str">
            <v>3htdcoa_x</v>
          </cell>
          <cell r="B12267" t="str">
            <v>3htdcoa</v>
          </cell>
          <cell r="C12267" t="str">
            <v>(S)-3-Hydroxytetradecanoyl-CoA</v>
          </cell>
        </row>
        <row r="12268">
          <cell r="A12268" t="str">
            <v>3mbald_e</v>
          </cell>
          <cell r="B12268" t="str">
            <v>3mbald</v>
          </cell>
          <cell r="C12268" t="str">
            <v>3 Methylbutanal C5H10O</v>
          </cell>
        </row>
        <row r="12269">
          <cell r="A12269" t="str">
            <v>3ohxccoa_x</v>
          </cell>
          <cell r="B12269" t="str">
            <v>3ohxccoa</v>
          </cell>
          <cell r="C12269" t="str">
            <v>3 Oxohexacosyl CoA C47H80N7O18P3S</v>
          </cell>
        </row>
        <row r="12270">
          <cell r="A12270" t="str">
            <v>3ophb_5_c</v>
          </cell>
          <cell r="B12270" t="str">
            <v>3ophb_5</v>
          </cell>
          <cell r="C12270" t="str">
            <v>3 Hexaprenyl 4 hydroxybenzoate C37H53O3</v>
          </cell>
        </row>
        <row r="12271">
          <cell r="A12271" t="str">
            <v>44mzym_c</v>
          </cell>
          <cell r="B12271" t="str">
            <v>44mzym</v>
          </cell>
          <cell r="C12271" t="str">
            <v>4 4 dimethylzymosterol C29H48O</v>
          </cell>
        </row>
        <row r="12272">
          <cell r="A12272" t="str">
            <v>4abz_e</v>
          </cell>
          <cell r="B12272" t="str">
            <v>4abz</v>
          </cell>
          <cell r="C12272" t="str">
            <v>4-Aminobenzoate</v>
          </cell>
        </row>
        <row r="12273">
          <cell r="A12273" t="str">
            <v>4mlacac_c</v>
          </cell>
          <cell r="B12273" t="str">
            <v>4mlacac</v>
          </cell>
          <cell r="C12273" t="str">
            <v>4 Maleylacetoacetate C8H6O6</v>
          </cell>
        </row>
        <row r="12274">
          <cell r="A12274" t="str">
            <v>4mop_m</v>
          </cell>
          <cell r="B12274" t="str">
            <v>4mop</v>
          </cell>
          <cell r="C12274" t="str">
            <v>4-Methyl-2-oxopentanoate</v>
          </cell>
        </row>
        <row r="12275">
          <cell r="A12275" t="str">
            <v>4mzym_int1_c</v>
          </cell>
          <cell r="B12275" t="str">
            <v>4mzym_int1</v>
          </cell>
          <cell r="C12275" t="str">
            <v>4 Methylzymosterol intermediate 1 C29H46O3</v>
          </cell>
        </row>
        <row r="12276">
          <cell r="A12276" t="str">
            <v>4mzym_int2_c</v>
          </cell>
          <cell r="B12276" t="str">
            <v>4mzym_int2</v>
          </cell>
          <cell r="C12276" t="str">
            <v>4 Methylzymosterol intermediate 2 C28H44O</v>
          </cell>
        </row>
        <row r="12277">
          <cell r="A12277" t="str">
            <v>6dg_c</v>
          </cell>
          <cell r="B12277" t="str">
            <v>6dg</v>
          </cell>
          <cell r="C12277" t="str">
            <v>D Gal alpha 1 6D Glucose C12H22O11</v>
          </cell>
        </row>
        <row r="12278">
          <cell r="A12278" t="str">
            <v>8aonn_e</v>
          </cell>
          <cell r="B12278" t="str">
            <v>8aonn</v>
          </cell>
          <cell r="C12278" t="str">
            <v>8-Amino-7-oxononanoate</v>
          </cell>
        </row>
        <row r="12279">
          <cell r="A12279" t="str">
            <v>cysi__L_c</v>
          </cell>
          <cell r="B12279" t="str">
            <v>cysi__L</v>
          </cell>
          <cell r="C12279" t="str">
            <v>L Cystine C6H12N2O4S2</v>
          </cell>
        </row>
        <row r="12280">
          <cell r="A12280" t="str">
            <v>Lkynr_c</v>
          </cell>
          <cell r="B12280" t="str">
            <v>Lkynr</v>
          </cell>
          <cell r="C12280" t="str">
            <v>L Kynurenine C10H12N2O3</v>
          </cell>
        </row>
        <row r="12281">
          <cell r="A12281" t="str">
            <v>aacoa_m</v>
          </cell>
          <cell r="B12281" t="str">
            <v>aacoa</v>
          </cell>
          <cell r="C12281" t="str">
            <v>Acetoacetyl-CoA</v>
          </cell>
        </row>
        <row r="12282">
          <cell r="A12282" t="str">
            <v>abt_c</v>
          </cell>
          <cell r="B12282" t="str">
            <v>abt</v>
          </cell>
          <cell r="C12282" t="str">
            <v>L Arabinitol C5H12O5</v>
          </cell>
        </row>
        <row r="12283">
          <cell r="A12283" t="str">
            <v>ac_x</v>
          </cell>
          <cell r="B12283" t="str">
            <v>ac</v>
          </cell>
          <cell r="C12283" t="str">
            <v>Acetate</v>
          </cell>
        </row>
        <row r="12284">
          <cell r="A12284" t="str">
            <v>accoa_m</v>
          </cell>
          <cell r="B12284" t="str">
            <v>accoa</v>
          </cell>
          <cell r="C12284" t="str">
            <v>Acetyl-CoA</v>
          </cell>
        </row>
        <row r="12285">
          <cell r="A12285" t="str">
            <v>acg5p_m</v>
          </cell>
          <cell r="B12285" t="str">
            <v>acg5p</v>
          </cell>
          <cell r="C12285" t="str">
            <v>N-Acetyl-L-glutamyl 5-phosphate</v>
          </cell>
        </row>
        <row r="12286">
          <cell r="A12286" t="str">
            <v>acybut_c</v>
          </cell>
          <cell r="B12286" t="str">
            <v>acybut</v>
          </cell>
          <cell r="C12286" t="str">
            <v>Gamma Amino gamma cyanobutanoate C5H8N2O2</v>
          </cell>
        </row>
        <row r="12287">
          <cell r="A12287" t="str">
            <v>adp_g</v>
          </cell>
          <cell r="B12287" t="str">
            <v>adp</v>
          </cell>
          <cell r="C12287" t="str">
            <v>ADP C10H12N5O10P2</v>
          </cell>
        </row>
        <row r="12288">
          <cell r="A12288" t="str">
            <v>adp_n</v>
          </cell>
          <cell r="B12288" t="str">
            <v>adp</v>
          </cell>
          <cell r="C12288" t="str">
            <v>ADP C10H12N5O10P2</v>
          </cell>
        </row>
        <row r="12289">
          <cell r="A12289" t="str">
            <v>akg_n</v>
          </cell>
          <cell r="B12289" t="str">
            <v>akg</v>
          </cell>
          <cell r="C12289" t="str">
            <v>2-Oxoglutarate</v>
          </cell>
        </row>
        <row r="12290">
          <cell r="A12290" t="str">
            <v>alac__S_m</v>
          </cell>
          <cell r="B12290" t="str">
            <v>alac__S</v>
          </cell>
          <cell r="C12290" t="str">
            <v>(S)-2-Acetolactate</v>
          </cell>
        </row>
        <row r="12291">
          <cell r="A12291" t="str">
            <v>alpro_m</v>
          </cell>
          <cell r="B12291" t="str">
            <v>alpro</v>
          </cell>
          <cell r="C12291" t="str">
            <v>S Aminomethyldihydrolipoylprotein CH6NS2X</v>
          </cell>
        </row>
        <row r="12292">
          <cell r="A12292" t="str">
            <v>amp_m</v>
          </cell>
          <cell r="B12292" t="str">
            <v>amp</v>
          </cell>
          <cell r="C12292" t="str">
            <v>AMP C10H12N5O7P</v>
          </cell>
        </row>
        <row r="12293">
          <cell r="A12293" t="str">
            <v>ap4g_c</v>
          </cell>
          <cell r="B12293" t="str">
            <v>ap4g</v>
          </cell>
          <cell r="C12293" t="str">
            <v>P1  5  adenosyl  P4  5  guanosyl  tetraphosphate C20H24N10O20P4</v>
          </cell>
        </row>
        <row r="12294">
          <cell r="A12294" t="str">
            <v>aprut_c</v>
          </cell>
          <cell r="B12294" t="str">
            <v>aprut</v>
          </cell>
          <cell r="C12294" t="str">
            <v>N Acetylputrescine C6H15N2O</v>
          </cell>
        </row>
        <row r="12295">
          <cell r="A12295" t="str">
            <v>asntrna_m</v>
          </cell>
          <cell r="B12295" t="str">
            <v>asntrna</v>
          </cell>
          <cell r="C12295" t="str">
            <v>L-Asparaginyl-tRNA(Asn)</v>
          </cell>
        </row>
        <row r="12296">
          <cell r="A12296" t="str">
            <v>asp__L_m</v>
          </cell>
          <cell r="B12296" t="str">
            <v>asp__L</v>
          </cell>
          <cell r="C12296" t="str">
            <v>L-Aspartate</v>
          </cell>
        </row>
        <row r="12297">
          <cell r="A12297" t="str">
            <v>asp__L_v</v>
          </cell>
          <cell r="B12297" t="str">
            <v>asp__L</v>
          </cell>
          <cell r="C12297" t="str">
            <v>L-Aspartate</v>
          </cell>
        </row>
        <row r="12298">
          <cell r="A12298" t="str">
            <v>atp_x</v>
          </cell>
          <cell r="B12298" t="str">
            <v>atp</v>
          </cell>
          <cell r="C12298" t="str">
            <v>ATP C10H12N5O13P3</v>
          </cell>
        </row>
        <row r="12299">
          <cell r="A12299" t="str">
            <v>b124tc_m</v>
          </cell>
          <cell r="B12299" t="str">
            <v>b124tc</v>
          </cell>
          <cell r="C12299" t="str">
            <v>But 1 ene 1 2 4 tricarboxylate C7H5O6</v>
          </cell>
        </row>
        <row r="12300">
          <cell r="A12300" t="str">
            <v>cbasp_n</v>
          </cell>
          <cell r="B12300" t="str">
            <v>cbasp</v>
          </cell>
          <cell r="C12300" t="str">
            <v>N-Carbamoyl-L-aspartate</v>
          </cell>
        </row>
        <row r="12301">
          <cell r="A12301" t="str">
            <v>cdpdag_SC_m</v>
          </cell>
          <cell r="B12301" t="str">
            <v>cdpdag_SC</v>
          </cell>
          <cell r="C12301" t="str">
            <v>CDPdiacylglycerol  yeast specific C4440H7744N300O1500P200</v>
          </cell>
        </row>
        <row r="12302">
          <cell r="A12302" t="str">
            <v>cdpea_c</v>
          </cell>
          <cell r="B12302" t="str">
            <v>cdpea</v>
          </cell>
          <cell r="C12302" t="str">
            <v>CDPethanolamine C11H19N4O11P2</v>
          </cell>
        </row>
        <row r="12303">
          <cell r="A12303" t="str">
            <v>cer1_24_c</v>
          </cell>
          <cell r="B12303" t="str">
            <v>cer1_24</v>
          </cell>
          <cell r="C12303" t="str">
            <v>Ceramide 1  Sphinganinen C240  C42H85NO3</v>
          </cell>
        </row>
        <row r="12304">
          <cell r="A12304" t="str">
            <v>cer1_24_r</v>
          </cell>
          <cell r="B12304" t="str">
            <v>cer1_24</v>
          </cell>
          <cell r="C12304" t="str">
            <v>Ceramide 1  Sphinganinen C240  C42H85NO3</v>
          </cell>
        </row>
        <row r="12305">
          <cell r="A12305" t="str">
            <v>cer2_24_c</v>
          </cell>
          <cell r="B12305" t="str">
            <v>cer2_24</v>
          </cell>
          <cell r="C12305" t="str">
            <v>Ceramide 2  Phytosphingosinen C240  C42H85NO4</v>
          </cell>
        </row>
        <row r="12306">
          <cell r="A12306" t="str">
            <v>cer2_24_r</v>
          </cell>
          <cell r="B12306" t="str">
            <v>cer2_24</v>
          </cell>
          <cell r="C12306" t="str">
            <v>Ceramide 2  Phytosphingosinen C240  C42H85NO4</v>
          </cell>
        </row>
        <row r="12307">
          <cell r="A12307" t="str">
            <v>ch4s_c</v>
          </cell>
          <cell r="B12307" t="str">
            <v>ch4s</v>
          </cell>
          <cell r="C12307" t="str">
            <v>Methanethiol CH4S</v>
          </cell>
        </row>
        <row r="12308">
          <cell r="A12308" t="str">
            <v>chitos_c</v>
          </cell>
          <cell r="B12308" t="str">
            <v>chitos</v>
          </cell>
          <cell r="C12308" t="str">
            <v>Chitosan C6H11NO4</v>
          </cell>
        </row>
        <row r="12309">
          <cell r="A12309" t="str">
            <v>cmp_m</v>
          </cell>
          <cell r="B12309" t="str">
            <v>cmp</v>
          </cell>
          <cell r="C12309" t="str">
            <v>CMP C9H12N3O8P</v>
          </cell>
        </row>
        <row r="12310">
          <cell r="A12310" t="str">
            <v>coa_m</v>
          </cell>
          <cell r="B12310" t="str">
            <v>coa</v>
          </cell>
          <cell r="C12310" t="str">
            <v>Coenzyme A</v>
          </cell>
        </row>
        <row r="12311">
          <cell r="A12311" t="str">
            <v>coucoa_m</v>
          </cell>
          <cell r="B12311" t="str">
            <v>coucoa</v>
          </cell>
          <cell r="C12311" t="str">
            <v>P coumaroyl CoA C30H38N7O18P3S1</v>
          </cell>
        </row>
        <row r="12312">
          <cell r="A12312" t="str">
            <v>ctp_m</v>
          </cell>
          <cell r="B12312" t="str">
            <v>ctp</v>
          </cell>
          <cell r="C12312" t="str">
            <v>CTP C9H12N3O14P3</v>
          </cell>
        </row>
        <row r="12313">
          <cell r="A12313" t="str">
            <v>dc2coa_x</v>
          </cell>
          <cell r="B12313" t="str">
            <v>dc2coa</v>
          </cell>
          <cell r="C12313" t="str">
            <v>Trans-Dec-2-enoyl-CoA</v>
          </cell>
        </row>
        <row r="12314">
          <cell r="A12314" t="str">
            <v>dcaACP_m</v>
          </cell>
          <cell r="B12314" t="str">
            <v>dcaACP</v>
          </cell>
          <cell r="C12314" t="str">
            <v>Decanoyl-ACP (n-C10:0ACP)</v>
          </cell>
        </row>
        <row r="12315">
          <cell r="A12315" t="str">
            <v>dca_x</v>
          </cell>
          <cell r="B12315" t="str">
            <v>dca</v>
          </cell>
          <cell r="C12315" t="str">
            <v>Decanoate (n-C10:0)</v>
          </cell>
        </row>
        <row r="12316">
          <cell r="A12316" t="str">
            <v>dcacoa_x</v>
          </cell>
          <cell r="B12316" t="str">
            <v>dcacoa</v>
          </cell>
          <cell r="C12316" t="str">
            <v>Decanoyl-CoA (n-C10:0CoA)</v>
          </cell>
        </row>
        <row r="12317">
          <cell r="A12317" t="str">
            <v>dgdp_n</v>
          </cell>
          <cell r="B12317" t="str">
            <v>dgdp</v>
          </cell>
          <cell r="C12317" t="str">
            <v>DGDP C10H12N5O10P2</v>
          </cell>
        </row>
        <row r="12318">
          <cell r="A12318" t="str">
            <v>drib_c</v>
          </cell>
          <cell r="B12318" t="str">
            <v>drib</v>
          </cell>
          <cell r="C12318" t="str">
            <v>Deoxyribose C5H10O4</v>
          </cell>
        </row>
        <row r="12319">
          <cell r="A12319" t="str">
            <v>dump_n</v>
          </cell>
          <cell r="B12319" t="str">
            <v>dump</v>
          </cell>
          <cell r="C12319" t="str">
            <v>DUMP C9H11N2O8P</v>
          </cell>
        </row>
        <row r="12320">
          <cell r="A12320" t="str">
            <v>e4hglu_m</v>
          </cell>
          <cell r="B12320" t="str">
            <v>e4hglu</v>
          </cell>
          <cell r="C12320" t="str">
            <v>L erythro 4 Hydroxyglutamate C5H8NO5</v>
          </cell>
        </row>
        <row r="12321">
          <cell r="A12321" t="str">
            <v>epist_e</v>
          </cell>
          <cell r="B12321" t="str">
            <v>epist</v>
          </cell>
          <cell r="C12321" t="str">
            <v>Episterol C28H46O</v>
          </cell>
        </row>
        <row r="12322">
          <cell r="A12322" t="str">
            <v>ergst3glc_c</v>
          </cell>
          <cell r="B12322" t="str">
            <v>ergst3glc</v>
          </cell>
          <cell r="C12322" t="str">
            <v>Ergosterol 3 beta D glucoside C34H54O6</v>
          </cell>
        </row>
        <row r="12323">
          <cell r="A12323" t="str">
            <v>ergst_c</v>
          </cell>
          <cell r="B12323" t="str">
            <v>ergst</v>
          </cell>
          <cell r="C12323" t="str">
            <v>Ergosterol C28H44O</v>
          </cell>
        </row>
        <row r="12324">
          <cell r="A12324" t="str">
            <v>ergst_r</v>
          </cell>
          <cell r="B12324" t="str">
            <v>ergst</v>
          </cell>
          <cell r="C12324" t="str">
            <v>Ergosterol C28H44O</v>
          </cell>
        </row>
        <row r="12325">
          <cell r="A12325" t="str">
            <v>ertascb__D_c</v>
          </cell>
          <cell r="B12325" t="str">
            <v>ertascb__D</v>
          </cell>
          <cell r="C12325" t="str">
            <v>D erythro Ascorbate C5H6O5</v>
          </cell>
        </row>
        <row r="12326">
          <cell r="A12326" t="str">
            <v>ethamp_c</v>
          </cell>
          <cell r="B12326" t="str">
            <v>ethamp</v>
          </cell>
          <cell r="C12326" t="str">
            <v>Ethanolamine phosphate C2H7NO4P</v>
          </cell>
        </row>
        <row r="12327">
          <cell r="A12327" t="str">
            <v>etoh_m</v>
          </cell>
          <cell r="B12327" t="str">
            <v>etoh</v>
          </cell>
          <cell r="C12327" t="str">
            <v>Ethanol</v>
          </cell>
        </row>
        <row r="12328">
          <cell r="A12328" t="str">
            <v>fadh2_m</v>
          </cell>
          <cell r="B12328" t="str">
            <v>fadh2</v>
          </cell>
          <cell r="C12328" t="str">
            <v>Flavin adenine dinucleotide reduced</v>
          </cell>
        </row>
        <row r="12329">
          <cell r="A12329" t="str">
            <v>fecostest_SC_c</v>
          </cell>
          <cell r="B12329" t="str">
            <v>fecostest_SC</v>
          </cell>
          <cell r="C12329" t="str">
            <v>Fecosterol ester  yeast specific C1695H2995O101</v>
          </cell>
        </row>
        <row r="12330">
          <cell r="A12330" t="str">
            <v>ficytc_m</v>
          </cell>
          <cell r="B12330" t="str">
            <v>ficytc</v>
          </cell>
          <cell r="C12330" t="str">
            <v>Ferricytochrome c C42H52FeN8O6S2</v>
          </cell>
        </row>
        <row r="12331">
          <cell r="A12331" t="str">
            <v>fmn_m</v>
          </cell>
          <cell r="B12331" t="str">
            <v>fmn</v>
          </cell>
          <cell r="C12331" t="str">
            <v>FMN C17H19N4O9P</v>
          </cell>
        </row>
        <row r="12332">
          <cell r="A12332" t="str">
            <v>gdp_m</v>
          </cell>
          <cell r="B12332" t="str">
            <v>gdp</v>
          </cell>
          <cell r="C12332" t="str">
            <v>GDP C10H12N5O11P2</v>
          </cell>
        </row>
        <row r="12333">
          <cell r="A12333" t="str">
            <v>ggl_c</v>
          </cell>
          <cell r="B12333" t="str">
            <v>ggl</v>
          </cell>
          <cell r="C12333" t="str">
            <v>Galactosylglycerol C9H18O8</v>
          </cell>
        </row>
        <row r="12334">
          <cell r="A12334" t="str">
            <v>glc__D_v</v>
          </cell>
          <cell r="B12334" t="str">
            <v>glc__D</v>
          </cell>
          <cell r="C12334" t="str">
            <v>D-Glucose</v>
          </cell>
        </row>
        <row r="12335">
          <cell r="A12335" t="str">
            <v>gln__L_v</v>
          </cell>
          <cell r="B12335" t="str">
            <v>gln__L</v>
          </cell>
          <cell r="C12335" t="str">
            <v>L-Glutamine</v>
          </cell>
        </row>
        <row r="12336">
          <cell r="A12336" t="str">
            <v>glu__L_m</v>
          </cell>
          <cell r="B12336" t="str">
            <v>glu__L</v>
          </cell>
          <cell r="C12336" t="str">
            <v>L-Glutamate</v>
          </cell>
        </row>
        <row r="12337">
          <cell r="A12337" t="str">
            <v>glu__L_v</v>
          </cell>
          <cell r="B12337" t="str">
            <v>glu__L</v>
          </cell>
          <cell r="C12337" t="str">
            <v>L-Glutamate</v>
          </cell>
        </row>
        <row r="12338">
          <cell r="A12338" t="str">
            <v>gluala_c</v>
          </cell>
          <cell r="B12338" t="str">
            <v>gluala</v>
          </cell>
          <cell r="C12338" t="str">
            <v>5 L Glutamyl L alanine C8H13N2O5</v>
          </cell>
        </row>
        <row r="12339">
          <cell r="A12339" t="str">
            <v>glx_x</v>
          </cell>
          <cell r="B12339" t="str">
            <v>glx</v>
          </cell>
          <cell r="C12339" t="str">
            <v>Glyoxylate</v>
          </cell>
        </row>
        <row r="12340">
          <cell r="A12340" t="str">
            <v>glycogen_v</v>
          </cell>
          <cell r="B12340" t="str">
            <v>glycogen</v>
          </cell>
          <cell r="C12340" t="str">
            <v>Glycogen C6H10O5</v>
          </cell>
        </row>
        <row r="12341">
          <cell r="A12341" t="str">
            <v>gsn_m</v>
          </cell>
          <cell r="B12341" t="str">
            <v>gsn</v>
          </cell>
          <cell r="C12341" t="str">
            <v>Guanosine</v>
          </cell>
        </row>
        <row r="12342">
          <cell r="A12342" t="str">
            <v>gthox_m</v>
          </cell>
          <cell r="B12342" t="str">
            <v>gthox</v>
          </cell>
          <cell r="C12342" t="str">
            <v>Oxidized glutathione</v>
          </cell>
        </row>
        <row r="12343">
          <cell r="A12343" t="str">
            <v>gua_m</v>
          </cell>
          <cell r="B12343" t="str">
            <v>gua</v>
          </cell>
          <cell r="C12343" t="str">
            <v>Guanine</v>
          </cell>
        </row>
        <row r="12344">
          <cell r="A12344" t="str">
            <v>h2o2_x</v>
          </cell>
          <cell r="B12344" t="str">
            <v>h2o2</v>
          </cell>
          <cell r="C12344" t="str">
            <v>Hydrogen peroxide</v>
          </cell>
        </row>
        <row r="12345">
          <cell r="A12345" t="str">
            <v>h2o_g</v>
          </cell>
          <cell r="B12345" t="str">
            <v>h2o</v>
          </cell>
          <cell r="C12345" t="str">
            <v>H2O H2O</v>
          </cell>
        </row>
        <row r="12346">
          <cell r="A12346" t="str">
            <v>h2o_n</v>
          </cell>
          <cell r="B12346" t="str">
            <v>h2o</v>
          </cell>
          <cell r="C12346" t="str">
            <v>H2O H2O</v>
          </cell>
        </row>
        <row r="12347">
          <cell r="A12347" t="str">
            <v>h_g</v>
          </cell>
          <cell r="B12347" t="str">
            <v>h</v>
          </cell>
          <cell r="C12347" t="str">
            <v>H+</v>
          </cell>
        </row>
        <row r="12348">
          <cell r="A12348" t="str">
            <v>h_n</v>
          </cell>
          <cell r="B12348" t="str">
            <v>h</v>
          </cell>
          <cell r="C12348" t="str">
            <v>H+</v>
          </cell>
        </row>
        <row r="12349">
          <cell r="A12349" t="str">
            <v>hdcoa_x</v>
          </cell>
          <cell r="B12349" t="str">
            <v>hdcoa</v>
          </cell>
          <cell r="C12349" t="str">
            <v>Hexadecenoyl-CoA (n-C16:1CoA)</v>
          </cell>
        </row>
        <row r="12350">
          <cell r="A12350" t="str">
            <v>iamac_e</v>
          </cell>
          <cell r="B12350" t="str">
            <v>iamac</v>
          </cell>
          <cell r="C12350" t="str">
            <v>Isoamyl acetate C7H14O2</v>
          </cell>
        </row>
        <row r="12351">
          <cell r="A12351" t="str">
            <v>ibutoh_m</v>
          </cell>
          <cell r="B12351" t="str">
            <v>ibutoh</v>
          </cell>
          <cell r="C12351" t="str">
            <v>Isobutyl alcohol C4H10O</v>
          </cell>
        </row>
        <row r="12352">
          <cell r="A12352" t="str">
            <v>icit_m</v>
          </cell>
          <cell r="B12352" t="str">
            <v>icit</v>
          </cell>
          <cell r="C12352" t="str">
            <v>Isocitrate</v>
          </cell>
        </row>
        <row r="12353">
          <cell r="A12353" t="str">
            <v>idp_m</v>
          </cell>
          <cell r="B12353" t="str">
            <v>idp</v>
          </cell>
          <cell r="C12353" t="str">
            <v>IDP C10H11N4O11P2</v>
          </cell>
        </row>
        <row r="12354">
          <cell r="A12354" t="str">
            <v>ile__L_m</v>
          </cell>
          <cell r="B12354" t="str">
            <v>ile__L</v>
          </cell>
          <cell r="C12354" t="str">
            <v>L-Isoleucine</v>
          </cell>
        </row>
        <row r="12355">
          <cell r="A12355" t="str">
            <v>ile__L_v</v>
          </cell>
          <cell r="B12355" t="str">
            <v>ile__L</v>
          </cell>
          <cell r="C12355" t="str">
            <v>L-Isoleucine</v>
          </cell>
        </row>
        <row r="12356">
          <cell r="A12356" t="str">
            <v>ind3eth_m</v>
          </cell>
          <cell r="B12356" t="str">
            <v>ind3eth</v>
          </cell>
          <cell r="C12356" t="str">
            <v>Indole 3 ethanol C10H11NO</v>
          </cell>
        </row>
        <row r="12357">
          <cell r="A12357" t="str">
            <v>ipc124_SC_c</v>
          </cell>
          <cell r="B12357" t="str">
            <v>ipc124_SC</v>
          </cell>
          <cell r="C12357" t="str">
            <v>Inositol phosphorylceramide  ceramide 1  24C   yeast specific C4800H9500N100O1100P100</v>
          </cell>
        </row>
        <row r="12358">
          <cell r="A12358" t="str">
            <v>itaccoa_m</v>
          </cell>
          <cell r="B12358" t="str">
            <v>itaccoa</v>
          </cell>
          <cell r="C12358" t="str">
            <v>Itaconyl CoA C26H35N7O19P3S</v>
          </cell>
        </row>
        <row r="12359">
          <cell r="A12359" t="str">
            <v>itp_m</v>
          </cell>
          <cell r="B12359" t="str">
            <v>itp</v>
          </cell>
          <cell r="C12359" t="str">
            <v>ITP C10H11N4O14P3</v>
          </cell>
        </row>
        <row r="12360">
          <cell r="A12360" t="str">
            <v>lanost_e</v>
          </cell>
          <cell r="B12360" t="str">
            <v>lanost</v>
          </cell>
          <cell r="C12360" t="str">
            <v>Lanosterol C30H50O</v>
          </cell>
        </row>
        <row r="12361">
          <cell r="A12361" t="str">
            <v>lgt__S_m</v>
          </cell>
          <cell r="B12361" t="str">
            <v>lgt__S</v>
          </cell>
          <cell r="C12361" t="str">
            <v>(R)-S-Lactoylglutathione</v>
          </cell>
        </row>
        <row r="12362">
          <cell r="A12362" t="str">
            <v>lpro_m</v>
          </cell>
          <cell r="B12362" t="str">
            <v>lpro</v>
          </cell>
          <cell r="C12362" t="str">
            <v>Lipoylprotein S2X</v>
          </cell>
        </row>
        <row r="12363">
          <cell r="A12363" t="str">
            <v>lystrna_m</v>
          </cell>
          <cell r="B12363" t="str">
            <v>lystrna</v>
          </cell>
          <cell r="C12363" t="str">
            <v>L-Lysine-tRNA (Lys)</v>
          </cell>
        </row>
        <row r="12364">
          <cell r="A12364" t="str">
            <v>m2macchitppdol_g</v>
          </cell>
          <cell r="B12364" t="str">
            <v>m2macchitppdol</v>
          </cell>
          <cell r="C12364" t="str">
            <v xml:space="preserve"> alpha D mannosyl 2 beta D mannosyl diacetylchitobiosyldiphosphodolichol C49H84N2O32P2</v>
          </cell>
        </row>
        <row r="12365">
          <cell r="A12365" t="str">
            <v>mal__L_x</v>
          </cell>
          <cell r="B12365" t="str">
            <v>mal__L</v>
          </cell>
          <cell r="C12365" t="str">
            <v>L-Malate</v>
          </cell>
        </row>
        <row r="12366">
          <cell r="A12366" t="str">
            <v>man2mi1p__D_c</v>
          </cell>
          <cell r="B12366" t="str">
            <v>man2mi1p__D</v>
          </cell>
          <cell r="C12366" t="str">
            <v>Mannose  inositol P 2 C18H31O22P2</v>
          </cell>
        </row>
        <row r="12367">
          <cell r="A12367" t="str">
            <v>melt_c</v>
          </cell>
          <cell r="B12367" t="str">
            <v>melt</v>
          </cell>
          <cell r="C12367" t="str">
            <v>Melibiitol C12H24O11</v>
          </cell>
        </row>
        <row r="12368">
          <cell r="A12368" t="str">
            <v>methf_m</v>
          </cell>
          <cell r="B12368" t="str">
            <v>methf</v>
          </cell>
          <cell r="C12368" t="str">
            <v>5,10-Methenyltetrahydrofolate</v>
          </cell>
        </row>
        <row r="12369">
          <cell r="A12369" t="str">
            <v>mip2c326_SC_c</v>
          </cell>
          <cell r="B12369" t="str">
            <v>mip2c326_SC</v>
          </cell>
          <cell r="C12369" t="str">
            <v>Mannose  inositol P 2 ceramide  ceramide 3  26C   yeast specific C6200H11900N100O2600P200</v>
          </cell>
        </row>
        <row r="12370">
          <cell r="A12370" t="str">
            <v>mipc124_SC_c</v>
          </cell>
          <cell r="B12370" t="str">
            <v>mipc124_SC</v>
          </cell>
          <cell r="C12370" t="str">
            <v>Mannose inositol phosphorylceramide  ceramide 1  24C   yeast specific C5400H10500N100O1600P100</v>
          </cell>
        </row>
        <row r="12371">
          <cell r="A12371" t="str">
            <v>mipc324_SC_c</v>
          </cell>
          <cell r="B12371" t="str">
            <v>mipc324_SC</v>
          </cell>
          <cell r="C12371" t="str">
            <v>Mannose inositol phosphorylceramide  ceramide 3  24C   yeast specific C5400H10500N100O1800P100</v>
          </cell>
        </row>
        <row r="12372">
          <cell r="A12372" t="str">
            <v>mipc326_SC_c</v>
          </cell>
          <cell r="B12372" t="str">
            <v>mipc326_SC</v>
          </cell>
          <cell r="C12372" t="str">
            <v>Mannose inositol phosphorylceramide  ceramide 3  26C  C5600H10900N100O1800P100</v>
          </cell>
        </row>
        <row r="12373">
          <cell r="A12373" t="str">
            <v>nad_n</v>
          </cell>
          <cell r="B12373" t="str">
            <v>nad</v>
          </cell>
          <cell r="C12373" t="str">
            <v>Nicotinamide adenine dinucleotide</v>
          </cell>
        </row>
        <row r="12374">
          <cell r="A12374" t="str">
            <v>nadh_m</v>
          </cell>
          <cell r="B12374" t="str">
            <v>nadh</v>
          </cell>
          <cell r="C12374" t="str">
            <v>Nicotinamide adenine dinucleotide - reduced</v>
          </cell>
        </row>
        <row r="12375">
          <cell r="A12375" t="str">
            <v>nadp_e</v>
          </cell>
          <cell r="B12375" t="str">
            <v>nadp</v>
          </cell>
          <cell r="C12375" t="str">
            <v>Nicotinamide adenine dinucleotide phosphate</v>
          </cell>
        </row>
        <row r="12376">
          <cell r="A12376" t="str">
            <v>nadph_r</v>
          </cell>
          <cell r="B12376" t="str">
            <v>nadph</v>
          </cell>
          <cell r="C12376" t="str">
            <v>Nicotinamide adenine dinucleotide phosphate - reduced</v>
          </cell>
        </row>
        <row r="12377">
          <cell r="A12377" t="str">
            <v>nadph_x</v>
          </cell>
          <cell r="B12377" t="str">
            <v>nadph</v>
          </cell>
          <cell r="C12377" t="str">
            <v>Nicotinamide adenine dinucleotide phosphate - reduced</v>
          </cell>
        </row>
        <row r="12378">
          <cell r="A12378" t="str">
            <v>nmn_x</v>
          </cell>
          <cell r="B12378" t="str">
            <v>nmn</v>
          </cell>
          <cell r="C12378" t="str">
            <v>NMN C11H14N2O8P</v>
          </cell>
        </row>
        <row r="12379">
          <cell r="A12379" t="str">
            <v>ocACP_m</v>
          </cell>
          <cell r="B12379" t="str">
            <v>ocACP</v>
          </cell>
          <cell r="C12379" t="str">
            <v>Octanoyl-ACP (n-C8:0ACP)</v>
          </cell>
        </row>
        <row r="12380">
          <cell r="A12380" t="str">
            <v>octa_x</v>
          </cell>
          <cell r="B12380" t="str">
            <v>octa</v>
          </cell>
          <cell r="C12380" t="str">
            <v>Octanoate (n-C8:0)</v>
          </cell>
        </row>
        <row r="12381">
          <cell r="A12381" t="str">
            <v>oh1_m</v>
          </cell>
          <cell r="B12381" t="str">
            <v>oh1</v>
          </cell>
          <cell r="C12381" t="str">
            <v>Hydroxide ion HO</v>
          </cell>
        </row>
        <row r="12382">
          <cell r="A12382" t="str">
            <v>pad_c</v>
          </cell>
          <cell r="B12382" t="str">
            <v>pad</v>
          </cell>
          <cell r="C12382" t="str">
            <v>2 Phenylacetamide C8H9NO</v>
          </cell>
        </row>
        <row r="12383">
          <cell r="A12383" t="str">
            <v>palmACP_m</v>
          </cell>
          <cell r="B12383" t="str">
            <v>palmACP</v>
          </cell>
          <cell r="C12383" t="str">
            <v>Palmitoyl-ACP (n-C16:0ACP)</v>
          </cell>
        </row>
        <row r="12384">
          <cell r="A12384" t="str">
            <v>pan4p_x</v>
          </cell>
          <cell r="B12384" t="str">
            <v>pan4p</v>
          </cell>
          <cell r="C12384" t="str">
            <v>Pantetheine 4'-phosphate</v>
          </cell>
        </row>
        <row r="12385">
          <cell r="A12385" t="str">
            <v>pap_e</v>
          </cell>
          <cell r="B12385" t="str">
            <v>pap</v>
          </cell>
          <cell r="C12385" t="str">
            <v>Adenosine 3',5'-bisphosphate</v>
          </cell>
        </row>
        <row r="12386">
          <cell r="A12386" t="str">
            <v>pc_SC_e</v>
          </cell>
          <cell r="B12386" t="str">
            <v>pc_SC</v>
          </cell>
          <cell r="C12386" t="str">
            <v>Phosphatidylcholine  yeast specific C4040H7844N100O800P100</v>
          </cell>
        </row>
        <row r="12387">
          <cell r="A12387" t="str">
            <v>pe_SC_c</v>
          </cell>
          <cell r="B12387" t="str">
            <v>pe_SC</v>
          </cell>
          <cell r="C12387" t="str">
            <v>Phosphatidylethanolamine  yeast specific C3740H7244N100O800P100</v>
          </cell>
        </row>
        <row r="12388">
          <cell r="A12388" t="str">
            <v>pectin_e</v>
          </cell>
          <cell r="B12388" t="str">
            <v>pectin</v>
          </cell>
          <cell r="C12388" t="str">
            <v>Pectin C6H7O6</v>
          </cell>
        </row>
        <row r="12389">
          <cell r="A12389" t="str">
            <v>pendp_c</v>
          </cell>
          <cell r="B12389" t="str">
            <v>pendp</v>
          </cell>
          <cell r="C12389" t="str">
            <v>All trans Pentaprenyl diphosphate C25H41O7P2</v>
          </cell>
        </row>
        <row r="12390">
          <cell r="A12390" t="str">
            <v>pep_m</v>
          </cell>
          <cell r="B12390" t="str">
            <v>pep</v>
          </cell>
          <cell r="C12390" t="str">
            <v>Phosphoenolpyruvate</v>
          </cell>
        </row>
        <row r="12391">
          <cell r="A12391" t="str">
            <v>pepd_c</v>
          </cell>
          <cell r="B12391" t="str">
            <v>pepd</v>
          </cell>
          <cell r="C12391" t="str">
            <v>Peptide C2H4NO2RC2H2NOR</v>
          </cell>
        </row>
        <row r="12392">
          <cell r="A12392" t="str">
            <v>pgp_SC_m</v>
          </cell>
          <cell r="B12392" t="str">
            <v>pgp_SC</v>
          </cell>
          <cell r="C12392" t="str">
            <v>Phosphatidylglycerophosphate  yeast specific C3840H7144O1300P200</v>
          </cell>
        </row>
        <row r="12393">
          <cell r="A12393" t="str">
            <v>pheac_e</v>
          </cell>
          <cell r="B12393" t="str">
            <v>pheac</v>
          </cell>
          <cell r="C12393" t="str">
            <v>Phenethyl acetate C10H12O2</v>
          </cell>
        </row>
        <row r="12394">
          <cell r="A12394" t="str">
            <v>pi_r</v>
          </cell>
          <cell r="B12394" t="str">
            <v>pi</v>
          </cell>
          <cell r="C12394" t="str">
            <v>Phosphate</v>
          </cell>
        </row>
        <row r="12395">
          <cell r="A12395" t="str">
            <v>pi_x</v>
          </cell>
          <cell r="B12395" t="str">
            <v>pi</v>
          </cell>
          <cell r="C12395" t="str">
            <v>Phosphate</v>
          </cell>
        </row>
        <row r="12396">
          <cell r="A12396" t="str">
            <v>ppi_x</v>
          </cell>
          <cell r="B12396" t="str">
            <v>ppi</v>
          </cell>
          <cell r="C12396" t="str">
            <v>Diphosphate</v>
          </cell>
        </row>
        <row r="12397">
          <cell r="A12397" t="str">
            <v>ppmi1346p_c</v>
          </cell>
          <cell r="B12397" t="str">
            <v>ppmi1346p</v>
          </cell>
          <cell r="C12397" t="str">
            <v>Diphosphoinositol tetrakisphosphate C6H7O24P6</v>
          </cell>
        </row>
        <row r="12398">
          <cell r="A12398" t="str">
            <v>pro__L_m</v>
          </cell>
          <cell r="B12398" t="str">
            <v>pro__L</v>
          </cell>
          <cell r="C12398" t="str">
            <v>L-Proline</v>
          </cell>
        </row>
        <row r="12399">
          <cell r="A12399" t="str">
            <v>ps_SC_m</v>
          </cell>
          <cell r="B12399" t="str">
            <v>ps_SC</v>
          </cell>
          <cell r="C12399" t="str">
            <v>Phosphatidylserine  yeast specific C3840H7144N100O1000P100</v>
          </cell>
        </row>
        <row r="12400">
          <cell r="A12400" t="str">
            <v>ps_SC_v</v>
          </cell>
          <cell r="B12400" t="str">
            <v>ps_SC</v>
          </cell>
          <cell r="C12400" t="str">
            <v>Phosphatidylserine  yeast specific C3840H7144N100O1000P100</v>
          </cell>
        </row>
        <row r="12401">
          <cell r="A12401" t="str">
            <v>psphings_c</v>
          </cell>
          <cell r="B12401" t="str">
            <v>psphings</v>
          </cell>
          <cell r="C12401" t="str">
            <v>Phytosphingosine C18H40NO3</v>
          </cell>
        </row>
        <row r="12402">
          <cell r="A12402" t="str">
            <v>psphings_r</v>
          </cell>
          <cell r="B12402" t="str">
            <v>psphings</v>
          </cell>
          <cell r="C12402" t="str">
            <v>Phytosphingosine C18H40NO3</v>
          </cell>
        </row>
        <row r="12403">
          <cell r="A12403" t="str">
            <v>ptd1ino_SC_e</v>
          </cell>
          <cell r="B12403" t="str">
            <v>ptd1ino_SC</v>
          </cell>
          <cell r="C12403" t="str">
            <v>Phosphatidyl 1D myo inositol  yeast specific C4140H7644O1300P100</v>
          </cell>
        </row>
        <row r="12404">
          <cell r="A12404" t="str">
            <v>ptd4ino_SC_n</v>
          </cell>
          <cell r="B12404" t="str">
            <v>ptd4ino_SC</v>
          </cell>
          <cell r="C12404" t="str">
            <v>Phosphatidyl 1D myo 4 inositol  yeast specific C4140H7544O1600P200</v>
          </cell>
        </row>
        <row r="12405">
          <cell r="A12405" t="str">
            <v>ptdmeeta_SC_c</v>
          </cell>
          <cell r="B12405" t="str">
            <v>ptdmeeta_SC</v>
          </cell>
          <cell r="C12405" t="str">
            <v>Phosphatidyl N methylethanolamine  yeast specific C3840H7444N100O800P100</v>
          </cell>
        </row>
        <row r="12406">
          <cell r="A12406" t="str">
            <v>pyr_m</v>
          </cell>
          <cell r="B12406" t="str">
            <v>pyr</v>
          </cell>
          <cell r="C12406" t="str">
            <v>Pyruvate</v>
          </cell>
        </row>
        <row r="12407">
          <cell r="A12407" t="str">
            <v>q6_m</v>
          </cell>
          <cell r="B12407" t="str">
            <v>q6</v>
          </cell>
          <cell r="C12407" t="str">
            <v>Ubiquinone 6 C39H58O4</v>
          </cell>
        </row>
        <row r="12408">
          <cell r="A12408" t="str">
            <v>ser__L_m</v>
          </cell>
          <cell r="B12408" t="str">
            <v>ser__L</v>
          </cell>
          <cell r="C12408" t="str">
            <v>L-Serine</v>
          </cell>
        </row>
        <row r="12409">
          <cell r="A12409" t="str">
            <v>sprm_c</v>
          </cell>
          <cell r="B12409" t="str">
            <v>sprm</v>
          </cell>
          <cell r="C12409" t="str">
            <v>Spermine C10H30N4</v>
          </cell>
        </row>
        <row r="12410">
          <cell r="A12410" t="str">
            <v>srb__L_c</v>
          </cell>
          <cell r="B12410" t="str">
            <v>srb__L</v>
          </cell>
          <cell r="C12410" t="str">
            <v>L Sorbose C6H12O6</v>
          </cell>
        </row>
        <row r="12411">
          <cell r="A12411" t="str">
            <v>succoa_m</v>
          </cell>
          <cell r="B12411" t="str">
            <v>succoa</v>
          </cell>
          <cell r="C12411" t="str">
            <v>Succinyl-CoA</v>
          </cell>
        </row>
        <row r="12412">
          <cell r="A12412" t="str">
            <v>tchola_c</v>
          </cell>
          <cell r="B12412" t="str">
            <v>tchola</v>
          </cell>
          <cell r="C12412" t="str">
            <v>Taurocholic acid C26H45NO7S</v>
          </cell>
        </row>
        <row r="12413">
          <cell r="A12413" t="str">
            <v>tdcoa_x</v>
          </cell>
          <cell r="B12413" t="str">
            <v>tdcoa</v>
          </cell>
          <cell r="C12413" t="str">
            <v>Tetradecanoyl-CoA (n-C14:0CoA)</v>
          </cell>
        </row>
        <row r="12414">
          <cell r="A12414" t="str">
            <v>thmmp_e</v>
          </cell>
          <cell r="B12414" t="str">
            <v>thmmp</v>
          </cell>
          <cell r="C12414" t="str">
            <v>Thiamin monophosphate</v>
          </cell>
        </row>
        <row r="12415">
          <cell r="A12415" t="str">
            <v>thmpp_e</v>
          </cell>
          <cell r="B12415" t="str">
            <v>thmpp</v>
          </cell>
          <cell r="C12415" t="str">
            <v>Thiamine diphosphate</v>
          </cell>
        </row>
        <row r="12416">
          <cell r="A12416" t="str">
            <v>trdox_m</v>
          </cell>
          <cell r="B12416" t="str">
            <v>trdox</v>
          </cell>
          <cell r="C12416" t="str">
            <v>Oxidized thioredoxin</v>
          </cell>
        </row>
        <row r="12417">
          <cell r="A12417" t="str">
            <v>trdrd_m</v>
          </cell>
          <cell r="B12417" t="str">
            <v>trdrd</v>
          </cell>
          <cell r="C12417" t="str">
            <v>Reduced thioredoxin</v>
          </cell>
        </row>
        <row r="12418">
          <cell r="A12418" t="str">
            <v>tre_v</v>
          </cell>
          <cell r="B12418" t="str">
            <v>tre</v>
          </cell>
          <cell r="C12418" t="str">
            <v>Trehalose</v>
          </cell>
        </row>
        <row r="12419">
          <cell r="A12419" t="str">
            <v>trnathr_m</v>
          </cell>
          <cell r="B12419" t="str">
            <v>trnathr</v>
          </cell>
          <cell r="C12419" t="str">
            <v>TRNA(Thr)</v>
          </cell>
        </row>
        <row r="12420">
          <cell r="A12420" t="str">
            <v>ttdca_x</v>
          </cell>
          <cell r="B12420" t="str">
            <v>ttdca</v>
          </cell>
          <cell r="C12420" t="str">
            <v>Tetradecanoate (n-C14:0)</v>
          </cell>
        </row>
        <row r="12421">
          <cell r="A12421" t="str">
            <v>tyr__L_x</v>
          </cell>
          <cell r="B12421" t="str">
            <v>tyr__L</v>
          </cell>
          <cell r="C12421" t="str">
            <v>L-Tyrosine</v>
          </cell>
        </row>
        <row r="12422">
          <cell r="A12422" t="str">
            <v>ump_n</v>
          </cell>
          <cell r="B12422" t="str">
            <v>ump</v>
          </cell>
          <cell r="C12422" t="str">
            <v>UMP C9H11N2O9P</v>
          </cell>
        </row>
        <row r="12423">
          <cell r="A12423" t="str">
            <v>utp_m</v>
          </cell>
          <cell r="B12423" t="str">
            <v>utp</v>
          </cell>
          <cell r="C12423" t="str">
            <v>UTP C9H11N2O15P3</v>
          </cell>
        </row>
        <row r="12424">
          <cell r="A12424" t="str">
            <v>zymst_e</v>
          </cell>
          <cell r="B12424" t="str">
            <v>zymst</v>
          </cell>
          <cell r="C12424" t="str">
            <v>Zymosterol C27H44O</v>
          </cell>
        </row>
        <row r="12425">
          <cell r="A12425" t="str">
            <v>12dgr_EC_c</v>
          </cell>
          <cell r="B12425" t="str">
            <v>12dgr_EC</v>
          </cell>
          <cell r="C12425" t="str">
            <v>1,2-Diacylglycerol  (E.coli)</v>
          </cell>
        </row>
        <row r="12426">
          <cell r="A12426" t="str">
            <v>12dgr_SA_c</v>
          </cell>
          <cell r="B12426" t="str">
            <v>12dgr_SA</v>
          </cell>
          <cell r="C12426" t="str">
            <v>1,2-Daicylglycerol (Saureus)</v>
          </cell>
        </row>
        <row r="12427">
          <cell r="A12427" t="str">
            <v>2a3pp_c</v>
          </cell>
          <cell r="B12427" t="str">
            <v>2a3pp</v>
          </cell>
          <cell r="C12427" t="str">
            <v>2-Amino-3-phosphonopropanoate</v>
          </cell>
        </row>
        <row r="12428">
          <cell r="A12428" t="str">
            <v>2hymeph_c</v>
          </cell>
          <cell r="B12428" t="str">
            <v>2hymeph</v>
          </cell>
          <cell r="C12428" t="str">
            <v>2-(Hydroxymethyl)phenol</v>
          </cell>
        </row>
        <row r="12429">
          <cell r="A12429" t="str">
            <v>2mbcoa_c</v>
          </cell>
          <cell r="B12429" t="str">
            <v>2mbcoa</v>
          </cell>
          <cell r="C12429" t="str">
            <v>2-Methylbutanoyl-CoA</v>
          </cell>
        </row>
        <row r="12430">
          <cell r="A12430" t="str">
            <v>2mpdhl_c</v>
          </cell>
          <cell r="B12430" t="str">
            <v>2mpdhl</v>
          </cell>
          <cell r="C12430" t="str">
            <v>S-(2-Methylpropanoyl)-dihydrolipoamide</v>
          </cell>
        </row>
        <row r="12431">
          <cell r="A12431" t="str">
            <v>3g12dgr_SA2_c</v>
          </cell>
          <cell r="B12431" t="str">
            <v>3g12dgr_SA2</v>
          </cell>
          <cell r="C12431" t="str">
            <v>3-D-Glucosyl-1,2-diacylglycerol</v>
          </cell>
        </row>
        <row r="12432">
          <cell r="A12432" t="str">
            <v>3pop_c</v>
          </cell>
          <cell r="B12432" t="str">
            <v>3pop</v>
          </cell>
          <cell r="C12432" t="str">
            <v>3-Phosphonopyruvate</v>
          </cell>
        </row>
        <row r="12433">
          <cell r="A12433" t="str">
            <v>6pthp_c</v>
          </cell>
          <cell r="B12433" t="str">
            <v>6pthp</v>
          </cell>
          <cell r="C12433" t="str">
            <v>6-Pyruvoyl-5,6,7,8-tetrahydropterin</v>
          </cell>
        </row>
        <row r="12434">
          <cell r="A12434" t="str">
            <v>Cit_Mg_e</v>
          </cell>
          <cell r="B12434" t="str">
            <v>Cit_Mg</v>
          </cell>
          <cell r="C12434" t="str">
            <v>Citrate-Mg</v>
          </cell>
        </row>
        <row r="12435">
          <cell r="A12435" t="str">
            <v>DGDG_SA_c</v>
          </cell>
          <cell r="B12435" t="str">
            <v>DGDG_SA</v>
          </cell>
          <cell r="C12435" t="str">
            <v>Diglucosyl Diglyceride (SA)</v>
          </cell>
        </row>
        <row r="12436">
          <cell r="A12436" t="str">
            <v>Sptmyn_c</v>
          </cell>
          <cell r="B12436" t="str">
            <v>Sptmyn</v>
          </cell>
          <cell r="C12436" t="str">
            <v>Spectinomycin</v>
          </cell>
        </row>
        <row r="12437">
          <cell r="A12437" t="str">
            <v>adcobdam_c</v>
          </cell>
          <cell r="B12437" t="str">
            <v>adcobdam</v>
          </cell>
          <cell r="C12437" t="str">
            <v>Adenosyl cobyrinate diamide</v>
          </cell>
        </row>
        <row r="12438">
          <cell r="A12438" t="str">
            <v>adcobhex_c</v>
          </cell>
          <cell r="B12438" t="str">
            <v>adcobhex</v>
          </cell>
          <cell r="C12438" t="str">
            <v>Adenosyl-cobyric acid</v>
          </cell>
        </row>
        <row r="12439">
          <cell r="A12439" t="str">
            <v>cdpglyc_c</v>
          </cell>
          <cell r="B12439" t="str">
            <v>cdpglyc</v>
          </cell>
          <cell r="C12439" t="str">
            <v>CDPglycerol C12H19N3O13P2</v>
          </cell>
        </row>
        <row r="12440">
          <cell r="A12440" t="str">
            <v>fa12_c</v>
          </cell>
          <cell r="B12440" t="str">
            <v>fa12</v>
          </cell>
          <cell r="C12440" t="str">
            <v>Fatty acid (Anteiso-C17:0)</v>
          </cell>
        </row>
        <row r="12441">
          <cell r="A12441" t="str">
            <v>fa1_c</v>
          </cell>
          <cell r="B12441" t="str">
            <v>fa1</v>
          </cell>
          <cell r="C12441" t="str">
            <v>Fatty acid (Iso-C14:0)</v>
          </cell>
        </row>
        <row r="12442">
          <cell r="A12442" t="str">
            <v>fa20n_c</v>
          </cell>
          <cell r="B12442" t="str">
            <v>fa20n</v>
          </cell>
          <cell r="C12442" t="str">
            <v>Fatty Acid (C20:0)</v>
          </cell>
        </row>
        <row r="12443">
          <cell r="A12443" t="str">
            <v>fa3_c</v>
          </cell>
          <cell r="B12443" t="str">
            <v>fa3</v>
          </cell>
          <cell r="C12443" t="str">
            <v>Fatty acid (Iso-C15:0)</v>
          </cell>
        </row>
        <row r="12444">
          <cell r="A12444" t="str">
            <v>fa6_c</v>
          </cell>
          <cell r="B12444" t="str">
            <v>fa6</v>
          </cell>
          <cell r="C12444" t="str">
            <v>Fatty acid (iso-C16:0)</v>
          </cell>
        </row>
        <row r="12445">
          <cell r="A12445" t="str">
            <v>frmd_c</v>
          </cell>
          <cell r="B12445" t="str">
            <v>frmd</v>
          </cell>
          <cell r="C12445" t="str">
            <v>Formamide</v>
          </cell>
        </row>
        <row r="12446">
          <cell r="A12446" t="str">
            <v>gtca1_c</v>
          </cell>
          <cell r="B12446" t="str">
            <v>gtca1</v>
          </cell>
          <cell r="C12446" t="str">
            <v>Glycerol teichoic acid (n=25), unlinked, unsubstituted</v>
          </cell>
        </row>
        <row r="12447">
          <cell r="A12447" t="str">
            <v>ivcoa_c</v>
          </cell>
          <cell r="B12447" t="str">
            <v>ivcoa</v>
          </cell>
          <cell r="C12447" t="str">
            <v>Isovaleryl-CoA</v>
          </cell>
        </row>
        <row r="12448">
          <cell r="A12448" t="str">
            <v>lpam_c</v>
          </cell>
          <cell r="B12448" t="str">
            <v>lpam</v>
          </cell>
          <cell r="C12448" t="str">
            <v>Lipoamide C8H15NOS2</v>
          </cell>
        </row>
        <row r="12449">
          <cell r="A12449" t="str">
            <v>malm_c</v>
          </cell>
          <cell r="B12449" t="str">
            <v>malm</v>
          </cell>
          <cell r="C12449" t="str">
            <v>Maleamate</v>
          </cell>
        </row>
        <row r="12450">
          <cell r="A12450" t="str">
            <v>ncam_e</v>
          </cell>
          <cell r="B12450" t="str">
            <v>ncam</v>
          </cell>
          <cell r="C12450" t="str">
            <v>Nicotinamide</v>
          </cell>
        </row>
        <row r="12451">
          <cell r="A12451" t="str">
            <v>pala_SA_c</v>
          </cell>
          <cell r="B12451" t="str">
            <v>pala_SA</v>
          </cell>
          <cell r="C12451" t="str">
            <v>Phosphatidylananine SA</v>
          </cell>
        </row>
        <row r="12452">
          <cell r="A12452" t="str">
            <v>pe_EC_c</v>
          </cell>
          <cell r="B12452" t="str">
            <v>pe_EC</v>
          </cell>
          <cell r="C12452" t="str">
            <v>Phosphatidylethanolamine (ecoli)</v>
          </cell>
        </row>
        <row r="12453">
          <cell r="A12453" t="str">
            <v>pg_EC_c</v>
          </cell>
          <cell r="B12453" t="str">
            <v>pg_EC</v>
          </cell>
          <cell r="C12453" t="str">
            <v>Phosphatidylglycerol (Ecoli)</v>
          </cell>
        </row>
        <row r="12454">
          <cell r="A12454" t="str">
            <v>pgly_SA2_c</v>
          </cell>
          <cell r="B12454" t="str">
            <v>pgly_SA2</v>
          </cell>
          <cell r="C12454" t="str">
            <v>Phosphatidylglycine SA2</v>
          </cell>
        </row>
        <row r="12455">
          <cell r="A12455" t="str">
            <v>pleu_SA_c</v>
          </cell>
          <cell r="B12455" t="str">
            <v>pleu_SA</v>
          </cell>
          <cell r="C12455" t="str">
            <v>Phosphatidylleucine SA</v>
          </cell>
        </row>
        <row r="12456">
          <cell r="A12456" t="str">
            <v>sdhlam_c</v>
          </cell>
          <cell r="B12456" t="str">
            <v>sdhlam</v>
          </cell>
          <cell r="C12456" t="str">
            <v>S Succinyldihydrolipoamide C12H20NO4S2</v>
          </cell>
        </row>
        <row r="12457">
          <cell r="A12457" t="str">
            <v>drib_p</v>
          </cell>
          <cell r="B12457" t="str">
            <v>drib</v>
          </cell>
          <cell r="C12457" t="str">
            <v>Deoxyribose C5H10O4</v>
          </cell>
        </row>
        <row r="12458">
          <cell r="A12458" t="str">
            <v>entermg_c</v>
          </cell>
          <cell r="B12458" t="str">
            <v>entermg</v>
          </cell>
          <cell r="C12458" t="str">
            <v>Enterobactin monoglycosylated</v>
          </cell>
        </row>
        <row r="12459">
          <cell r="A12459" t="str">
            <v>tag1p__D_c</v>
          </cell>
          <cell r="B12459" t="str">
            <v>tag1p__D</v>
          </cell>
          <cell r="C12459" t="str">
            <v>D-Tagatose-1-phosphate</v>
          </cell>
        </row>
        <row r="12460">
          <cell r="A12460" t="str">
            <v>4hthr_e</v>
          </cell>
          <cell r="B12460" t="str">
            <v>4hthr</v>
          </cell>
          <cell r="C12460" t="str">
            <v>4-Hydroxy-L-threonine</v>
          </cell>
        </row>
        <row r="12461">
          <cell r="A12461" t="str">
            <v>dxyl_e</v>
          </cell>
          <cell r="B12461" t="str">
            <v>dxyl</v>
          </cell>
          <cell r="C12461" t="str">
            <v>1-deoxy-D-xylulose</v>
          </cell>
        </row>
        <row r="12462">
          <cell r="A12462" t="str">
            <v>chit6p_c</v>
          </cell>
          <cell r="B12462" t="str">
            <v>chit6p</v>
          </cell>
          <cell r="C12462" t="str">
            <v>Chitobiose-6-phosphate</v>
          </cell>
        </row>
        <row r="12463">
          <cell r="A12463" t="str">
            <v>salchsx_e</v>
          </cell>
          <cell r="B12463" t="str">
            <v>salchsx</v>
          </cell>
          <cell r="C12463" t="str">
            <v>Salmochelin-SX</v>
          </cell>
        </row>
        <row r="12464">
          <cell r="A12464" t="str">
            <v>tet_e</v>
          </cell>
          <cell r="B12464" t="str">
            <v>tet</v>
          </cell>
          <cell r="C12464" t="str">
            <v>Tetrathionate</v>
          </cell>
        </row>
        <row r="12465">
          <cell r="A12465" t="str">
            <v>salchs4fe_e</v>
          </cell>
          <cell r="B12465" t="str">
            <v>salchs4fe</v>
          </cell>
          <cell r="C12465" t="str">
            <v>Salmochelin-S4-Fe-III</v>
          </cell>
        </row>
        <row r="12466">
          <cell r="A12466" t="str">
            <v>salchs4_e</v>
          </cell>
          <cell r="B12466" t="str">
            <v>salchs4</v>
          </cell>
          <cell r="C12466" t="str">
            <v>Salmochelin-S4</v>
          </cell>
        </row>
        <row r="12467">
          <cell r="A12467" t="str">
            <v>cysi__L_p</v>
          </cell>
          <cell r="B12467" t="str">
            <v>cysi__L</v>
          </cell>
          <cell r="C12467" t="str">
            <v>L Cystine C6H12N2O4S2</v>
          </cell>
        </row>
        <row r="12468">
          <cell r="A12468" t="str">
            <v>salchs2fe_e</v>
          </cell>
          <cell r="B12468" t="str">
            <v>salchs2fe</v>
          </cell>
          <cell r="C12468" t="str">
            <v>Salmochelin-S2-Fe-III</v>
          </cell>
        </row>
        <row r="12469">
          <cell r="A12469" t="str">
            <v>tcb_p</v>
          </cell>
          <cell r="B12469" t="str">
            <v>tcb</v>
          </cell>
          <cell r="C12469" t="str">
            <v>Tricarballylate</v>
          </cell>
        </row>
        <row r="12470">
          <cell r="A12470" t="str">
            <v>colipaOA_e</v>
          </cell>
          <cell r="B12470" t="str">
            <v>colipaOA</v>
          </cell>
          <cell r="C12470" t="str">
            <v>Membrane LPS mixture</v>
          </cell>
        </row>
        <row r="12471">
          <cell r="A12471" t="str">
            <v>2ameph_e</v>
          </cell>
          <cell r="B12471" t="str">
            <v>2ameph</v>
          </cell>
          <cell r="C12471" t="str">
            <v>2-Aminoethylphosphonate</v>
          </cell>
        </row>
        <row r="12472">
          <cell r="A12472" t="str">
            <v>acon_C_p</v>
          </cell>
          <cell r="B12472" t="str">
            <v>acon_C</v>
          </cell>
          <cell r="C12472" t="str">
            <v>Cis-Aconitate</v>
          </cell>
        </row>
        <row r="12473">
          <cell r="A12473" t="str">
            <v>udcpo5_e</v>
          </cell>
          <cell r="B12473" t="str">
            <v>udcpo5</v>
          </cell>
          <cell r="C12473" t="str">
            <v>Undecaprenyl diphosphate galactose-rhamnose-mannose-abequose-acetyl</v>
          </cell>
        </row>
        <row r="12474">
          <cell r="A12474" t="str">
            <v>frmd_p</v>
          </cell>
          <cell r="B12474" t="str">
            <v>frmd</v>
          </cell>
          <cell r="C12474" t="str">
            <v>Formamide</v>
          </cell>
        </row>
        <row r="12475">
          <cell r="A12475" t="str">
            <v>pprdn_c</v>
          </cell>
          <cell r="B12475" t="str">
            <v>pprdn</v>
          </cell>
          <cell r="C12475" t="str">
            <v>Piperideine</v>
          </cell>
        </row>
        <row r="12476">
          <cell r="A12476" t="str">
            <v>13ppd_e</v>
          </cell>
          <cell r="B12476" t="str">
            <v>13ppd</v>
          </cell>
          <cell r="C12476" t="str">
            <v>1,3-Propanediol</v>
          </cell>
        </row>
        <row r="12477">
          <cell r="A12477" t="str">
            <v>bz_e</v>
          </cell>
          <cell r="B12477" t="str">
            <v>bz</v>
          </cell>
          <cell r="C12477" t="str">
            <v>Benzoate</v>
          </cell>
        </row>
        <row r="12478">
          <cell r="A12478" t="str">
            <v>4hphac_c</v>
          </cell>
          <cell r="B12478" t="str">
            <v>4hphac</v>
          </cell>
          <cell r="C12478" t="str">
            <v>4-Hydroxyphenylacetate</v>
          </cell>
        </row>
        <row r="12479">
          <cell r="A12479" t="str">
            <v>4hphac_p</v>
          </cell>
          <cell r="B12479" t="str">
            <v>4hphac</v>
          </cell>
          <cell r="C12479" t="str">
            <v>4-Hydroxyphenylacetate</v>
          </cell>
        </row>
        <row r="12480">
          <cell r="A12480" t="str">
            <v>fe_p</v>
          </cell>
          <cell r="B12480" t="str">
            <v>fe</v>
          </cell>
          <cell r="C12480" t="str">
            <v>Iron</v>
          </cell>
        </row>
        <row r="12481">
          <cell r="A12481" t="str">
            <v>fe_c</v>
          </cell>
          <cell r="B12481" t="str">
            <v>fe</v>
          </cell>
          <cell r="C12481" t="str">
            <v>Iron</v>
          </cell>
        </row>
        <row r="12482">
          <cell r="A12482" t="str">
            <v>galam6p_c</v>
          </cell>
          <cell r="B12482" t="str">
            <v>galam6p</v>
          </cell>
          <cell r="C12482" t="str">
            <v>D Galactosamine 6 phosphate C6H14NO8P</v>
          </cell>
        </row>
        <row r="12483">
          <cell r="A12483" t="str">
            <v>o6a4colipa_e</v>
          </cell>
          <cell r="B12483" t="str">
            <v>o6a4colipa</v>
          </cell>
          <cell r="C12483" t="str">
            <v xml:space="preserve"> O6 antigen x4 core oligosaccharide lipid A O225H390N2O120P2</v>
          </cell>
        </row>
        <row r="12484">
          <cell r="A12484" t="str">
            <v>galam_e</v>
          </cell>
          <cell r="B12484" t="str">
            <v>galam</v>
          </cell>
          <cell r="C12484" t="str">
            <v>D Galactosamine C6H13NO5</v>
          </cell>
        </row>
        <row r="12485">
          <cell r="A12485" t="str">
            <v>enlipidA_LptA_p</v>
          </cell>
          <cell r="B12485" t="str">
            <v>enlipidA_LptA</v>
          </cell>
          <cell r="C12485" t="str">
            <v>1' Phosphoethanolamin lipidIVa C70H132N3O26P3</v>
          </cell>
        </row>
        <row r="12486">
          <cell r="A12486" t="str">
            <v>3ntym_e</v>
          </cell>
          <cell r="B12486" t="str">
            <v>3ntym</v>
          </cell>
          <cell r="C12486" t="str">
            <v>3 Nitrotyramine C8H15N2</v>
          </cell>
        </row>
        <row r="12487">
          <cell r="A12487" t="str">
            <v>cellb6p_c</v>
          </cell>
          <cell r="B12487" t="str">
            <v>cellb6p</v>
          </cell>
          <cell r="C12487" t="str">
            <v>Cellobiose 6 phosphate C12H21O14P</v>
          </cell>
        </row>
        <row r="12488">
          <cell r="A12488" t="str">
            <v>4hoxpac_e</v>
          </cell>
          <cell r="B12488" t="str">
            <v>4hoxpac</v>
          </cell>
          <cell r="C12488" t="str">
            <v>4 Hydroxyphenylacetic acid C8H8O3</v>
          </cell>
        </row>
        <row r="12489">
          <cell r="A12489" t="str">
            <v>ggicolipaAR1_c</v>
          </cell>
          <cell r="B12489" t="str">
            <v>ggicolipaAR1</v>
          </cell>
          <cell r="C12489" t="str">
            <v>R1 glucosyl glucosyl inner core oligosaccharide lipid A C143H230N2O73P4</v>
          </cell>
        </row>
        <row r="12490">
          <cell r="A12490" t="str">
            <v>raffin_e</v>
          </cell>
          <cell r="B12490" t="str">
            <v>raffin</v>
          </cell>
          <cell r="C12490" t="str">
            <v>Raffinose C18H32O16</v>
          </cell>
        </row>
        <row r="12491">
          <cell r="A12491" t="str">
            <v>pac_p</v>
          </cell>
          <cell r="B12491" t="str">
            <v>pac</v>
          </cell>
          <cell r="C12491" t="str">
            <v>Phenylacetic acid</v>
          </cell>
        </row>
        <row r="12492">
          <cell r="A12492" t="str">
            <v>gagggicolipaAR1_c</v>
          </cell>
          <cell r="B12492" t="str">
            <v>gagggicolipaAR1</v>
          </cell>
          <cell r="C12492" t="str">
            <v>R1 galactosyl glucosyl glucosyl glucosyl inner core oligosaccharide lipid A C155H250N2O83P4</v>
          </cell>
        </row>
        <row r="12493">
          <cell r="A12493" t="str">
            <v>dkfp_c</v>
          </cell>
          <cell r="B12493" t="str">
            <v>dkfp</v>
          </cell>
          <cell r="C12493" t="str">
            <v>6-deoxy-5-ketofructose 1-phosphate</v>
          </cell>
        </row>
        <row r="12494">
          <cell r="A12494" t="str">
            <v>2ohph_5_n</v>
          </cell>
          <cell r="B12494" t="str">
            <v>2ohph_5</v>
          </cell>
          <cell r="C12494" t="str">
            <v>2-Octaprenyl-6-hydroxyphenol (5 repeating units)</v>
          </cell>
        </row>
        <row r="12495">
          <cell r="A12495" t="str">
            <v>2omph_5_c</v>
          </cell>
          <cell r="B12495" t="str">
            <v>2omph_5</v>
          </cell>
          <cell r="C12495" t="str">
            <v>2-Octaprenyl-6-methoxyphenol (5 repeating units)</v>
          </cell>
        </row>
        <row r="12496">
          <cell r="A12496" t="str">
            <v>amet_n</v>
          </cell>
          <cell r="B12496" t="str">
            <v>amet</v>
          </cell>
          <cell r="C12496" t="str">
            <v>S-Adenosyl-L-methionine</v>
          </cell>
        </row>
        <row r="12497">
          <cell r="A12497" t="str">
            <v>3oacoa_x</v>
          </cell>
          <cell r="B12497" t="str">
            <v>3oacoa</v>
          </cell>
          <cell r="C12497" t="str">
            <v>3-Oxoacyl-CoA</v>
          </cell>
        </row>
        <row r="12498">
          <cell r="A12498" t="str">
            <v>octdp_5_m</v>
          </cell>
          <cell r="B12498" t="str">
            <v>octdp_5</v>
          </cell>
          <cell r="C12498" t="str">
            <v>All-trans-Octaprenyl diphosphate (5 repeating units)</v>
          </cell>
        </row>
        <row r="12499">
          <cell r="A12499" t="str">
            <v>2oph_5_c</v>
          </cell>
          <cell r="B12499" t="str">
            <v>2oph_5</v>
          </cell>
          <cell r="C12499" t="str">
            <v>2-Octaprenylphenol (5 repeating units)</v>
          </cell>
        </row>
        <row r="12500">
          <cell r="A12500" t="str">
            <v>5pg35pg_c</v>
          </cell>
          <cell r="B12500" t="str">
            <v>5pg35pg</v>
          </cell>
          <cell r="C12500" t="str">
            <v>5-Phosphoguanylyl(3-&gt;5)guanosine</v>
          </cell>
        </row>
        <row r="12501">
          <cell r="A12501" t="str">
            <v>lps_hexa_c</v>
          </cell>
          <cell r="B12501" t="str">
            <v>lps_hexa</v>
          </cell>
          <cell r="C12501" t="str">
            <v>LPS with hexaacyl lipidA</v>
          </cell>
        </row>
        <row r="12502">
          <cell r="A12502" t="str">
            <v>laur_kdo2lipid4_c</v>
          </cell>
          <cell r="B12502" t="str">
            <v>laur_kdo2lipid4</v>
          </cell>
          <cell r="C12502" t="str">
            <v>KDO2-(lauroyl)-lipid4</v>
          </cell>
        </row>
        <row r="12503">
          <cell r="A12503" t="str">
            <v>5cmhmsa_c</v>
          </cell>
          <cell r="B12503" t="str">
            <v>5cmhmsa</v>
          </cell>
          <cell r="C12503" t="str">
            <v>2-Hydroxy-5-carboxymethylmuconate-Semialdehyde</v>
          </cell>
        </row>
        <row r="12504">
          <cell r="A12504" t="str">
            <v>34dhpha_c</v>
          </cell>
          <cell r="B12504" t="str">
            <v>34dhpha</v>
          </cell>
          <cell r="C12504" t="str">
            <v>3-4-Dihydroxyphenylacetate</v>
          </cell>
        </row>
        <row r="12505">
          <cell r="A12505" t="str">
            <v>34dhcinm_p</v>
          </cell>
          <cell r="B12505" t="str">
            <v>34dhcinm</v>
          </cell>
          <cell r="C12505" t="str">
            <v>3,4-Dihydroxy-trans-cinnamate</v>
          </cell>
        </row>
        <row r="12506">
          <cell r="A12506" t="str">
            <v>34dhcinm_c</v>
          </cell>
          <cell r="B12506" t="str">
            <v>34dhcinm</v>
          </cell>
          <cell r="C12506" t="str">
            <v>3,4-Dihydroxy-trans-cinnamate</v>
          </cell>
        </row>
        <row r="12507">
          <cell r="A12507" t="str">
            <v>R_3hcddec5ecoa_c</v>
          </cell>
          <cell r="B12507" t="str">
            <v>R_3hcddec5ecoa</v>
          </cell>
          <cell r="C12507" t="str">
            <v>(R)-Hydroxydodecanoyl-5-en-CoA</v>
          </cell>
        </row>
        <row r="12508">
          <cell r="A12508" t="str">
            <v>R_3hmrscoa_c</v>
          </cell>
          <cell r="B12508" t="str">
            <v>R_3hmrscoa</v>
          </cell>
          <cell r="C12508" t="str">
            <v>(R)-3-hydroxytetradecanoyl-coa</v>
          </cell>
        </row>
        <row r="12509">
          <cell r="A12509" t="str">
            <v>3mcat_c</v>
          </cell>
          <cell r="B12509" t="str">
            <v>3mcat</v>
          </cell>
          <cell r="C12509" t="str">
            <v>3-Methylcatechol</v>
          </cell>
        </row>
        <row r="12510">
          <cell r="A12510" t="str">
            <v>34dhbz_c</v>
          </cell>
          <cell r="B12510" t="str">
            <v>34dhbz</v>
          </cell>
          <cell r="C12510" t="str">
            <v>3,4-Dihydroxybenzoate</v>
          </cell>
        </row>
        <row r="12511">
          <cell r="A12511" t="str">
            <v>34dhbz_p</v>
          </cell>
          <cell r="B12511" t="str">
            <v>34dhbz</v>
          </cell>
          <cell r="C12511" t="str">
            <v>3,4-Dihydroxybenzoate</v>
          </cell>
        </row>
        <row r="12512">
          <cell r="A12512" t="str">
            <v>4cml_c</v>
          </cell>
          <cell r="B12512" t="str">
            <v>4cml</v>
          </cell>
          <cell r="C12512" t="str">
            <v>4-Carboxymuconolactone</v>
          </cell>
        </row>
        <row r="12513">
          <cell r="A12513" t="str">
            <v>4hbz_p</v>
          </cell>
          <cell r="B12513" t="str">
            <v>4hbz</v>
          </cell>
          <cell r="C12513" t="str">
            <v>4-Hydroxybenzoate</v>
          </cell>
        </row>
        <row r="12514">
          <cell r="A12514" t="str">
            <v>p_tol_c</v>
          </cell>
          <cell r="B12514" t="str">
            <v>p_tol</v>
          </cell>
          <cell r="C12514" t="str">
            <v>P-toluate</v>
          </cell>
        </row>
        <row r="12515">
          <cell r="A12515" t="str">
            <v>hmccms_c</v>
          </cell>
          <cell r="B12515" t="str">
            <v>hmccms</v>
          </cell>
          <cell r="C12515" t="str">
            <v>2-Hydroxy-5-methyl-cis,cis-muconic semialdehyde</v>
          </cell>
        </row>
        <row r="12516">
          <cell r="A12516" t="str">
            <v>hmccm_c</v>
          </cell>
          <cell r="B12516" t="str">
            <v>hmccm</v>
          </cell>
          <cell r="C12516" t="str">
            <v>2-Hydroxy-5-methyl-cis,cis-muconate</v>
          </cell>
        </row>
        <row r="12517">
          <cell r="A12517" t="str">
            <v>chols_e</v>
          </cell>
          <cell r="B12517" t="str">
            <v>chols</v>
          </cell>
          <cell r="C12517" t="str">
            <v>Choline sulfate</v>
          </cell>
        </row>
        <row r="12518">
          <cell r="A12518" t="str">
            <v>6hnac_c</v>
          </cell>
          <cell r="B12518" t="str">
            <v>6hnac</v>
          </cell>
          <cell r="C12518" t="str">
            <v>6-Hydroxynicotinate</v>
          </cell>
        </row>
        <row r="12519">
          <cell r="A12519" t="str">
            <v>thp2c_c</v>
          </cell>
          <cell r="B12519" t="str">
            <v>thp2c</v>
          </cell>
          <cell r="C12519" t="str">
            <v>2,3,4,5-Tetrahydropyridine-2-carboxylate</v>
          </cell>
        </row>
        <row r="12520">
          <cell r="A12520" t="str">
            <v>applp_c</v>
          </cell>
          <cell r="B12520" t="str">
            <v>applp</v>
          </cell>
          <cell r="C12520" t="str">
            <v>D-1-Aminopropan-2-ol O-phosphate</v>
          </cell>
        </row>
        <row r="12521">
          <cell r="A12521" t="str">
            <v>pqq_c</v>
          </cell>
          <cell r="B12521" t="str">
            <v>pqq</v>
          </cell>
          <cell r="C12521" t="str">
            <v>Pyrroloquinoline-quinone</v>
          </cell>
        </row>
        <row r="12522">
          <cell r="A12522" t="str">
            <v>6a2ohxnt_c</v>
          </cell>
          <cell r="B12522" t="str">
            <v>6a2ohxnt</v>
          </cell>
          <cell r="C12522" t="str">
            <v>6-Amino-2-oxohexanoate</v>
          </cell>
        </row>
        <row r="12523">
          <cell r="A12523" t="str">
            <v>bhb_c</v>
          </cell>
          <cell r="B12523" t="str">
            <v>bhb</v>
          </cell>
          <cell r="C12523" t="str">
            <v>(R)-3-Hydroxybutanoate</v>
          </cell>
        </row>
        <row r="12524">
          <cell r="A12524" t="str">
            <v>caffcoa_c</v>
          </cell>
          <cell r="B12524" t="str">
            <v>caffcoa</v>
          </cell>
          <cell r="C12524" t="str">
            <v>Caffeoyl-CoA</v>
          </cell>
        </row>
        <row r="12525">
          <cell r="A12525" t="str">
            <v>catechol_e</v>
          </cell>
          <cell r="B12525" t="str">
            <v>catechol</v>
          </cell>
          <cell r="C12525" t="str">
            <v>Catechol</v>
          </cell>
        </row>
        <row r="12526">
          <cell r="A12526" t="str">
            <v>confrl_c</v>
          </cell>
          <cell r="B12526" t="str">
            <v>confrl</v>
          </cell>
          <cell r="C12526" t="str">
            <v>Coniferol</v>
          </cell>
        </row>
        <row r="12527">
          <cell r="A12527" t="str">
            <v>hgbam_c</v>
          </cell>
          <cell r="B12527" t="str">
            <v>hgbam</v>
          </cell>
          <cell r="C12527" t="str">
            <v>Hydrogenobyrinate a,c diamide</v>
          </cell>
        </row>
        <row r="12528">
          <cell r="A12528" t="str">
            <v>confrl_p</v>
          </cell>
          <cell r="B12528" t="str">
            <v>confrl</v>
          </cell>
          <cell r="C12528" t="str">
            <v>Coniferol</v>
          </cell>
        </row>
        <row r="12529">
          <cell r="A12529" t="str">
            <v>24dab_c</v>
          </cell>
          <cell r="B12529" t="str">
            <v>24dab</v>
          </cell>
          <cell r="C12529" t="str">
            <v>L-2,4-Diaminobutanoate</v>
          </cell>
        </row>
        <row r="12530">
          <cell r="A12530" t="str">
            <v>dh3mchc_c</v>
          </cell>
          <cell r="B12530" t="str">
            <v>dh3mchc</v>
          </cell>
          <cell r="C12530" t="str">
            <v>1,2-Dihydroxy-3-methylcyclohexa-3,5-dienecarboxylate</v>
          </cell>
        </row>
        <row r="12531">
          <cell r="A12531" t="str">
            <v>dh4mchc_c</v>
          </cell>
          <cell r="B12531" t="str">
            <v>dh4mchc</v>
          </cell>
          <cell r="C12531" t="str">
            <v>Cis-1,2-Dihydroxy-4-methylcyclohexa-3,5-diene-1-carboxylate</v>
          </cell>
        </row>
        <row r="12532">
          <cell r="A12532" t="str">
            <v>thbpt_c</v>
          </cell>
          <cell r="B12532" t="str">
            <v>thbpt</v>
          </cell>
          <cell r="C12532" t="str">
            <v>Tetrahydrobiopterin</v>
          </cell>
        </row>
        <row r="12533">
          <cell r="A12533" t="str">
            <v>C121mclPHA_c</v>
          </cell>
          <cell r="B12533" t="str">
            <v>C121mclPHA</v>
          </cell>
          <cell r="C12533" t="str">
            <v>C12:1-Medium-chain length Polyhydroxyalkanoate.</v>
          </cell>
        </row>
        <row r="12534">
          <cell r="A12534" t="str">
            <v>mclPHA_c</v>
          </cell>
          <cell r="B12534" t="str">
            <v>mclPHA</v>
          </cell>
          <cell r="C12534" t="str">
            <v>Medium-chain length Polyhydroxyalkanoate (Total)</v>
          </cell>
        </row>
        <row r="12535">
          <cell r="A12535" t="str">
            <v>dna_c</v>
          </cell>
          <cell r="B12535" t="str">
            <v>dna</v>
          </cell>
          <cell r="C12535" t="str">
            <v>DNA</v>
          </cell>
        </row>
        <row r="12536">
          <cell r="A12536" t="str">
            <v>3hmbcoa_c</v>
          </cell>
          <cell r="B12536" t="str">
            <v>3hmbcoa</v>
          </cell>
          <cell r="C12536" t="str">
            <v>(S)-3-Hydroxy-2-methylbutyryl-CoA</v>
          </cell>
        </row>
        <row r="12537">
          <cell r="A12537" t="str">
            <v>T4hcinnm_e</v>
          </cell>
          <cell r="B12537" t="str">
            <v>T4hcinnm</v>
          </cell>
          <cell r="C12537" t="str">
            <v>Trans 4 Hydroxycinnamate C9H7O3</v>
          </cell>
        </row>
        <row r="12538">
          <cell r="A12538" t="str">
            <v>ga_e</v>
          </cell>
          <cell r="B12538" t="str">
            <v>ga</v>
          </cell>
          <cell r="C12538" t="str">
            <v>Gallic acid</v>
          </cell>
        </row>
        <row r="12539">
          <cell r="A12539" t="str">
            <v>2ahhmd_c</v>
          </cell>
          <cell r="B12539" t="str">
            <v>2ahhmd</v>
          </cell>
          <cell r="C12539" t="str">
            <v>2 Amino 4 hydroxy 6 hydroxymethyl 7 8 dihydropteridine diphosphate C7H8N5O8P2</v>
          </cell>
        </row>
        <row r="12540">
          <cell r="A12540" t="str">
            <v>gdbtal_c</v>
          </cell>
          <cell r="B12540" t="str">
            <v>gdbtal</v>
          </cell>
          <cell r="C12540" t="str">
            <v>4-Guanidinobutanal</v>
          </cell>
        </row>
        <row r="12541">
          <cell r="A12541" t="str">
            <v>h2co3_c</v>
          </cell>
          <cell r="B12541" t="str">
            <v>h2co3</v>
          </cell>
          <cell r="C12541" t="str">
            <v>Carbonic acid</v>
          </cell>
        </row>
        <row r="12542">
          <cell r="A12542" t="str">
            <v>mucl_c</v>
          </cell>
          <cell r="B12542" t="str">
            <v>mucl</v>
          </cell>
          <cell r="C12542" t="str">
            <v>Mucolactone</v>
          </cell>
        </row>
        <row r="12543">
          <cell r="A12543" t="str">
            <v>pre6b_c</v>
          </cell>
          <cell r="B12543" t="str">
            <v>pre6b</v>
          </cell>
          <cell r="C12543" t="str">
            <v>Precorrin 6B</v>
          </cell>
        </row>
        <row r="12544">
          <cell r="A12544" t="str">
            <v>pre6a_c</v>
          </cell>
          <cell r="B12544" t="str">
            <v>pre6a</v>
          </cell>
          <cell r="C12544" t="str">
            <v>Precorrin 6A</v>
          </cell>
        </row>
        <row r="12545">
          <cell r="A12545" t="str">
            <v>adhlam_c</v>
          </cell>
          <cell r="B12545" t="str">
            <v>adhlam</v>
          </cell>
          <cell r="C12545" t="str">
            <v>S-Acetyldihydrolipoamide</v>
          </cell>
        </row>
        <row r="12546">
          <cell r="A12546" t="str">
            <v>peptido_kt_c</v>
          </cell>
          <cell r="B12546" t="str">
            <v>peptido_kt</v>
          </cell>
          <cell r="C12546" t="str">
            <v>Peptidoglycan subunit of P.putida KT2440</v>
          </cell>
        </row>
        <row r="12547">
          <cell r="A12547" t="str">
            <v>aa_e</v>
          </cell>
          <cell r="B12547" t="str">
            <v>aa</v>
          </cell>
          <cell r="C12547" t="str">
            <v>Acrylamide</v>
          </cell>
        </row>
        <row r="12548">
          <cell r="A12548" t="str">
            <v>ad_e</v>
          </cell>
          <cell r="B12548" t="str">
            <v>ad</v>
          </cell>
          <cell r="C12548" t="str">
            <v>Acetamide</v>
          </cell>
        </row>
        <row r="12549">
          <cell r="A12549" t="str">
            <v>mql6_c</v>
          </cell>
          <cell r="B12549" t="str">
            <v>mql6</v>
          </cell>
          <cell r="C12549" t="str">
            <v>Menaquinol 6</v>
          </cell>
        </row>
        <row r="12550">
          <cell r="A12550" t="str">
            <v>peptido_EC_c</v>
          </cell>
          <cell r="B12550" t="str">
            <v>peptido_EC</v>
          </cell>
          <cell r="C12550" t="str">
            <v>Peptidoglycan subunit of Escherichia coli</v>
          </cell>
        </row>
        <row r="12551">
          <cell r="A12551" t="str">
            <v>lps_HP_c</v>
          </cell>
          <cell r="B12551" t="str">
            <v>lps_HP</v>
          </cell>
          <cell r="C12551" t="str">
            <v>Lipopolysacharide Hp specific</v>
          </cell>
        </row>
        <row r="12552">
          <cell r="A12552" t="str">
            <v>12dgr_HP_c</v>
          </cell>
          <cell r="B12552" t="str">
            <v>12dgr_HP</v>
          </cell>
          <cell r="C12552" t="str">
            <v>1,2-Diacylglycerol Hp specific</v>
          </cell>
        </row>
        <row r="12553">
          <cell r="A12553" t="str">
            <v>lipidA_HP_c</v>
          </cell>
          <cell r="B12553" t="str">
            <v>lipidA_HP</v>
          </cell>
          <cell r="C12553" t="str">
            <v>LipidA HP</v>
          </cell>
        </row>
        <row r="12554">
          <cell r="A12554" t="str">
            <v>pser__D_c</v>
          </cell>
          <cell r="B12554" t="str">
            <v>pser__D</v>
          </cell>
          <cell r="C12554" t="str">
            <v>D-O-Phosphoserine</v>
          </cell>
        </row>
        <row r="12555">
          <cell r="A12555" t="str">
            <v>adphep7p_LD_c</v>
          </cell>
          <cell r="B12555" t="str">
            <v>adphep7p_LD</v>
          </cell>
          <cell r="C12555" t="str">
            <v>ADP-L-glycero-D-manno-heptose-7-phosphate</v>
          </cell>
        </row>
        <row r="12556">
          <cell r="A12556" t="str">
            <v>u3hga_HP_c</v>
          </cell>
          <cell r="B12556" t="str">
            <v>u3hga_HP</v>
          </cell>
          <cell r="C12556" t="str">
            <v>UDP-3-O(3-hydroxypalmetoyl)-D-glucosamine</v>
          </cell>
        </row>
        <row r="12557">
          <cell r="A12557" t="str">
            <v>u3aga_HP_c</v>
          </cell>
          <cell r="B12557" t="str">
            <v>u3aga_HP</v>
          </cell>
          <cell r="C12557" t="str">
            <v>UDP-3-O-(3-hydroxypalmetoyl)-N-acetylglucosamine</v>
          </cell>
        </row>
        <row r="12558">
          <cell r="A12558" t="str">
            <v>tdm4_c</v>
          </cell>
          <cell r="B12558" t="str">
            <v>tdm4</v>
          </cell>
          <cell r="C12558" t="str">
            <v>Trehalose dimycolate (alpha mycolate + methoxymycolate)</v>
          </cell>
        </row>
        <row r="12559">
          <cell r="A12559" t="str">
            <v>mmmycolate_c</v>
          </cell>
          <cell r="B12559" t="str">
            <v>mmmycolate</v>
          </cell>
          <cell r="C12559" t="str">
            <v>Methoxy mycolate (1 cyclopropanated ring)</v>
          </cell>
        </row>
        <row r="12560">
          <cell r="A12560" t="str">
            <v>tarab__D_c</v>
          </cell>
          <cell r="B12560" t="str">
            <v>tarab__D</v>
          </cell>
          <cell r="C12560" t="str">
            <v>Tetra-arabinofuranoside</v>
          </cell>
        </row>
        <row r="12561">
          <cell r="A12561" t="str">
            <v>rppdima_c</v>
          </cell>
          <cell r="B12561" t="str">
            <v>rppdima</v>
          </cell>
          <cell r="C12561" t="str">
            <v>Rhamnose phenol phthiocerol dimycocerosate (Mtb)</v>
          </cell>
        </row>
        <row r="12562">
          <cell r="A12562" t="str">
            <v>ppdima_c</v>
          </cell>
          <cell r="B12562" t="str">
            <v>ppdima</v>
          </cell>
          <cell r="C12562" t="str">
            <v>Phenol phthiocerol dimycocerosate (Mtb)</v>
          </cell>
        </row>
        <row r="12563">
          <cell r="A12563" t="str">
            <v>arachACP_c</v>
          </cell>
          <cell r="B12563" t="str">
            <v>arachACP</v>
          </cell>
          <cell r="C12563" t="str">
            <v>Eicosanoyl-ACP (n-C20:0)</v>
          </cell>
        </row>
        <row r="12564">
          <cell r="A12564" t="str">
            <v>peptido_TB1_c</v>
          </cell>
          <cell r="B12564" t="str">
            <v>peptido_TB1</v>
          </cell>
          <cell r="C12564" t="str">
            <v>Peptidoglycan subunit (for Mycobacterium tuberculosis)</v>
          </cell>
        </row>
        <row r="12565">
          <cell r="A12565" t="str">
            <v>ptth_c</v>
          </cell>
          <cell r="B12565" t="str">
            <v>ptth</v>
          </cell>
          <cell r="C12565" t="str">
            <v>Pantetheine</v>
          </cell>
        </row>
        <row r="12566">
          <cell r="A12566" t="str">
            <v>phthclh2_c</v>
          </cell>
          <cell r="B12566" t="str">
            <v>phthclh2</v>
          </cell>
          <cell r="C12566" t="str">
            <v>Phthiocol (reduced)</v>
          </cell>
        </row>
        <row r="12567">
          <cell r="A12567" t="str">
            <v>phdca_c</v>
          </cell>
          <cell r="B12567" t="str">
            <v>phdca</v>
          </cell>
          <cell r="C12567" t="str">
            <v>Phenol palmitic acid</v>
          </cell>
        </row>
        <row r="12568">
          <cell r="A12568" t="str">
            <v>pgp190_c</v>
          </cell>
          <cell r="B12568" t="str">
            <v>pgp190</v>
          </cell>
          <cell r="C12568" t="str">
            <v>Phosphatidylglycerophosphate (dituberculostearoyl, C19:0)</v>
          </cell>
        </row>
        <row r="12569">
          <cell r="A12569" t="str">
            <v>uggmda_c</v>
          </cell>
          <cell r="B12569" t="str">
            <v>uggmda</v>
          </cell>
          <cell r="C12569" t="str">
            <v>UDP-N-glycolylmuramoyl-L-alanyl-D-glutamyl-meso-2,6-diaminopimeloyl-D-alanyl-D-alanine</v>
          </cell>
        </row>
        <row r="12570">
          <cell r="A12570" t="str">
            <v>pdima_e</v>
          </cell>
          <cell r="B12570" t="str">
            <v>pdima</v>
          </cell>
          <cell r="C12570" t="str">
            <v>Phthiocerol dimycocerosate A (Mtb)</v>
          </cell>
        </row>
        <row r="12571">
          <cell r="A12571" t="str">
            <v>mshfaldox_c</v>
          </cell>
          <cell r="B12571" t="str">
            <v>mshfaldox</v>
          </cell>
          <cell r="C12571" t="str">
            <v>Mycothiol conjugated aldehyde</v>
          </cell>
        </row>
        <row r="12572">
          <cell r="A12572" t="str">
            <v>bmnmsh_c</v>
          </cell>
          <cell r="B12572" t="str">
            <v>bmnmsh</v>
          </cell>
          <cell r="C12572" t="str">
            <v>Bimane conjugated mycothiol (mtb)</v>
          </cell>
        </row>
        <row r="12573">
          <cell r="A12573" t="str">
            <v>igam_c</v>
          </cell>
          <cell r="B12573" t="str">
            <v>igam</v>
          </cell>
          <cell r="C12573" t="str">
            <v>1D-myo-inositol 2-deoxy-D-glucopyranoside</v>
          </cell>
        </row>
        <row r="12574">
          <cell r="A12574" t="str">
            <v>2mop_c</v>
          </cell>
          <cell r="B12574" t="str">
            <v>2mop</v>
          </cell>
          <cell r="C12574" t="str">
            <v>2-Methyl-3-oxopropanoate</v>
          </cell>
        </row>
        <row r="12575">
          <cell r="A12575" t="str">
            <v>mi4p__D_c</v>
          </cell>
          <cell r="B12575" t="str">
            <v>mi4p__D</v>
          </cell>
          <cell r="C12575" t="str">
            <v>1D-myo-Inositol 4-phosphate</v>
          </cell>
        </row>
        <row r="12576">
          <cell r="A12576" t="str">
            <v>mi3p__D_c</v>
          </cell>
          <cell r="B12576" t="str">
            <v>mi3p__D</v>
          </cell>
          <cell r="C12576" t="str">
            <v>1D-myo-Inositol 3-phosphate</v>
          </cell>
        </row>
        <row r="12577">
          <cell r="A12577" t="str">
            <v>mcbts_c</v>
          </cell>
          <cell r="B12577" t="str">
            <v>mcbts</v>
          </cell>
          <cell r="C12577" t="str">
            <v>Mycobactin S</v>
          </cell>
        </row>
        <row r="12578">
          <cell r="A12578" t="str">
            <v>Ac1PIM2_c</v>
          </cell>
          <cell r="B12578" t="str">
            <v>Ac1PIM2</v>
          </cell>
          <cell r="C12578" t="str">
            <v>Acyl phosphatidylinositol mannoside di-mannose (tuberculosis)</v>
          </cell>
        </row>
        <row r="12579">
          <cell r="A12579" t="str">
            <v>Ac1PIM1_c</v>
          </cell>
          <cell r="B12579" t="str">
            <v>Ac1PIM1</v>
          </cell>
          <cell r="C12579" t="str">
            <v>Acyl phosphatidylinositol mannoside (tuberculosis)</v>
          </cell>
        </row>
        <row r="12580">
          <cell r="A12580" t="str">
            <v>pa160190_c</v>
          </cell>
          <cell r="B12580" t="str">
            <v>pa160190</v>
          </cell>
          <cell r="C12580" t="str">
            <v>1,2-sn-glycerol 3-phosphate</v>
          </cell>
        </row>
        <row r="12581">
          <cell r="A12581" t="str">
            <v>PIM3_c</v>
          </cell>
          <cell r="B12581" t="str">
            <v>PIM3</v>
          </cell>
          <cell r="C12581" t="str">
            <v>Phosphatidylinositol mannoside tri-mannose (tuberculosis)</v>
          </cell>
        </row>
        <row r="12582">
          <cell r="A12582" t="str">
            <v>PIM4_c</v>
          </cell>
          <cell r="B12582" t="str">
            <v>PIM4</v>
          </cell>
          <cell r="C12582" t="str">
            <v>Phosphatidylinositol mannoside tetra-mannose (tuberculosis)</v>
          </cell>
        </row>
        <row r="12583">
          <cell r="A12583" t="str">
            <v>uggmd_c</v>
          </cell>
          <cell r="B12583" t="str">
            <v>uggmd</v>
          </cell>
          <cell r="C12583" t="str">
            <v>UDP-N-glycolylmuramoyl-L-alanyl-D-gamma-glutamyl-meso-2,6-diaminopimelate</v>
          </cell>
        </row>
        <row r="12584">
          <cell r="A12584" t="str">
            <v>ugmag_c</v>
          </cell>
          <cell r="B12584" t="str">
            <v>ugmag</v>
          </cell>
          <cell r="C12584" t="str">
            <v>UDP-N-glycolylmuramoyl-L-alanyl-D-glutamate</v>
          </cell>
        </row>
        <row r="12585">
          <cell r="A12585" t="str">
            <v>uAgl_c</v>
          </cell>
          <cell r="B12585" t="str">
            <v>uAgl</v>
          </cell>
          <cell r="C12585" t="str">
            <v>UDP-N-acetylmuramoyl-L-alanyl-D-glutamyl-L-lysine</v>
          </cell>
        </row>
        <row r="12586">
          <cell r="A12586" t="str">
            <v>decdp_tb_c</v>
          </cell>
          <cell r="B12586" t="str">
            <v>decdp_tb</v>
          </cell>
          <cell r="C12586" t="str">
            <v>(E,E,E,E,E,E,E,Z,Z) Decaprenyl diphosphate</v>
          </cell>
        </row>
        <row r="12587">
          <cell r="A12587" t="str">
            <v>uaaGgtla_c</v>
          </cell>
          <cell r="B12587" t="str">
            <v>uaaGgtla</v>
          </cell>
          <cell r="C12587" t="str">
            <v>Undecaprenyl-diphospho-N-acetylmuramoyl-(N-acetylglucosamine)-L-alanyl-D-isoglutaminyl-L-lysyl-D-alanyl-D-alanine</v>
          </cell>
        </row>
        <row r="12588">
          <cell r="A12588" t="str">
            <v>5oxpro_c</v>
          </cell>
          <cell r="B12588" t="str">
            <v>5oxpro</v>
          </cell>
          <cell r="C12588" t="str">
            <v>5-Oxoproline</v>
          </cell>
        </row>
        <row r="12589">
          <cell r="A12589" t="str">
            <v>alpam_c</v>
          </cell>
          <cell r="B12589" t="str">
            <v>alpam</v>
          </cell>
          <cell r="C12589" t="str">
            <v>S aminomethyldihydrolipoamide C9H21N2OS2</v>
          </cell>
        </row>
        <row r="12590">
          <cell r="A12590" t="str">
            <v>ptd1ino160190_c</v>
          </cell>
          <cell r="B12590" t="str">
            <v>ptd1ino160190</v>
          </cell>
          <cell r="C12590" t="str">
            <v>Phosphatidyl 1D myo inositol (C16:0, C19:0)</v>
          </cell>
        </row>
        <row r="12591">
          <cell r="A12591" t="str">
            <v>adfdOX_c</v>
          </cell>
          <cell r="B12591" t="str">
            <v>adfdOX</v>
          </cell>
          <cell r="C12591" t="str">
            <v>Oxidized adrenal ferredoxin</v>
          </cell>
        </row>
        <row r="12592">
          <cell r="A12592" t="str">
            <v>co_e</v>
          </cell>
          <cell r="B12592" t="str">
            <v>co</v>
          </cell>
          <cell r="C12592" t="str">
            <v>Carbon monoxide</v>
          </cell>
        </row>
        <row r="12593">
          <cell r="A12593" t="str">
            <v>meroacidcyc2AMP_c</v>
          </cell>
          <cell r="B12593" t="str">
            <v>meroacidcyc2AMP</v>
          </cell>
          <cell r="C12593" t="str">
            <v>Cyclopropanated alpha meroacid AMP (2 cyclopropane rings)</v>
          </cell>
        </row>
        <row r="12594">
          <cell r="A12594" t="str">
            <v>mmeroacidcyc2ACP_c</v>
          </cell>
          <cell r="B12594" t="str">
            <v>mmeroacidcyc2ACP</v>
          </cell>
          <cell r="C12594" t="str">
            <v>Cyclopropanated methoxy-meroacid ACP (2 cyclopropane rings)</v>
          </cell>
        </row>
        <row r="12595">
          <cell r="A12595" t="str">
            <v>mkmeroacidcyc1ACP_c</v>
          </cell>
          <cell r="B12595" t="str">
            <v>mkmeroacidcyc1ACP</v>
          </cell>
          <cell r="C12595" t="str">
            <v>Cyclopropanated methyl hydroxy keto meroacid ACP (1 cyclopropane ring)</v>
          </cell>
        </row>
        <row r="12596">
          <cell r="A12596" t="str">
            <v>acysbmn_e</v>
          </cell>
          <cell r="B12596" t="str">
            <v>acysbmn</v>
          </cell>
          <cell r="C12596" t="str">
            <v>Acetyl-cystine-bimane</v>
          </cell>
        </row>
        <row r="12597">
          <cell r="A12597" t="str">
            <v>fdred_c</v>
          </cell>
          <cell r="B12597" t="str">
            <v>fdred</v>
          </cell>
          <cell r="C12597" t="str">
            <v>Ferredoxin (reduced) 2[4Fe-4S]</v>
          </cell>
        </row>
        <row r="12598">
          <cell r="A12598" t="str">
            <v>3ddgc_c</v>
          </cell>
          <cell r="B12598" t="str">
            <v>3ddgc</v>
          </cell>
          <cell r="C12598" t="str">
            <v>3-Dehydro-2-deoxy-D-gluconate</v>
          </cell>
        </row>
        <row r="12599">
          <cell r="A12599" t="str">
            <v>decdpa_tb_c</v>
          </cell>
          <cell r="B12599" t="str">
            <v>decdpa_tb</v>
          </cell>
          <cell r="C12599" t="str">
            <v>Decaprenylphosphoryl-beta-D-5-phosphoarabinofuranose</v>
          </cell>
        </row>
        <row r="12600">
          <cell r="A12600" t="str">
            <v>decdpr_tb_c</v>
          </cell>
          <cell r="B12600" t="str">
            <v>decdpr_tb</v>
          </cell>
          <cell r="C12600" t="str">
            <v>Decaprenylphosphoryl-beta-D-5-phosphoribose</v>
          </cell>
        </row>
        <row r="12601">
          <cell r="A12601" t="str">
            <v>copre3_c</v>
          </cell>
          <cell r="B12601" t="str">
            <v>copre3</v>
          </cell>
          <cell r="C12601" t="str">
            <v>Cobalt-precorrin 3</v>
          </cell>
        </row>
        <row r="12602">
          <cell r="A12602" t="str">
            <v>arachcoa_c</v>
          </cell>
          <cell r="B12602" t="str">
            <v>arachcoa</v>
          </cell>
          <cell r="C12602" t="str">
            <v>Arachidyl coenzyme A</v>
          </cell>
        </row>
        <row r="12603">
          <cell r="A12603" t="str">
            <v>fol_c</v>
          </cell>
          <cell r="B12603" t="str">
            <v>fol</v>
          </cell>
          <cell r="C12603" t="str">
            <v>Folate</v>
          </cell>
        </row>
        <row r="12604">
          <cell r="A12604" t="str">
            <v>34dhphaccoa_c</v>
          </cell>
          <cell r="B12604" t="str">
            <v>34dhphaccoa</v>
          </cell>
          <cell r="C12604" t="str">
            <v>3 4 Dihydroxyphenylacetyl CoA C29H42N7O19P3S</v>
          </cell>
        </row>
        <row r="12605">
          <cell r="A12605" t="str">
            <v>35dhpha_c</v>
          </cell>
          <cell r="B12605" t="str">
            <v>35dhpha</v>
          </cell>
          <cell r="C12605" t="str">
            <v>3 5 Dihydroxyphenylacetic acid C8H8O4</v>
          </cell>
        </row>
        <row r="12606">
          <cell r="A12606" t="str">
            <v>2hphaccoa_c</v>
          </cell>
          <cell r="B12606" t="str">
            <v>2hphaccoa</v>
          </cell>
          <cell r="C12606" t="str">
            <v>2 Hydroxyphenylacetyl CoA C29H42N7O18P3S</v>
          </cell>
        </row>
        <row r="12607">
          <cell r="A12607" t="str">
            <v>3hphaccoa_c</v>
          </cell>
          <cell r="B12607" t="str">
            <v>3hphaccoa</v>
          </cell>
          <cell r="C12607" t="str">
            <v>3 Hydroxyphenylacetyl CoA C29H42N7O18P3S</v>
          </cell>
        </row>
        <row r="12608">
          <cell r="A12608" t="str">
            <v>abt__D_c</v>
          </cell>
          <cell r="B12608" t="str">
            <v>abt__D</v>
          </cell>
          <cell r="C12608" t="str">
            <v>D-Arabitol</v>
          </cell>
        </row>
        <row r="12609">
          <cell r="A12609" t="str">
            <v>3hppnl_c</v>
          </cell>
          <cell r="B12609" t="str">
            <v>3hppnl</v>
          </cell>
          <cell r="C12609" t="str">
            <v>3-Hydroxypropanal</v>
          </cell>
        </row>
        <row r="12610">
          <cell r="A12610" t="str">
            <v>bhb_p</v>
          </cell>
          <cell r="B12610" t="str">
            <v>bhb</v>
          </cell>
          <cell r="C12610" t="str">
            <v>(R)-3-Hydroxybutanoate</v>
          </cell>
        </row>
        <row r="12611">
          <cell r="A12611" t="str">
            <v>2ins_c</v>
          </cell>
          <cell r="B12611" t="str">
            <v>2ins</v>
          </cell>
          <cell r="C12611" t="str">
            <v>2-Inosose</v>
          </cell>
        </row>
        <row r="12612">
          <cell r="A12612" t="str">
            <v>dkdi_c</v>
          </cell>
          <cell r="B12612" t="str">
            <v>dkdi</v>
          </cell>
          <cell r="C12612" t="str">
            <v>D-2,3-Diketo 4-deoxy-epi-inositol</v>
          </cell>
        </row>
        <row r="12613">
          <cell r="A12613" t="str">
            <v>36dahx_c</v>
          </cell>
          <cell r="B12613" t="str">
            <v>36dahx</v>
          </cell>
          <cell r="C12613" t="str">
            <v>(3S)-3,6-Diaminohexanoate</v>
          </cell>
        </row>
        <row r="12614">
          <cell r="A12614" t="str">
            <v>salchs1_c</v>
          </cell>
          <cell r="B12614" t="str">
            <v>salchs1</v>
          </cell>
          <cell r="C12614" t="str">
            <v>Salmochelin-S1</v>
          </cell>
        </row>
        <row r="12615">
          <cell r="A12615" t="str">
            <v>salchs2_c</v>
          </cell>
          <cell r="B12615" t="str">
            <v>salchs2</v>
          </cell>
          <cell r="C12615" t="str">
            <v>Salmochelin-S2</v>
          </cell>
        </row>
        <row r="12616">
          <cell r="A12616" t="str">
            <v>isohensu24_c</v>
          </cell>
          <cell r="B12616" t="str">
            <v>isohensu24</v>
          </cell>
          <cell r="C12616" t="str">
            <v>Isoheptadecanoyllipoteichoic acid (n=24)</v>
          </cell>
        </row>
        <row r="12617">
          <cell r="A12617" t="str">
            <v>prenoN_acid_c</v>
          </cell>
          <cell r="B12617" t="str">
            <v>prenoN_acid</v>
          </cell>
          <cell r="C12617" t="str">
            <v>Prenol-45n teichoic acid</v>
          </cell>
        </row>
        <row r="12618">
          <cell r="A12618" t="str">
            <v>palmiluc24_c</v>
          </cell>
          <cell r="B12618" t="str">
            <v>palmiluc24</v>
          </cell>
          <cell r="C12618" t="str">
            <v>Palmitoyllipoteichoic acid (n=24)</v>
          </cell>
        </row>
        <row r="12619">
          <cell r="A12619" t="str">
            <v>myrisnsu24_c</v>
          </cell>
          <cell r="B12619" t="str">
            <v>myrisnsu24</v>
          </cell>
          <cell r="C12619" t="str">
            <v>Myristoyllipoteichoic acid (n=24)</v>
          </cell>
        </row>
        <row r="12620">
          <cell r="A12620" t="str">
            <v>pc_EC_c</v>
          </cell>
          <cell r="B12620" t="str">
            <v>pc_EC</v>
          </cell>
          <cell r="C12620" t="str">
            <v>Phosphatidylcholine (E.coli)</v>
          </cell>
        </row>
        <row r="12621">
          <cell r="A12621" t="str">
            <v>hethmpp_c</v>
          </cell>
          <cell r="B12621" t="str">
            <v>hethmpp</v>
          </cell>
          <cell r="C12621" t="str">
            <v>Hydroxy ethyl Thiamin diphosphate</v>
          </cell>
        </row>
        <row r="12622">
          <cell r="A12622" t="str">
            <v>codscl5b_c</v>
          </cell>
          <cell r="B12622" t="str">
            <v>codscl5b</v>
          </cell>
          <cell r="C12622" t="str">
            <v>Cobalt-precorrin-5b</v>
          </cell>
        </row>
        <row r="12623">
          <cell r="A12623" t="str">
            <v>cob1nda_c</v>
          </cell>
          <cell r="B12623" t="str">
            <v>cob1nda</v>
          </cell>
          <cell r="C12623" t="str">
            <v>Cob-I-yrinate-a-c-diamide</v>
          </cell>
        </row>
        <row r="12624">
          <cell r="A12624" t="str">
            <v>app_c</v>
          </cell>
          <cell r="B12624" t="str">
            <v>app</v>
          </cell>
          <cell r="C12624" t="str">
            <v>R-1-Amino-2-propanol</v>
          </cell>
        </row>
        <row r="12625">
          <cell r="A12625" t="str">
            <v>colipa20Oag_p</v>
          </cell>
          <cell r="B12625" t="str">
            <v>colipa20Oag</v>
          </cell>
          <cell r="C12625" t="str">
            <v>O-antigen-x20-core-oligosaccharide-lipid-A</v>
          </cell>
        </row>
        <row r="12626">
          <cell r="A12626" t="str">
            <v>udcdp4Oag_p</v>
          </cell>
          <cell r="B12626" t="str">
            <v>udcdp4Oag</v>
          </cell>
          <cell r="C12626" t="str">
            <v>Undecaprenyl-diphosphate-O-antigene-4x</v>
          </cell>
        </row>
        <row r="12627">
          <cell r="A12627" t="str">
            <v>udcdp5Oag_p</v>
          </cell>
          <cell r="B12627" t="str">
            <v>udcdp5Oag</v>
          </cell>
          <cell r="C12627" t="str">
            <v>Undecaprenyl-diphosphate-O-antigene-5x</v>
          </cell>
        </row>
        <row r="12628">
          <cell r="A12628" t="str">
            <v>udcdp14Oag_p</v>
          </cell>
          <cell r="B12628" t="str">
            <v>udcdp14Oag</v>
          </cell>
          <cell r="C12628" t="str">
            <v>Undecaprenyl-diphosphate-O-antigene-14x</v>
          </cell>
        </row>
        <row r="12629">
          <cell r="A12629" t="str">
            <v>udcdp15Oag_p</v>
          </cell>
          <cell r="B12629" t="str">
            <v>udcdp15Oag</v>
          </cell>
          <cell r="C12629" t="str">
            <v>Undecaprenyl-diphosphate-O-antigene-15x</v>
          </cell>
        </row>
        <row r="12630">
          <cell r="A12630" t="str">
            <v>udcdp17Oag_p</v>
          </cell>
          <cell r="B12630" t="str">
            <v>udcdp17Oag</v>
          </cell>
          <cell r="C12630" t="str">
            <v>Undecaprenyl-diphosphate-O-antigene-17x</v>
          </cell>
        </row>
        <row r="12631">
          <cell r="A12631" t="str">
            <v>cdp4dh36ddglc_c</v>
          </cell>
          <cell r="B12631" t="str">
            <v>cdp4dh36ddglc</v>
          </cell>
          <cell r="C12631" t="str">
            <v>CDP-4-dehydro-3-6-dideoxy-D-glucose</v>
          </cell>
        </row>
        <row r="12632">
          <cell r="A12632" t="str">
            <v>feroxGfe_c</v>
          </cell>
          <cell r="B12632" t="str">
            <v>feroxGfe</v>
          </cell>
          <cell r="C12632" t="str">
            <v>Ferrioxamine-G-fe</v>
          </cell>
        </row>
        <row r="12633">
          <cell r="A12633" t="str">
            <v>feroxGfe_p</v>
          </cell>
          <cell r="B12633" t="str">
            <v>feroxGfe</v>
          </cell>
          <cell r="C12633" t="str">
            <v>Ferrioxamine-G-fe</v>
          </cell>
        </row>
        <row r="12634">
          <cell r="A12634" t="str">
            <v>feroxG_c</v>
          </cell>
          <cell r="B12634" t="str">
            <v>feroxG</v>
          </cell>
          <cell r="C12634" t="str">
            <v>Ferrioxamine-G</v>
          </cell>
        </row>
        <row r="12635">
          <cell r="A12635" t="str">
            <v>feroxG_p</v>
          </cell>
          <cell r="B12635" t="str">
            <v>feroxG</v>
          </cell>
          <cell r="C12635" t="str">
            <v>Ferrioxamine-G</v>
          </cell>
        </row>
        <row r="12636">
          <cell r="A12636" t="str">
            <v>udcpo4_c</v>
          </cell>
          <cell r="B12636" t="str">
            <v>udcpo4</v>
          </cell>
          <cell r="C12636" t="str">
            <v>Undecaprenyl diphosphate galactose-rhamnose-mannose-abequose</v>
          </cell>
        </row>
        <row r="12637">
          <cell r="A12637" t="str">
            <v>tcb_c</v>
          </cell>
          <cell r="B12637" t="str">
            <v>tcb</v>
          </cell>
          <cell r="C12637" t="str">
            <v>Tricarballylate</v>
          </cell>
        </row>
        <row r="12638">
          <cell r="A12638" t="str">
            <v>tton_p</v>
          </cell>
          <cell r="B12638" t="str">
            <v>tton</v>
          </cell>
          <cell r="C12638" t="str">
            <v>Trithionate</v>
          </cell>
        </row>
        <row r="12639">
          <cell r="A12639" t="str">
            <v>clpn2_ST_p</v>
          </cell>
          <cell r="B12639" t="str">
            <v>clpn2_ST</v>
          </cell>
          <cell r="C12639" t="str">
            <v>Membrane cardiolipin mixture</v>
          </cell>
        </row>
        <row r="12640">
          <cell r="A12640" t="str">
            <v>ps2_ST_p</v>
          </cell>
          <cell r="B12640" t="str">
            <v>ps2_ST</v>
          </cell>
          <cell r="C12640" t="str">
            <v>Membrane phosphatidylserine mixture</v>
          </cell>
        </row>
        <row r="12641">
          <cell r="A12641" t="str">
            <v>OA_ST_p</v>
          </cell>
          <cell r="B12641" t="str">
            <v>OA_ST</v>
          </cell>
          <cell r="C12641" t="str">
            <v>OA ST[p]</v>
          </cell>
        </row>
        <row r="12642">
          <cell r="A12642" t="str">
            <v>udcpo4_p</v>
          </cell>
          <cell r="B12642" t="str">
            <v>udcpo4</v>
          </cell>
          <cell r="C12642" t="str">
            <v>Undecaprenyl diphosphate galactose-rhamnose-mannose-abequose</v>
          </cell>
        </row>
        <row r="12643">
          <cell r="A12643" t="str">
            <v>salchs2_p</v>
          </cell>
          <cell r="B12643" t="str">
            <v>salchs2</v>
          </cell>
          <cell r="C12643" t="str">
            <v>Salmochelin-S2</v>
          </cell>
        </row>
        <row r="12644">
          <cell r="A12644" t="str">
            <v>fe3dhbzs3_p</v>
          </cell>
          <cell r="B12644" t="str">
            <v>fe3dhbzs3</v>
          </cell>
          <cell r="C12644" t="str">
            <v>2-3-dihydroxybenzoylserine trimer-Fe-III</v>
          </cell>
        </row>
        <row r="12645">
          <cell r="A12645" t="str">
            <v>fe3dhbzs3_c</v>
          </cell>
          <cell r="B12645" t="str">
            <v>fe3dhbzs3</v>
          </cell>
          <cell r="C12645" t="str">
            <v>2-3-dihydroxybenzoylserine trimer-Fe-III</v>
          </cell>
        </row>
        <row r="12646">
          <cell r="A12646" t="str">
            <v>apolpp_p</v>
          </cell>
          <cell r="B12646" t="str">
            <v>apolpp</v>
          </cell>
          <cell r="C12646" t="str">
            <v>Braun apolipoprotein</v>
          </cell>
        </row>
        <row r="12647">
          <cell r="A12647" t="str">
            <v>diglyceride_prolpp_c</v>
          </cell>
          <cell r="B12647" t="str">
            <v>diglyceride_prolpp</v>
          </cell>
          <cell r="C12647" t="str">
            <v>Diglyceride Braun prolipoprotein</v>
          </cell>
        </row>
        <row r="12648">
          <cell r="A12648" t="str">
            <v>glyceryl_prolpp_c</v>
          </cell>
          <cell r="B12648" t="str">
            <v>glyceryl_prolpp</v>
          </cell>
          <cell r="C12648" t="str">
            <v>Glyceryl Braun prolipoprotein</v>
          </cell>
        </row>
        <row r="12649">
          <cell r="A12649" t="str">
            <v>ahop_c</v>
          </cell>
          <cell r="B12649" t="str">
            <v>ahop</v>
          </cell>
          <cell r="C12649" t="str">
            <v>Adenosylhopane</v>
          </cell>
        </row>
        <row r="12650">
          <cell r="A12650" t="str">
            <v>btoh_c</v>
          </cell>
          <cell r="B12650" t="str">
            <v>btoh</v>
          </cell>
          <cell r="C12650" t="str">
            <v>Butanol</v>
          </cell>
        </row>
        <row r="12651">
          <cell r="A12651" t="str">
            <v>bzsucc_c</v>
          </cell>
          <cell r="B12651" t="str">
            <v>bzsucc</v>
          </cell>
          <cell r="C12651" t="str">
            <v>Benzylsuccinate</v>
          </cell>
        </row>
        <row r="12652">
          <cell r="A12652" t="str">
            <v>campp_c</v>
          </cell>
          <cell r="B12652" t="str">
            <v>campp</v>
          </cell>
          <cell r="C12652" t="str">
            <v>3',5'-cyclic adenosine monophosphate-2'-phosphate</v>
          </cell>
        </row>
        <row r="12653">
          <cell r="A12653" t="str">
            <v>cdiamp_c</v>
          </cell>
          <cell r="B12653" t="str">
            <v>cdiamp</v>
          </cell>
          <cell r="C12653" t="str">
            <v>Cyclic diadenosine monophosphate</v>
          </cell>
        </row>
        <row r="12654">
          <cell r="A12654" t="str">
            <v>cro4_c</v>
          </cell>
          <cell r="B12654" t="str">
            <v>cro4</v>
          </cell>
          <cell r="C12654" t="str">
            <v>Chromate</v>
          </cell>
        </row>
        <row r="12655">
          <cell r="A12655" t="str">
            <v>fdxr_42_c</v>
          </cell>
          <cell r="B12655" t="str">
            <v>fdxr_42</v>
          </cell>
          <cell r="C12655" t="str">
            <v>Ferredoxin (reduced form 4:2)</v>
          </cell>
        </row>
        <row r="12656">
          <cell r="A12656" t="str">
            <v>hcit_c</v>
          </cell>
          <cell r="B12656" t="str">
            <v>hcit</v>
          </cell>
          <cell r="C12656" t="str">
            <v>2 Hydroxybutane 1 2 4 tricarboxylate C7H7O7</v>
          </cell>
        </row>
        <row r="12657">
          <cell r="A12657" t="str">
            <v>hghhlipan_c</v>
          </cell>
          <cell r="B12657" t="str">
            <v>hghhlipan</v>
          </cell>
          <cell r="C12657" t="str">
            <v>Heptosyl-glucosyl-heptosyl-heptosyl-kdo2-lipidA (glucosediamine)</v>
          </cell>
        </row>
        <row r="12658">
          <cell r="A12658" t="str">
            <v>hhlipan_c</v>
          </cell>
          <cell r="B12658" t="str">
            <v>hhlipan</v>
          </cell>
          <cell r="C12658" t="str">
            <v>Heptosyl-heptosyl-kdo2-lipidA (glucosediaminyl)</v>
          </cell>
        </row>
        <row r="12659">
          <cell r="A12659" t="str">
            <v>lipan_c</v>
          </cell>
          <cell r="B12659" t="str">
            <v>lipan</v>
          </cell>
          <cell r="C12659" t="str">
            <v>KDO(2)-lipid (A) (glucosediaminyl)</v>
          </cell>
        </row>
        <row r="12660">
          <cell r="A12660" t="str">
            <v>lipidAdsn_c</v>
          </cell>
          <cell r="B12660" t="str">
            <v>lipidAdsn</v>
          </cell>
          <cell r="C12660" t="str">
            <v>Lipid A Disaccharide (glucosediaminyl)</v>
          </cell>
        </row>
        <row r="12661">
          <cell r="A12661" t="str">
            <v>lipidXn_c</v>
          </cell>
          <cell r="B12661" t="str">
            <v>lipidXn</v>
          </cell>
          <cell r="C12661" t="str">
            <v>2,3-Bis(3-hydroxytetradecanoyl)-beta-D-glucosediamine 1-phosphate</v>
          </cell>
        </row>
        <row r="12662">
          <cell r="A12662" t="str">
            <v>lplarg_c</v>
          </cell>
          <cell r="B12662" t="str">
            <v>lplarg</v>
          </cell>
          <cell r="C12662" t="str">
            <v>Lipoyl carrier protein LarG</v>
          </cell>
        </row>
        <row r="12663">
          <cell r="A12663" t="str">
            <v>maltttrtre_c</v>
          </cell>
          <cell r="B12663" t="str">
            <v>maltttrtre</v>
          </cell>
          <cell r="C12663" t="str">
            <v>Maltotetraosyltrehalose</v>
          </cell>
        </row>
        <row r="12664">
          <cell r="A12664" t="str">
            <v>phitcoa_c</v>
          </cell>
          <cell r="B12664" t="str">
            <v>phitcoa</v>
          </cell>
          <cell r="C12664" t="str">
            <v>E-Phenylitaconyl-CoA</v>
          </cell>
        </row>
        <row r="12665">
          <cell r="A12665" t="str">
            <v>pt2coa_c</v>
          </cell>
          <cell r="B12665" t="str">
            <v>pt2coa</v>
          </cell>
          <cell r="C12665" t="str">
            <v>Pent-2-enoyl-CoA</v>
          </cell>
        </row>
        <row r="12666">
          <cell r="A12666" t="str">
            <v>rdxo_c</v>
          </cell>
          <cell r="B12666" t="str">
            <v>rdxo</v>
          </cell>
          <cell r="C12666" t="str">
            <v>Rubredoxin oxidized</v>
          </cell>
        </row>
        <row r="12667">
          <cell r="A12667" t="str">
            <v>rdxr_c</v>
          </cell>
          <cell r="B12667" t="str">
            <v>rdxr</v>
          </cell>
          <cell r="C12667" t="str">
            <v>Rubredoxin reduced</v>
          </cell>
        </row>
        <row r="12668">
          <cell r="A12668" t="str">
            <v>u3hgn_c</v>
          </cell>
          <cell r="B12668" t="str">
            <v>u3hgn</v>
          </cell>
          <cell r="C12668" t="str">
            <v>UDP-3-N-(3-hydroxytetradecanoyl)-glucose-2,3-diamine</v>
          </cell>
        </row>
        <row r="12669">
          <cell r="A12669" t="str">
            <v>uacgamo_c</v>
          </cell>
          <cell r="B12669" t="str">
            <v>uacgamo</v>
          </cell>
          <cell r="C12669" t="str">
            <v>UDP-2-acetamido-2-deoxy-alpha-D-ribo-hexopyranos-3-ulose</v>
          </cell>
        </row>
        <row r="12670">
          <cell r="A12670" t="str">
            <v>uacgnn_c</v>
          </cell>
          <cell r="B12670" t="str">
            <v>uacgnn</v>
          </cell>
          <cell r="C12670" t="str">
            <v>UDP-2-N-acetylglucose-2,3-diamine</v>
          </cell>
        </row>
        <row r="12671">
          <cell r="A12671" t="str">
            <v>vaccoa_c</v>
          </cell>
          <cell r="B12671" t="str">
            <v>vaccoa</v>
          </cell>
          <cell r="C12671" t="str">
            <v>Vinylacetyl-CoA</v>
          </cell>
        </row>
        <row r="12672">
          <cell r="A12672" t="str">
            <v>3httdca_e</v>
          </cell>
          <cell r="B12672" t="str">
            <v>3httdca</v>
          </cell>
          <cell r="C12672" t="str">
            <v>3-hydroxy tetradecanoate (n-C14:0)</v>
          </cell>
        </row>
        <row r="12673">
          <cell r="A12673" t="str">
            <v>3mb_e</v>
          </cell>
          <cell r="B12673" t="str">
            <v>3mb</v>
          </cell>
          <cell r="C12673" t="str">
            <v>3-Methylbutanoic acid</v>
          </cell>
        </row>
        <row r="12674">
          <cell r="A12674" t="str">
            <v>bzalc_e</v>
          </cell>
          <cell r="B12674" t="str">
            <v>bzalc</v>
          </cell>
          <cell r="C12674" t="str">
            <v>Benzyl alcohol</v>
          </cell>
        </row>
        <row r="12675">
          <cell r="A12675" t="str">
            <v>elco_e</v>
          </cell>
          <cell r="B12675" t="str">
            <v>elco</v>
          </cell>
          <cell r="C12675" t="str">
            <v>Cathode (Oxidized)</v>
          </cell>
        </row>
        <row r="12676">
          <cell r="A12676" t="str">
            <v>elcr_e</v>
          </cell>
          <cell r="B12676" t="str">
            <v>elcr</v>
          </cell>
          <cell r="C12676" t="str">
            <v>Cathode (reduced)</v>
          </cell>
        </row>
        <row r="12677">
          <cell r="A12677" t="str">
            <v>gm1lipb_e</v>
          </cell>
          <cell r="B12677" t="str">
            <v>gm1lipb</v>
          </cell>
          <cell r="C12677" t="str">
            <v>4-Amino-4-deoxy-L-arabinose modified core oligosaccharide lipid B (G. metallireducens, variant 1)</v>
          </cell>
        </row>
        <row r="12678">
          <cell r="A12678" t="str">
            <v>gm2lipa_e</v>
          </cell>
          <cell r="B12678" t="str">
            <v>gm2lipa</v>
          </cell>
          <cell r="C12678" t="str">
            <v>4-Amino-4-deoxy-L-arabinose modified core oligosaccharide lipid A (G. metallireducens, variant 2)</v>
          </cell>
        </row>
        <row r="12679">
          <cell r="A12679" t="str">
            <v>omcho_e</v>
          </cell>
          <cell r="B12679" t="str">
            <v>omcho</v>
          </cell>
          <cell r="C12679" t="str">
            <v>Outer Membrane Cytochrome c type oxidized (high potential)</v>
          </cell>
        </row>
        <row r="12680">
          <cell r="A12680" t="str">
            <v>omchr_e</v>
          </cell>
          <cell r="B12680" t="str">
            <v>omchr</v>
          </cell>
          <cell r="C12680" t="str">
            <v>Outer Membrane Cytochrome c reduced (high potential)</v>
          </cell>
        </row>
        <row r="12681">
          <cell r="A12681" t="str">
            <v>u6_e</v>
          </cell>
          <cell r="B12681" t="str">
            <v>u6</v>
          </cell>
          <cell r="C12681" t="str">
            <v>Uranium(VI)</v>
          </cell>
        </row>
        <row r="12682">
          <cell r="A12682" t="str">
            <v>v4_e</v>
          </cell>
          <cell r="B12682" t="str">
            <v>v4</v>
          </cell>
          <cell r="C12682" t="str">
            <v>Vanadium(IV)</v>
          </cell>
        </row>
        <row r="12683">
          <cell r="A12683" t="str">
            <v>v5_e</v>
          </cell>
          <cell r="B12683" t="str">
            <v>v5</v>
          </cell>
          <cell r="C12683" t="str">
            <v>Vanadium(V)</v>
          </cell>
        </row>
        <row r="12684">
          <cell r="A12684" t="str">
            <v>4hba_p</v>
          </cell>
          <cell r="B12684" t="str">
            <v>4hba</v>
          </cell>
          <cell r="C12684" t="str">
            <v>4-Hydroxy-benzyl alcohol</v>
          </cell>
        </row>
        <row r="12685">
          <cell r="A12685" t="str">
            <v>btoh_p</v>
          </cell>
          <cell r="B12685" t="str">
            <v>btoh</v>
          </cell>
          <cell r="C12685" t="str">
            <v>Butanol</v>
          </cell>
        </row>
        <row r="12686">
          <cell r="A12686" t="str">
            <v>cro4_p</v>
          </cell>
          <cell r="B12686" t="str">
            <v>cro4</v>
          </cell>
          <cell r="C12686" t="str">
            <v>Chromate</v>
          </cell>
        </row>
        <row r="12687">
          <cell r="A12687" t="str">
            <v>hghhlipan_p</v>
          </cell>
          <cell r="B12687" t="str">
            <v>hghhlipan</v>
          </cell>
          <cell r="C12687" t="str">
            <v>Heptosyl-glucosyl-heptosyl-heptosyl-kdo2-lipidA (glucosediamine)</v>
          </cell>
        </row>
        <row r="12688">
          <cell r="A12688" t="str">
            <v>ppc1o_p</v>
          </cell>
          <cell r="B12688" t="str">
            <v>ppc1o</v>
          </cell>
          <cell r="C12688" t="str">
            <v>Periplasmic cytochromes c type oxidized 1</v>
          </cell>
        </row>
        <row r="12689">
          <cell r="A12689" t="str">
            <v>ppc1r_p</v>
          </cell>
          <cell r="B12689" t="str">
            <v>ppc1r</v>
          </cell>
          <cell r="C12689" t="str">
            <v>Perimplasmic cytochromes c type reduced 1</v>
          </cell>
        </row>
        <row r="12690">
          <cell r="A12690" t="str">
            <v>ps140_p</v>
          </cell>
          <cell r="B12690" t="str">
            <v>ps140</v>
          </cell>
          <cell r="C12690" t="str">
            <v>Phosphatidylserine (ditetradecanoyl, n-C14:0)</v>
          </cell>
        </row>
        <row r="12691">
          <cell r="A12691" t="str">
            <v>ps160_p</v>
          </cell>
          <cell r="B12691" t="str">
            <v>ps160</v>
          </cell>
          <cell r="C12691" t="str">
            <v>Phosphatidylserine (dihexadecanoyl, n-C16:0)</v>
          </cell>
        </row>
        <row r="12692">
          <cell r="A12692" t="str">
            <v>ps161_p</v>
          </cell>
          <cell r="B12692" t="str">
            <v>ps161</v>
          </cell>
          <cell r="C12692" t="str">
            <v>Phosphatidylserine (dihexadec-9-enoyl, n-C16:1)</v>
          </cell>
        </row>
        <row r="12693">
          <cell r="A12693" t="str">
            <v>ps180_p</v>
          </cell>
          <cell r="B12693" t="str">
            <v>ps180</v>
          </cell>
          <cell r="C12693" t="str">
            <v>Phosphatidylserine (dioctadecanoyl, n-C18:0)</v>
          </cell>
        </row>
        <row r="12694">
          <cell r="A12694" t="str">
            <v>ps181_p</v>
          </cell>
          <cell r="B12694" t="str">
            <v>ps181</v>
          </cell>
          <cell r="C12694" t="str">
            <v>Phosphatidylserine (dioctadec-11-enoyl, n-C18:1)</v>
          </cell>
        </row>
        <row r="12695">
          <cell r="A12695" t="str">
            <v>pta_p</v>
          </cell>
          <cell r="B12695" t="str">
            <v>pta</v>
          </cell>
          <cell r="C12695" t="str">
            <v>Pentanoate</v>
          </cell>
        </row>
        <row r="12696">
          <cell r="A12696" t="str">
            <v>glc__bD_c</v>
          </cell>
          <cell r="B12696" t="str">
            <v>glc__bD</v>
          </cell>
          <cell r="C12696" t="str">
            <v>D-Glucose</v>
          </cell>
        </row>
        <row r="12697">
          <cell r="A12697" t="str">
            <v>34dhmald_c</v>
          </cell>
          <cell r="B12697" t="str">
            <v>34dhmald</v>
          </cell>
          <cell r="C12697" t="str">
            <v>3,4-Dihydroxymandelaldehyde</v>
          </cell>
        </row>
        <row r="12698">
          <cell r="A12698" t="str">
            <v>1odec9eg3p_c</v>
          </cell>
          <cell r="B12698" t="str">
            <v>1odec9eg3p</v>
          </cell>
          <cell r="C12698" t="str">
            <v>1-octadec-9-enoyl-sn-glycerol 3-phosphate</v>
          </cell>
        </row>
        <row r="12699">
          <cell r="A12699" t="str">
            <v>octe_6_9_12_ACP_c</v>
          </cell>
          <cell r="B12699" t="str">
            <v>octe_6_9_12_ACP</v>
          </cell>
          <cell r="C12699" t="str">
            <v>G-linolenoilACP</v>
          </cell>
        </row>
        <row r="12700">
          <cell r="A12700" t="str">
            <v>octe_6_9_12_15_ACP_c</v>
          </cell>
          <cell r="B12700" t="str">
            <v>octe_6_9_12_15_ACP</v>
          </cell>
          <cell r="C12700" t="str">
            <v>OctadecatetraenoilACP</v>
          </cell>
        </row>
        <row r="12701">
          <cell r="A12701" t="str">
            <v>bamppald_c</v>
          </cell>
          <cell r="B12701" t="str">
            <v>bamppald</v>
          </cell>
          <cell r="C12701" t="str">
            <v>Beta-Aminopropion aldehyde</v>
          </cell>
        </row>
        <row r="12702">
          <cell r="A12702" t="str">
            <v>bilirub_c</v>
          </cell>
          <cell r="B12702" t="str">
            <v>bilirub</v>
          </cell>
          <cell r="C12702" t="str">
            <v>Bilirubin cytosol</v>
          </cell>
        </row>
        <row r="12703">
          <cell r="A12703" t="str">
            <v>ficytc6_u</v>
          </cell>
          <cell r="B12703" t="str">
            <v>ficytc6</v>
          </cell>
          <cell r="C12703" t="str">
            <v>Ferricytochrome c6</v>
          </cell>
        </row>
        <row r="12704">
          <cell r="A12704" t="str">
            <v>o2_u</v>
          </cell>
          <cell r="B12704" t="str">
            <v>o2</v>
          </cell>
          <cell r="C12704" t="str">
            <v>O2 O2</v>
          </cell>
        </row>
        <row r="12705">
          <cell r="A12705" t="str">
            <v>cdpdodec9eg_c</v>
          </cell>
          <cell r="B12705" t="str">
            <v>cdpdodec9eg</v>
          </cell>
          <cell r="C12705" t="str">
            <v xml:space="preserve">CDP-1,2-dioctadec-9-enoylglycerol </v>
          </cell>
        </row>
        <row r="12706">
          <cell r="A12706" t="str">
            <v>cdpdodec691215eg_c</v>
          </cell>
          <cell r="B12706" t="str">
            <v>cdpdodec691215eg</v>
          </cell>
          <cell r="C12706" t="str">
            <v>CDP-1,2-dioctadec-6-9-12-15-tetraenoylglycerol</v>
          </cell>
        </row>
        <row r="12707">
          <cell r="A12707" t="str">
            <v>mgdg181_c</v>
          </cell>
          <cell r="B12707" t="str">
            <v>mgdg181</v>
          </cell>
          <cell r="C12707" t="str">
            <v>1,2-Diacyl-3-beta-D-galactosyl-sn-glycerol (n-C18 1)</v>
          </cell>
        </row>
        <row r="12708">
          <cell r="A12708" t="str">
            <v>dgdg181_c</v>
          </cell>
          <cell r="B12708" t="str">
            <v>dgdg181</v>
          </cell>
          <cell r="C12708" t="str">
            <v>Digalactosyl-diacylglycerol(n-C18 1)</v>
          </cell>
        </row>
        <row r="12709">
          <cell r="A12709" t="str">
            <v>mgdg182_9_12_c</v>
          </cell>
          <cell r="B12709" t="str">
            <v>mgdg182_9_12</v>
          </cell>
          <cell r="C12709" t="str">
            <v>1,2-Diacyl-3-beta-D-galactosyl-sn-glycerol (n-C18 2)</v>
          </cell>
        </row>
        <row r="12710">
          <cell r="A12710" t="str">
            <v>dgdg182_9_12_c</v>
          </cell>
          <cell r="B12710" t="str">
            <v>dgdg182_9_12</v>
          </cell>
          <cell r="C12710" t="str">
            <v>Digalactosyl-diacylglycerol(n-C18 2)</v>
          </cell>
        </row>
        <row r="12711">
          <cell r="A12711" t="str">
            <v>pchlld_c</v>
          </cell>
          <cell r="B12711" t="str">
            <v>pchlld</v>
          </cell>
          <cell r="C12711" t="str">
            <v>Protochlorophyllide</v>
          </cell>
        </row>
        <row r="12712">
          <cell r="A12712" t="str">
            <v>12dgr184_6_9_12_15_c</v>
          </cell>
          <cell r="B12712" t="str">
            <v>12dgr184_6_9_12_15</v>
          </cell>
          <cell r="C12712" t="str">
            <v>1,2-Diacyl-sn-glycerol (dioctadec-6-9-12-15-tetraenoyl, n-C18 4)</v>
          </cell>
        </row>
        <row r="12713">
          <cell r="A12713" t="str">
            <v>23dmphol_c</v>
          </cell>
          <cell r="B12713" t="str">
            <v>23dmphol</v>
          </cell>
          <cell r="C12713" t="str">
            <v>2,3-Dimethyl-5-phytylquinol</v>
          </cell>
        </row>
        <row r="12714">
          <cell r="A12714" t="str">
            <v>omppp9_c</v>
          </cell>
          <cell r="B12714" t="str">
            <v>omppp9</v>
          </cell>
          <cell r="C12714" t="str">
            <v>13(1)-Oxo-magnesium-protoporphyrin IX 13-monomethyl ester</v>
          </cell>
        </row>
        <row r="12715">
          <cell r="A12715" t="str">
            <v>pgp181_9_c</v>
          </cell>
          <cell r="B12715" t="str">
            <v>pgp181_9</v>
          </cell>
          <cell r="C12715" t="str">
            <v>Phosphatidylglycerophosphate (dioctadec-9-enoyl, n-C18 1)</v>
          </cell>
        </row>
        <row r="12716">
          <cell r="A12716" t="str">
            <v>pg181_9_c</v>
          </cell>
          <cell r="B12716" t="str">
            <v>pg181_9</v>
          </cell>
          <cell r="C12716" t="str">
            <v>Phosphatidylglycerol (dioctadec-9-enoyl, n-C18 1)</v>
          </cell>
        </row>
        <row r="12717">
          <cell r="A12717" t="str">
            <v>pgp182_9_12_c</v>
          </cell>
          <cell r="B12717" t="str">
            <v>pgp182_9_12</v>
          </cell>
          <cell r="C12717" t="str">
            <v>Phosphatidylglycerophosphate (dioctadec-9-12-dienoyl, n-C18 2)</v>
          </cell>
        </row>
        <row r="12718">
          <cell r="A12718" t="str">
            <v>pg182_9_12_c</v>
          </cell>
          <cell r="B12718" t="str">
            <v>pg182_9_12</v>
          </cell>
          <cell r="C12718" t="str">
            <v>Phosphatidylglycerol (dioctadec-9-12-dienoyl, n-C18 2)</v>
          </cell>
        </row>
        <row r="12719">
          <cell r="A12719" t="str">
            <v>pgp183_6_9_12_c</v>
          </cell>
          <cell r="B12719" t="str">
            <v>pgp183_6_9_12</v>
          </cell>
          <cell r="C12719" t="str">
            <v>Phosphatidylglycerophosphate (dioctadec-6-9-12-trienoyl, n-C18 3)</v>
          </cell>
        </row>
        <row r="12720">
          <cell r="A12720" t="str">
            <v>pgp184_6_9_12_15_c</v>
          </cell>
          <cell r="B12720" t="str">
            <v>pgp184_6_9_12_15</v>
          </cell>
          <cell r="C12720" t="str">
            <v>Phosphatidylglycerophosphate (dioctadec-6-9-12-15-tetraenoyl, n-C18 4)</v>
          </cell>
        </row>
        <row r="12721">
          <cell r="A12721" t="str">
            <v>PHB_c</v>
          </cell>
          <cell r="B12721" t="str">
            <v>PHB</v>
          </cell>
          <cell r="C12721" t="str">
            <v>PHB granule</v>
          </cell>
        </row>
        <row r="12722">
          <cell r="A12722" t="str">
            <v>phytoe_c</v>
          </cell>
          <cell r="B12722" t="str">
            <v>phytoe</v>
          </cell>
          <cell r="C12722" t="str">
            <v>All-trans-Phytoene</v>
          </cell>
        </row>
        <row r="12723">
          <cell r="A12723" t="str">
            <v>phytof_c</v>
          </cell>
          <cell r="B12723" t="str">
            <v>phytof</v>
          </cell>
          <cell r="C12723" t="str">
            <v>All-trans-Phytofluene</v>
          </cell>
        </row>
        <row r="12724">
          <cell r="A12724" t="str">
            <v>zcarote_c</v>
          </cell>
          <cell r="B12724" t="str">
            <v>zcarote</v>
          </cell>
          <cell r="C12724" t="str">
            <v>Zeta-Carotene</v>
          </cell>
        </row>
        <row r="12725">
          <cell r="A12725" t="str">
            <v>sqdg183_9_12_15_c</v>
          </cell>
          <cell r="B12725" t="str">
            <v>sqdg183_9_12_15</v>
          </cell>
          <cell r="C12725" t="str">
            <v>Sulfoquinovosyldiacylglycerol (n-C18 3)</v>
          </cell>
        </row>
        <row r="12726">
          <cell r="A12726" t="str">
            <v>gtocophe_c</v>
          </cell>
          <cell r="B12726" t="str">
            <v>gtocophe</v>
          </cell>
          <cell r="C12726" t="str">
            <v>Gamma-Tocopherol</v>
          </cell>
        </row>
        <row r="12727">
          <cell r="A12727" t="str">
            <v>avite1_c</v>
          </cell>
          <cell r="B12727" t="str">
            <v>avite1</v>
          </cell>
          <cell r="C12727" t="str">
            <v>Alpha-Tocopherol</v>
          </cell>
        </row>
        <row r="12728">
          <cell r="A12728" t="str">
            <v>hco3_p</v>
          </cell>
          <cell r="B12728" t="str">
            <v>hco3</v>
          </cell>
          <cell r="C12728" t="str">
            <v>Bicarbonate</v>
          </cell>
        </row>
        <row r="12729">
          <cell r="A12729" t="str">
            <v>glcglycp_c</v>
          </cell>
          <cell r="B12729" t="str">
            <v>glcglycp</v>
          </cell>
          <cell r="C12729" t="str">
            <v>2-(beta-D-Glucosyl)-sn-glycerol 3-phosphate</v>
          </cell>
        </row>
        <row r="12730">
          <cell r="A12730" t="str">
            <v>dpterol_c</v>
          </cell>
          <cell r="B12730" t="str">
            <v>dpterol</v>
          </cell>
          <cell r="C12730" t="str">
            <v>Diplopterol</v>
          </cell>
        </row>
        <row r="12731">
          <cell r="A12731" t="str">
            <v>10fthf6glu_c</v>
          </cell>
          <cell r="B12731" t="str">
            <v>10fthf6glu</v>
          </cell>
          <cell r="C12731" t="str">
            <v>10-formyltetrahydrofolate-[Glu](6)</v>
          </cell>
        </row>
        <row r="12732">
          <cell r="A12732" t="str">
            <v>12HPET_c</v>
          </cell>
          <cell r="B12732" t="str">
            <v>12HPET</v>
          </cell>
          <cell r="C12732" t="str">
            <v>12-Hydroperoxyeicosa-5,8,10,14-tetraenoate</v>
          </cell>
        </row>
        <row r="12733">
          <cell r="A12733" t="str">
            <v>12RHPET_c</v>
          </cell>
          <cell r="B12733" t="str">
            <v>12RHPET</v>
          </cell>
          <cell r="C12733" t="str">
            <v>12R-Hydroperoxyeicosatetraenoate</v>
          </cell>
        </row>
        <row r="12734">
          <cell r="A12734" t="str">
            <v>25hvitd3_c</v>
          </cell>
          <cell r="B12734" t="str">
            <v>25hvitd3</v>
          </cell>
          <cell r="C12734" t="str">
            <v>25-Hydroxyvitamin D3</v>
          </cell>
        </row>
        <row r="12735">
          <cell r="A12735" t="str">
            <v>2c23dh56dhoxin_c</v>
          </cell>
          <cell r="B12735" t="str">
            <v>2c23dh56dhoxin</v>
          </cell>
          <cell r="C12735" t="str">
            <v>2-Carboxy-2,3-dihydro-5,6-dihydroxyindole</v>
          </cell>
        </row>
        <row r="12736">
          <cell r="A12736" t="str">
            <v>35diotyr_c</v>
          </cell>
          <cell r="B12736" t="str">
            <v>35diotyr</v>
          </cell>
          <cell r="C12736" t="str">
            <v>3,5-Diiodo-L-tyrosine</v>
          </cell>
        </row>
        <row r="12737">
          <cell r="A12737" t="str">
            <v>3aib__D_c</v>
          </cell>
          <cell r="B12737" t="str">
            <v>3aib__D</v>
          </cell>
          <cell r="C12737" t="str">
            <v>D-3-Amino-isobutanoate</v>
          </cell>
        </row>
        <row r="12738">
          <cell r="A12738" t="str">
            <v>3mox4hpac_c</v>
          </cell>
          <cell r="B12738" t="str">
            <v>3mox4hpac</v>
          </cell>
          <cell r="C12738" t="str">
            <v>3-Methoxy-4-hydroxyphenylacetaldehyde</v>
          </cell>
        </row>
        <row r="12739">
          <cell r="A12739" t="str">
            <v>46dhoxquin_c</v>
          </cell>
          <cell r="B12739" t="str">
            <v>46dhoxquin</v>
          </cell>
          <cell r="C12739" t="str">
            <v>4,6-Dihydroxyquinoline</v>
          </cell>
        </row>
        <row r="12740">
          <cell r="A12740" t="str">
            <v>4mtolbutamide_c</v>
          </cell>
          <cell r="B12740" t="str">
            <v>4mtolbutamide</v>
          </cell>
          <cell r="C12740" t="str">
            <v>4mtolbutamide c</v>
          </cell>
        </row>
        <row r="12741">
          <cell r="A12741" t="str">
            <v>4nphsf_c</v>
          </cell>
          <cell r="B12741" t="str">
            <v>4nphsf</v>
          </cell>
          <cell r="C12741" t="str">
            <v>4-Nitrophenyl sulfate</v>
          </cell>
        </row>
        <row r="12742">
          <cell r="A12742" t="str">
            <v>56dihindlcrbxlt_c</v>
          </cell>
          <cell r="B12742" t="str">
            <v>56dihindlcrbxlt</v>
          </cell>
          <cell r="C12742" t="str">
            <v>5,6-Dihydroxyindole-2-carboxylate</v>
          </cell>
        </row>
        <row r="12743">
          <cell r="A12743" t="str">
            <v>5hoxindact_c</v>
          </cell>
          <cell r="B12743" t="str">
            <v>5hoxindact</v>
          </cell>
          <cell r="C12743" t="str">
            <v>5-Hydroxyindoleacetaldehyde</v>
          </cell>
        </row>
        <row r="12744">
          <cell r="A12744" t="str">
            <v>5thf_c</v>
          </cell>
          <cell r="B12744" t="str">
            <v>5thf</v>
          </cell>
          <cell r="C12744" t="str">
            <v>Pentaglutamyl folate (THF)</v>
          </cell>
        </row>
        <row r="12745">
          <cell r="A12745" t="str">
            <v>6hoxmelatn_c</v>
          </cell>
          <cell r="B12745" t="str">
            <v>6hoxmelatn</v>
          </cell>
          <cell r="C12745" t="str">
            <v>6hoxmelatn c</v>
          </cell>
        </row>
        <row r="12746">
          <cell r="A12746" t="str">
            <v>R2coa_hs_c</v>
          </cell>
          <cell r="B12746" t="str">
            <v>R2coa_hs</v>
          </cell>
          <cell r="C12746" t="str">
            <v>R group 2 Coenzyme A homo sapiens</v>
          </cell>
        </row>
        <row r="12747">
          <cell r="A12747" t="str">
            <v>R3coa_hs_c</v>
          </cell>
          <cell r="B12747" t="str">
            <v>R3coa_hs</v>
          </cell>
          <cell r="C12747" t="str">
            <v>R group 3 Coenzyme A homo sapiens</v>
          </cell>
        </row>
        <row r="12748">
          <cell r="A12748" t="str">
            <v>Rtotal2crn_c</v>
          </cell>
          <cell r="B12748" t="str">
            <v>Rtotal2crn</v>
          </cell>
          <cell r="C12748" t="str">
            <v>Rtotal2crn c</v>
          </cell>
        </row>
        <row r="12749">
          <cell r="A12749" t="str">
            <v>Rtotal3_c</v>
          </cell>
          <cell r="B12749" t="str">
            <v>Rtotal3</v>
          </cell>
          <cell r="C12749" t="str">
            <v>R total 3 position</v>
          </cell>
        </row>
        <row r="12750">
          <cell r="A12750" t="str">
            <v>Rtotal3coa_c</v>
          </cell>
          <cell r="B12750" t="str">
            <v>Rtotal3coa</v>
          </cell>
          <cell r="C12750" t="str">
            <v>Rtotal3coa c</v>
          </cell>
        </row>
        <row r="12751">
          <cell r="A12751" t="str">
            <v>Rtotalcoa_c</v>
          </cell>
          <cell r="B12751" t="str">
            <v>Rtotalcoa</v>
          </cell>
          <cell r="C12751" t="str">
            <v>Rtotalcoa c</v>
          </cell>
        </row>
        <row r="12752">
          <cell r="A12752" t="str">
            <v>ach_c</v>
          </cell>
          <cell r="B12752" t="str">
            <v>ach</v>
          </cell>
          <cell r="C12752" t="str">
            <v>Acetylcholine</v>
          </cell>
        </row>
        <row r="12753">
          <cell r="A12753" t="str">
            <v>acngalacglcgal14acglcgalgluside_hs_c</v>
          </cell>
          <cell r="B12753" t="str">
            <v>acngalacglcgal14acglcgalgluside_hs</v>
          </cell>
          <cell r="C12753" t="str">
            <v>VI3NeuAc-nLc6Cer</v>
          </cell>
        </row>
        <row r="12754">
          <cell r="A12754" t="str">
            <v>adprbp_c</v>
          </cell>
          <cell r="B12754" t="str">
            <v>adprbp</v>
          </cell>
          <cell r="C12754" t="str">
            <v>ADPribose 2'-phosphate</v>
          </cell>
        </row>
        <row r="12755">
          <cell r="A12755" t="str">
            <v>ak2gpe_hs_c</v>
          </cell>
          <cell r="B12755" t="str">
            <v>ak2gpe_hs</v>
          </cell>
          <cell r="C12755" t="str">
            <v>1-alkyl 2-acylglycerol 3-phosphoethanolamine</v>
          </cell>
        </row>
        <row r="12756">
          <cell r="A12756" t="str">
            <v>akgp_hs_c</v>
          </cell>
          <cell r="B12756" t="str">
            <v>akgp_hs</v>
          </cell>
          <cell r="C12756" t="str">
            <v>1-alkylglycerol 3-phosphate (homo sapiens)</v>
          </cell>
        </row>
        <row r="12757">
          <cell r="A12757" t="str">
            <v>arachd_c</v>
          </cell>
          <cell r="B12757" t="str">
            <v>arachd</v>
          </cell>
          <cell r="C12757" t="str">
            <v>Arachidonic acid</v>
          </cell>
        </row>
        <row r="12758">
          <cell r="A12758" t="str">
            <v>ascb__L_c</v>
          </cell>
          <cell r="B12758" t="str">
            <v>ascb__L</v>
          </cell>
          <cell r="C12758" t="str">
            <v>L-Ascorbate</v>
          </cell>
        </row>
        <row r="12759">
          <cell r="A12759" t="str">
            <v>avite2_c</v>
          </cell>
          <cell r="B12759" t="str">
            <v>avite2</v>
          </cell>
          <cell r="C12759" t="str">
            <v>Alpha-Tocotrienol</v>
          </cell>
        </row>
        <row r="12760">
          <cell r="A12760" t="str">
            <v>bildglcur_c</v>
          </cell>
          <cell r="B12760" t="str">
            <v>bildglcur</v>
          </cell>
          <cell r="C12760" t="str">
            <v>Bilirubin beta-diglucuronide</v>
          </cell>
        </row>
        <row r="12761">
          <cell r="A12761" t="str">
            <v>chtn_c</v>
          </cell>
          <cell r="B12761" t="str">
            <v>chtn</v>
          </cell>
          <cell r="C12761" t="str">
            <v>Chtn c</v>
          </cell>
        </row>
        <row r="12762">
          <cell r="A12762" t="str">
            <v>crtsl_c</v>
          </cell>
          <cell r="B12762" t="str">
            <v>crtsl</v>
          </cell>
          <cell r="C12762" t="str">
            <v>Crtsl c</v>
          </cell>
        </row>
        <row r="12763">
          <cell r="A12763" t="str">
            <v>crtstrn_c</v>
          </cell>
          <cell r="B12763" t="str">
            <v>crtstrn</v>
          </cell>
          <cell r="C12763" t="str">
            <v>Corticosterone</v>
          </cell>
        </row>
        <row r="12764">
          <cell r="A12764" t="str">
            <v>dag_hs_c</v>
          </cell>
          <cell r="B12764" t="str">
            <v>dag_hs</v>
          </cell>
          <cell r="C12764" t="str">
            <v>Diacylglycerol (homo sapiens)</v>
          </cell>
        </row>
        <row r="12765">
          <cell r="A12765" t="str">
            <v>dcsptn1_c</v>
          </cell>
          <cell r="B12765" t="str">
            <v>dcsptn1</v>
          </cell>
          <cell r="C12765" t="str">
            <v>Docosa-4,7,10,13,16-pentaenoic acid (n-6)</v>
          </cell>
        </row>
        <row r="12766">
          <cell r="A12766" t="str">
            <v>dcsptn1coa_c</v>
          </cell>
          <cell r="B12766" t="str">
            <v>dcsptn1coa</v>
          </cell>
          <cell r="C12766" t="str">
            <v>Docosa-4,7,10,13,16-pentaenoyl coenzyme A</v>
          </cell>
        </row>
        <row r="12767">
          <cell r="A12767" t="str">
            <v>dcsptn1crn_c</v>
          </cell>
          <cell r="B12767" t="str">
            <v>dcsptn1crn</v>
          </cell>
          <cell r="C12767" t="str">
            <v>Docosa-4,7,10,13,16-pentaenoyl carnitine</v>
          </cell>
        </row>
        <row r="12768">
          <cell r="A12768" t="str">
            <v>debrisoquine_c</v>
          </cell>
          <cell r="B12768" t="str">
            <v>debrisoquine</v>
          </cell>
          <cell r="C12768" t="str">
            <v>Debrisoquine c</v>
          </cell>
        </row>
        <row r="12769">
          <cell r="A12769" t="str">
            <v>dedol__L_c</v>
          </cell>
          <cell r="B12769" t="str">
            <v>dedol__L</v>
          </cell>
          <cell r="C12769" t="str">
            <v>Dehydrodolichol, human liver homolog</v>
          </cell>
        </row>
        <row r="12770">
          <cell r="A12770" t="str">
            <v>dhcrm_hs_c</v>
          </cell>
          <cell r="B12770" t="str">
            <v>dhcrm_hs</v>
          </cell>
          <cell r="C12770" t="str">
            <v>Dihydroceramide (homo sapiens)</v>
          </cell>
        </row>
        <row r="12771">
          <cell r="A12771" t="str">
            <v>dhea_c</v>
          </cell>
          <cell r="B12771" t="str">
            <v>dhea</v>
          </cell>
          <cell r="C12771" t="str">
            <v>Dehydroepiandrosterone</v>
          </cell>
        </row>
        <row r="12772">
          <cell r="A12772" t="str">
            <v>dlnlcgcoa_c</v>
          </cell>
          <cell r="B12772" t="str">
            <v>dlnlcgcoa</v>
          </cell>
          <cell r="C12772" t="str">
            <v>Dihomo-gamma-linolenyl coenzyme A</v>
          </cell>
        </row>
        <row r="12773">
          <cell r="A12773" t="str">
            <v>dlnlcgcrn_c</v>
          </cell>
          <cell r="B12773" t="str">
            <v>dlnlcgcrn</v>
          </cell>
          <cell r="C12773" t="str">
            <v>Dihomo-gamma-linolenyl carnitine</v>
          </cell>
        </row>
        <row r="12774">
          <cell r="A12774" t="str">
            <v>dmantipyrine_c</v>
          </cell>
          <cell r="B12774" t="str">
            <v>dmantipyrine</v>
          </cell>
          <cell r="C12774" t="str">
            <v>Dmantipyrine c</v>
          </cell>
        </row>
        <row r="12775">
          <cell r="A12775" t="str">
            <v>dmhptcrn_c</v>
          </cell>
          <cell r="B12775" t="str">
            <v>dmhptcrn</v>
          </cell>
          <cell r="C12775" t="str">
            <v>2,6 dimethylheptanoyl carnitine</v>
          </cell>
        </row>
        <row r="12776">
          <cell r="A12776" t="str">
            <v>dolglcp__L_c</v>
          </cell>
          <cell r="B12776" t="str">
            <v>dolglcp__L</v>
          </cell>
          <cell r="C12776" t="str">
            <v>Dolichyl beta-D-glucosyl phosphate, human liver homolog</v>
          </cell>
        </row>
        <row r="12777">
          <cell r="A12777" t="str">
            <v>dolmanp__L_c</v>
          </cell>
          <cell r="B12777" t="str">
            <v>dolmanp__L</v>
          </cell>
          <cell r="C12777" t="str">
            <v>Dolichyl phosphate D-mannose, human liver homolog</v>
          </cell>
        </row>
        <row r="12778">
          <cell r="A12778" t="str">
            <v>dolmanp_U_c</v>
          </cell>
          <cell r="B12778" t="str">
            <v>dolmanp_U</v>
          </cell>
          <cell r="C12778" t="str">
            <v>Dolichyl phosphate D-mannose, human uterine homolog</v>
          </cell>
        </row>
        <row r="12779">
          <cell r="A12779" t="str">
            <v>dopa_c</v>
          </cell>
          <cell r="B12779" t="str">
            <v>dopa</v>
          </cell>
          <cell r="C12779" t="str">
            <v>Dopamine</v>
          </cell>
        </row>
        <row r="12780">
          <cell r="A12780" t="str">
            <v>ebastineoh_c</v>
          </cell>
          <cell r="B12780" t="str">
            <v>ebastineoh</v>
          </cell>
          <cell r="C12780" t="str">
            <v>Hydroxylated ebastine</v>
          </cell>
        </row>
        <row r="12781">
          <cell r="A12781" t="str">
            <v>eicostet_c</v>
          </cell>
          <cell r="B12781" t="str">
            <v>eicostet</v>
          </cell>
          <cell r="C12781" t="str">
            <v>Eicosatetranoic acid</v>
          </cell>
        </row>
        <row r="12782">
          <cell r="A12782" t="str">
            <v>eicostetcrn_c</v>
          </cell>
          <cell r="B12782" t="str">
            <v>eicostetcrn</v>
          </cell>
          <cell r="C12782" t="str">
            <v>Eicosatetranoyl carnitine</v>
          </cell>
        </row>
        <row r="12783">
          <cell r="A12783" t="str">
            <v>elaidcrn_c</v>
          </cell>
          <cell r="B12783" t="str">
            <v>elaidcrn</v>
          </cell>
          <cell r="C12783" t="str">
            <v>Elaidic carnitine</v>
          </cell>
        </row>
        <row r="12784">
          <cell r="A12784" t="str">
            <v>estrone_c</v>
          </cell>
          <cell r="B12784" t="str">
            <v>estrone</v>
          </cell>
          <cell r="C12784" t="str">
            <v>Estrone cytosol</v>
          </cell>
        </row>
        <row r="12785">
          <cell r="A12785" t="str">
            <v>estrones_c</v>
          </cell>
          <cell r="B12785" t="str">
            <v>estrones</v>
          </cell>
          <cell r="C12785" t="str">
            <v>Estrone 3-sulfate</v>
          </cell>
        </row>
        <row r="12786">
          <cell r="A12786" t="str">
            <v>fucfuc12gal14acglcgalgluside_hs_c</v>
          </cell>
          <cell r="B12786" t="str">
            <v>fucfuc12gal14acglcgalgluside_hs</v>
          </cell>
          <cell r="C12786" t="str">
            <v>Ley glycolipid</v>
          </cell>
        </row>
        <row r="12787">
          <cell r="A12787" t="str">
            <v>gacpail_hs_c</v>
          </cell>
          <cell r="B12787" t="str">
            <v>gacpail_hs</v>
          </cell>
          <cell r="C12787" t="str">
            <v>Glucosaminyl-acylphosphatidylinositol</v>
          </cell>
        </row>
        <row r="12788">
          <cell r="A12788" t="str">
            <v>galside_hs_c</v>
          </cell>
          <cell r="B12788" t="str">
            <v>galside_hs</v>
          </cell>
          <cell r="C12788" t="str">
            <v>Galactocerebroside (homo sapiens)</v>
          </cell>
        </row>
        <row r="12789">
          <cell r="A12789" t="str">
            <v>gd1c_hs_c</v>
          </cell>
          <cell r="B12789" t="str">
            <v>gd1c_hs</v>
          </cell>
          <cell r="C12789" t="str">
            <v>GD1c (homo sapiens)</v>
          </cell>
        </row>
        <row r="12790">
          <cell r="A12790" t="str">
            <v>gd3_hs_c</v>
          </cell>
          <cell r="B12790" t="str">
            <v>gd3_hs</v>
          </cell>
          <cell r="C12790" t="str">
            <v>GD3 (homo sapiens)</v>
          </cell>
        </row>
        <row r="12791">
          <cell r="A12791" t="str">
            <v>ggn_c</v>
          </cell>
          <cell r="B12791" t="str">
            <v>ggn</v>
          </cell>
          <cell r="C12791" t="str">
            <v>Primed glycogenin (glycogenin-8[1,4-Glc])</v>
          </cell>
        </row>
        <row r="12792">
          <cell r="A12792" t="str">
            <v>glygn1_c</v>
          </cell>
          <cell r="B12792" t="str">
            <v>glygn1</v>
          </cell>
          <cell r="C12792" t="str">
            <v>Glycogen, structure 1 (glycogenin-11[1,4-Glc])</v>
          </cell>
        </row>
        <row r="12793">
          <cell r="A12793" t="str">
            <v>gullac_c</v>
          </cell>
          <cell r="B12793" t="str">
            <v>gullac</v>
          </cell>
          <cell r="C12793" t="str">
            <v>L-Gulono-1,4-lactone</v>
          </cell>
        </row>
        <row r="12794">
          <cell r="A12794" t="str">
            <v>hestratriol_c</v>
          </cell>
          <cell r="B12794" t="str">
            <v>hestratriol</v>
          </cell>
          <cell r="C12794" t="str">
            <v>4,17 dihydroxy estradiol</v>
          </cell>
        </row>
        <row r="12795">
          <cell r="A12795" t="str">
            <v>hexccrn_c</v>
          </cell>
          <cell r="B12795" t="str">
            <v>hexccrn</v>
          </cell>
          <cell r="C12795" t="str">
            <v>Hexacosanoyl carnitine</v>
          </cell>
        </row>
        <row r="12796">
          <cell r="A12796" t="str">
            <v>homoval_c</v>
          </cell>
          <cell r="B12796" t="str">
            <v>homoval</v>
          </cell>
          <cell r="C12796" t="str">
            <v>Homovanillate</v>
          </cell>
        </row>
        <row r="12797">
          <cell r="A12797" t="str">
            <v>leuktrA4_c</v>
          </cell>
          <cell r="B12797" t="str">
            <v>leuktrA4</v>
          </cell>
          <cell r="C12797" t="str">
            <v>Leukotriene A4 cytosol</v>
          </cell>
        </row>
        <row r="12798">
          <cell r="A12798" t="str">
            <v>leuktrF4_c</v>
          </cell>
          <cell r="B12798" t="str">
            <v>leuktrF4</v>
          </cell>
          <cell r="C12798" t="str">
            <v>Leukotriene F4 cytosol</v>
          </cell>
        </row>
        <row r="12799">
          <cell r="A12799" t="str">
            <v>lgnccoa_c</v>
          </cell>
          <cell r="B12799" t="str">
            <v>lgnccoa</v>
          </cell>
          <cell r="C12799" t="str">
            <v>Lignocericyl coenzyme A</v>
          </cell>
        </row>
        <row r="12800">
          <cell r="A12800" t="str">
            <v>lgnccrn_c</v>
          </cell>
          <cell r="B12800" t="str">
            <v>lgnccrn</v>
          </cell>
          <cell r="C12800" t="str">
            <v>Lignoceryl carnitine</v>
          </cell>
        </row>
        <row r="12801">
          <cell r="A12801" t="str">
            <v>lnlccrn_c</v>
          </cell>
          <cell r="B12801" t="str">
            <v>lnlccrn</v>
          </cell>
          <cell r="C12801" t="str">
            <v>Linoleyl carnitine</v>
          </cell>
        </row>
        <row r="12802">
          <cell r="A12802" t="str">
            <v>lnlncg_c</v>
          </cell>
          <cell r="B12802" t="str">
            <v>lnlncg</v>
          </cell>
          <cell r="C12802" t="str">
            <v>Gamma-linolenic acid</v>
          </cell>
        </row>
        <row r="12803">
          <cell r="A12803" t="str">
            <v>m1mpdol__L_c</v>
          </cell>
          <cell r="B12803" t="str">
            <v>m1mpdol__L</v>
          </cell>
          <cell r="C12803" t="str">
            <v>Alpha-D-mannosyl-beta-D-mannosyl-diacylchitobiosyldiphosphodolichol, human liver homolog</v>
          </cell>
        </row>
        <row r="12804">
          <cell r="A12804" t="str">
            <v>m2mn_c</v>
          </cell>
          <cell r="B12804" t="str">
            <v>m2mn</v>
          </cell>
          <cell r="C12804" t="str">
            <v>(alpha-D-mannosyl)2-beta-D-mannosyl-N-acetylglucosamine</v>
          </cell>
        </row>
        <row r="12805">
          <cell r="A12805" t="str">
            <v>m2mpdol__L_c</v>
          </cell>
          <cell r="B12805" t="str">
            <v>m2mpdol__L</v>
          </cell>
          <cell r="C12805" t="str">
            <v>(alpha-D-mannosyl)2-beta-D-mannosyl-diacetylchitobiosyldiphosphodolichol, human liver homolog</v>
          </cell>
        </row>
        <row r="12806">
          <cell r="A12806" t="str">
            <v>m4mpdol__L_c</v>
          </cell>
          <cell r="B12806" t="str">
            <v>m4mpdol__L</v>
          </cell>
          <cell r="C12806" t="str">
            <v>(alpha-D-Mannosyl)4-beta-D-mannosyl-diacetylchitobiosyldiphosphodolichol, human liver homolog</v>
          </cell>
        </row>
        <row r="12807">
          <cell r="A12807" t="str">
            <v>m4mpdol_U_c</v>
          </cell>
          <cell r="B12807" t="str">
            <v>m4mpdol_U</v>
          </cell>
          <cell r="C12807" t="str">
            <v>(alpha-D-Mannosyl)4-beta-D-mannosyl-diacetylchitobiosyldiphosphodolichol, human uterine homolog</v>
          </cell>
        </row>
        <row r="12808">
          <cell r="A12808" t="str">
            <v>mag_hs_c</v>
          </cell>
          <cell r="B12808" t="str">
            <v>mag_hs</v>
          </cell>
          <cell r="C12808" t="str">
            <v>Monoacylglycerol 2 (homo sapiens)</v>
          </cell>
        </row>
        <row r="12809">
          <cell r="A12809" t="str">
            <v>mepi_c</v>
          </cell>
          <cell r="B12809" t="str">
            <v>mepi</v>
          </cell>
          <cell r="C12809" t="str">
            <v>Metanephrine</v>
          </cell>
        </row>
        <row r="12810">
          <cell r="A12810" t="str">
            <v>mercplac_c</v>
          </cell>
          <cell r="B12810" t="str">
            <v>mercplac</v>
          </cell>
          <cell r="C12810" t="str">
            <v>3-Mercaptolactate</v>
          </cell>
        </row>
        <row r="12811">
          <cell r="A12811" t="str">
            <v>mercplaccys_c</v>
          </cell>
          <cell r="B12811" t="str">
            <v>mercplaccys</v>
          </cell>
          <cell r="C12811" t="str">
            <v>3-mercaptolactate-cysteine disulfide</v>
          </cell>
        </row>
        <row r="12812">
          <cell r="A12812" t="str">
            <v>mi1346p_c</v>
          </cell>
          <cell r="B12812" t="str">
            <v>mi1346p</v>
          </cell>
          <cell r="C12812" t="str">
            <v>1D-myo-Inositol 1,3,4,6-tetrakisphosphate</v>
          </cell>
        </row>
        <row r="12813">
          <cell r="A12813" t="str">
            <v>mi3456p_c</v>
          </cell>
          <cell r="B12813" t="str">
            <v>mi3456p</v>
          </cell>
          <cell r="C12813" t="str">
            <v>1D-myo-Inositol 3,4,5,6-tetrakisphosphate</v>
          </cell>
        </row>
        <row r="12814">
          <cell r="A12814" t="str">
            <v>mi34p_c</v>
          </cell>
          <cell r="B12814" t="str">
            <v>mi34p</v>
          </cell>
          <cell r="C12814" t="str">
            <v>1D-myo-Inositol 3,4-bisphosphate</v>
          </cell>
        </row>
        <row r="12815">
          <cell r="A12815" t="str">
            <v>mma_c</v>
          </cell>
          <cell r="B12815" t="str">
            <v>mma</v>
          </cell>
          <cell r="C12815" t="str">
            <v>Methylamine</v>
          </cell>
        </row>
        <row r="12816">
          <cell r="A12816" t="str">
            <v>nformanth_c</v>
          </cell>
          <cell r="B12816" t="str">
            <v>nformanth</v>
          </cell>
          <cell r="C12816" t="str">
            <v>N-Formylanthranilate</v>
          </cell>
        </row>
        <row r="12817">
          <cell r="A12817" t="str">
            <v>nmptrc_c</v>
          </cell>
          <cell r="B12817" t="str">
            <v>nmptrc</v>
          </cell>
          <cell r="C12817" t="str">
            <v>N-Methylputrescine</v>
          </cell>
        </row>
        <row r="12818">
          <cell r="A12818" t="str">
            <v>normete__L_c</v>
          </cell>
          <cell r="B12818" t="str">
            <v>normete__L</v>
          </cell>
          <cell r="C12818" t="str">
            <v>L-Normetanephrine</v>
          </cell>
        </row>
        <row r="12819">
          <cell r="A12819" t="str">
            <v>nrvnc_c</v>
          </cell>
          <cell r="B12819" t="str">
            <v>nrvnc</v>
          </cell>
          <cell r="C12819" t="str">
            <v>Nervonic acid</v>
          </cell>
        </row>
        <row r="12820">
          <cell r="A12820" t="str">
            <v>nrvnccoa_c</v>
          </cell>
          <cell r="B12820" t="str">
            <v>nrvnccoa</v>
          </cell>
          <cell r="C12820" t="str">
            <v>Nervonyl coenzyme A</v>
          </cell>
        </row>
        <row r="12821">
          <cell r="A12821" t="str">
            <v>ntm2amep_c</v>
          </cell>
          <cell r="B12821" t="str">
            <v>ntm2amep</v>
          </cell>
          <cell r="C12821" t="str">
            <v>N-Trimethyl-2-aminoethylphosphonate</v>
          </cell>
        </row>
        <row r="12822">
          <cell r="A12822" t="str">
            <v>nwharg_c</v>
          </cell>
          <cell r="B12822" t="str">
            <v>nwharg</v>
          </cell>
          <cell r="C12822" t="str">
            <v>N-(omega)-Hydroxyarginine</v>
          </cell>
        </row>
        <row r="12823">
          <cell r="A12823" t="str">
            <v>oagd3_hs_c</v>
          </cell>
          <cell r="B12823" t="str">
            <v>oagd3_hs</v>
          </cell>
          <cell r="C12823" t="str">
            <v>9-O-Acetylated GD3 (homo sapiens)</v>
          </cell>
        </row>
        <row r="12824">
          <cell r="A12824" t="str">
            <v>paf_hs_c</v>
          </cell>
          <cell r="B12824" t="str">
            <v>paf_hs</v>
          </cell>
          <cell r="C12824" t="str">
            <v>1-alkyl 2-acteylglycerol 3-phosphocholine (homo sapiens)</v>
          </cell>
        </row>
        <row r="12825">
          <cell r="A12825" t="str">
            <v>pcreat_c</v>
          </cell>
          <cell r="B12825" t="str">
            <v>pcreat</v>
          </cell>
          <cell r="C12825" t="str">
            <v>Phosphocreatine</v>
          </cell>
        </row>
        <row r="12826">
          <cell r="A12826" t="str">
            <v>pd3_c</v>
          </cell>
          <cell r="B12826" t="str">
            <v>pd3</v>
          </cell>
          <cell r="C12826" t="str">
            <v>Previtamin D3</v>
          </cell>
        </row>
        <row r="12827">
          <cell r="A12827" t="str">
            <v>pe_hs_c</v>
          </cell>
          <cell r="B12827" t="str">
            <v>pe_hs</v>
          </cell>
          <cell r="C12827" t="str">
            <v>Phosphatidylethanolamine (homo sapiens)</v>
          </cell>
        </row>
        <row r="12828">
          <cell r="A12828" t="str">
            <v>pglyc_hs_c</v>
          </cell>
          <cell r="B12828" t="str">
            <v>pglyc_hs</v>
          </cell>
          <cell r="C12828" t="str">
            <v>Phosphatidylglycerol (homo sapiens)</v>
          </cell>
        </row>
        <row r="12829">
          <cell r="A12829" t="str">
            <v>phytcoa_c</v>
          </cell>
          <cell r="B12829" t="str">
            <v>phytcoa</v>
          </cell>
          <cell r="C12829" t="str">
            <v>Phytanoyl-CoA(4-)</v>
          </cell>
        </row>
        <row r="12830">
          <cell r="A12830" t="str">
            <v>prgnlones_c</v>
          </cell>
          <cell r="B12830" t="str">
            <v>prgnlones</v>
          </cell>
          <cell r="C12830" t="str">
            <v>Pregnenolone sulfate</v>
          </cell>
        </row>
        <row r="12831">
          <cell r="A12831" t="str">
            <v>prostg1_c</v>
          </cell>
          <cell r="B12831" t="str">
            <v>prostg1</v>
          </cell>
          <cell r="C12831" t="str">
            <v>(13E)-11alpha-Hydroxy-9,15-dioxoprost-13-enoate</v>
          </cell>
        </row>
        <row r="12832">
          <cell r="A12832" t="str">
            <v>ps_hs_c</v>
          </cell>
          <cell r="B12832" t="str">
            <v>ps_hs</v>
          </cell>
          <cell r="C12832" t="str">
            <v>Phosphatidylserine (homo sapiens)</v>
          </cell>
        </row>
        <row r="12833">
          <cell r="A12833" t="str">
            <v>ptdca_c</v>
          </cell>
          <cell r="B12833" t="str">
            <v>ptdca</v>
          </cell>
          <cell r="C12833" t="str">
            <v>Pentadecanoate  C150  C15H29O2</v>
          </cell>
        </row>
        <row r="12834">
          <cell r="A12834" t="str">
            <v>retinal_11_cis_c</v>
          </cell>
          <cell r="B12834" t="str">
            <v>retinal_11_cis</v>
          </cell>
          <cell r="C12834" t="str">
            <v>11-cis-Retinal</v>
          </cell>
        </row>
        <row r="12835">
          <cell r="A12835" t="str">
            <v>retinol_9_cis_c</v>
          </cell>
          <cell r="B12835" t="str">
            <v>retinol_9_cis</v>
          </cell>
          <cell r="C12835" t="str">
            <v>9-cis-retinol</v>
          </cell>
        </row>
        <row r="12836">
          <cell r="A12836" t="str">
            <v>retn_c</v>
          </cell>
          <cell r="B12836" t="str">
            <v>retn</v>
          </cell>
          <cell r="C12836" t="str">
            <v>Retinoate</v>
          </cell>
        </row>
        <row r="12837">
          <cell r="A12837" t="str">
            <v>s2l2n2m2m_c</v>
          </cell>
          <cell r="B12837" t="str">
            <v>s2l2n2m2m</v>
          </cell>
          <cell r="C12837" t="str">
            <v>De-Fuc form of PA6 (w/o peptide linkage)</v>
          </cell>
        </row>
        <row r="12838">
          <cell r="A12838" t="str">
            <v>sphs1p_c</v>
          </cell>
          <cell r="B12838" t="str">
            <v>sphs1p</v>
          </cell>
          <cell r="C12838" t="str">
            <v>Sphingosine 1-phosphate</v>
          </cell>
        </row>
        <row r="12839">
          <cell r="A12839" t="str">
            <v>strdnccoa_c</v>
          </cell>
          <cell r="B12839" t="str">
            <v>strdnccoa</v>
          </cell>
          <cell r="C12839" t="str">
            <v>Stearidonyl coenzyme A</v>
          </cell>
        </row>
        <row r="12840">
          <cell r="A12840" t="str">
            <v>tethex3coa_c</v>
          </cell>
          <cell r="B12840" t="str">
            <v>tethex3coa</v>
          </cell>
          <cell r="C12840" t="str">
            <v>Tetracosahexaenoyl coenzyme A</v>
          </cell>
        </row>
        <row r="12841">
          <cell r="A12841" t="str">
            <v>tetpent3coa_c</v>
          </cell>
          <cell r="B12841" t="str">
            <v>tetpent3coa</v>
          </cell>
          <cell r="C12841" t="str">
            <v>Tetracosapentaenoyl coenzyme A, n-3</v>
          </cell>
        </row>
        <row r="12842">
          <cell r="A12842" t="str">
            <v>tetpent6_c</v>
          </cell>
          <cell r="B12842" t="str">
            <v>tetpent6</v>
          </cell>
          <cell r="C12842" t="str">
            <v>Tetracosapentaenoic acid, n-6</v>
          </cell>
        </row>
        <row r="12843">
          <cell r="A12843" t="str">
            <v>tmndnc_c</v>
          </cell>
          <cell r="B12843" t="str">
            <v>tmndnc</v>
          </cell>
          <cell r="C12843" t="str">
            <v>Timnodonic acid C20:5, n-3</v>
          </cell>
        </row>
        <row r="12844">
          <cell r="A12844" t="str">
            <v>ts3_c</v>
          </cell>
          <cell r="B12844" t="str">
            <v>ts3</v>
          </cell>
          <cell r="C12844" t="str">
            <v>Tachysterol 3</v>
          </cell>
        </row>
        <row r="12845">
          <cell r="A12845" t="str">
            <v>tym_c</v>
          </cell>
          <cell r="B12845" t="str">
            <v>tym</v>
          </cell>
          <cell r="C12845" t="str">
            <v>Tyramine</v>
          </cell>
        </row>
        <row r="12846">
          <cell r="A12846" t="str">
            <v>vacc_c</v>
          </cell>
          <cell r="B12846" t="str">
            <v>vacc</v>
          </cell>
          <cell r="C12846" t="str">
            <v>Vaccenic acid</v>
          </cell>
        </row>
        <row r="12847">
          <cell r="A12847" t="str">
            <v>vitd2_c</v>
          </cell>
          <cell r="B12847" t="str">
            <v>vitd2</v>
          </cell>
          <cell r="C12847" t="str">
            <v>Vitamin D2; ergocalciferol</v>
          </cell>
        </row>
        <row r="12848">
          <cell r="A12848" t="str">
            <v>xoltri25_c</v>
          </cell>
          <cell r="B12848" t="str">
            <v>xoltri25</v>
          </cell>
          <cell r="C12848" t="str">
            <v>7-alpha,25-Dihydroxycholesterol</v>
          </cell>
        </row>
        <row r="12849">
          <cell r="A12849" t="str">
            <v>10fthf5glu_e</v>
          </cell>
          <cell r="B12849" t="str">
            <v>10fthf5glu</v>
          </cell>
          <cell r="C12849" t="str">
            <v>10-formyltetrahydrofolate-[Glu](5)</v>
          </cell>
        </row>
        <row r="12850">
          <cell r="A12850" t="str">
            <v>11_cis_retfa_e</v>
          </cell>
          <cell r="B12850" t="str">
            <v>11_cis_retfa</v>
          </cell>
          <cell r="C12850" t="str">
            <v>Fatty acid 11-cis-retinol</v>
          </cell>
        </row>
        <row r="12851">
          <cell r="A12851" t="str">
            <v>1glyc_hs_e</v>
          </cell>
          <cell r="B12851" t="str">
            <v>1glyc_hs</v>
          </cell>
          <cell r="C12851" t="str">
            <v>1 acyl phosphoglycerol</v>
          </cell>
        </row>
        <row r="12852">
          <cell r="A12852" t="str">
            <v>2425dhvitd2_e</v>
          </cell>
          <cell r="B12852" t="str">
            <v>2425dhvitd2</v>
          </cell>
          <cell r="C12852" t="str">
            <v>24R,25-Dihyoxyvitamin D2</v>
          </cell>
        </row>
        <row r="12853">
          <cell r="A12853" t="str">
            <v>24nph_e</v>
          </cell>
          <cell r="B12853" t="str">
            <v>24nph</v>
          </cell>
          <cell r="C12853" t="str">
            <v>2,4 dihydroxy nitrophenol</v>
          </cell>
        </row>
        <row r="12854">
          <cell r="A12854" t="str">
            <v>2mcit_e</v>
          </cell>
          <cell r="B12854" t="str">
            <v>2mcit</v>
          </cell>
          <cell r="C12854" t="str">
            <v>2-Methylcitrate</v>
          </cell>
        </row>
        <row r="12855">
          <cell r="A12855" t="str">
            <v>34dhoxpeg_e</v>
          </cell>
          <cell r="B12855" t="str">
            <v>34dhoxpeg</v>
          </cell>
          <cell r="C12855" t="str">
            <v>3,4-Dihydroxyphenylethyleneglycol</v>
          </cell>
        </row>
        <row r="12856">
          <cell r="A12856" t="str">
            <v>3aib_e</v>
          </cell>
          <cell r="B12856" t="str">
            <v>3aib</v>
          </cell>
          <cell r="C12856" t="str">
            <v>L-3-Amino-isobutanoate</v>
          </cell>
        </row>
        <row r="12857">
          <cell r="A12857" t="str">
            <v>4nph_e</v>
          </cell>
          <cell r="B12857" t="str">
            <v>4nph</v>
          </cell>
          <cell r="C12857" t="str">
            <v>4-Nitrophenol</v>
          </cell>
        </row>
        <row r="12858">
          <cell r="A12858" t="str">
            <v>5adtststerones_e</v>
          </cell>
          <cell r="B12858" t="str">
            <v>5adtststerones</v>
          </cell>
          <cell r="C12858" t="str">
            <v>5alpha-Dihydrotestosterone sulfate</v>
          </cell>
        </row>
        <row r="12859">
          <cell r="A12859" t="str">
            <v>5fthf_e</v>
          </cell>
          <cell r="B12859" t="str">
            <v>5fthf</v>
          </cell>
          <cell r="C12859" t="str">
            <v>5-Formyltetrahydrofolate</v>
          </cell>
        </row>
        <row r="12860">
          <cell r="A12860" t="str">
            <v>5homeprazole_e</v>
          </cell>
          <cell r="B12860" t="str">
            <v>5homeprazole</v>
          </cell>
          <cell r="C12860" t="str">
            <v>5homeprazole c</v>
          </cell>
        </row>
        <row r="12861">
          <cell r="A12861" t="str">
            <v>5mthf_e</v>
          </cell>
          <cell r="B12861" t="str">
            <v>5mthf</v>
          </cell>
          <cell r="C12861" t="str">
            <v>5-Methyltetrahydrofolate</v>
          </cell>
        </row>
        <row r="12862">
          <cell r="A12862" t="str">
            <v>6htststerone_e</v>
          </cell>
          <cell r="B12862" t="str">
            <v>6htststerone</v>
          </cell>
          <cell r="C12862" t="str">
            <v>6 beta hydroxy testosterone</v>
          </cell>
        </row>
        <row r="12863">
          <cell r="A12863" t="str">
            <v>7dhf_e</v>
          </cell>
          <cell r="B12863" t="str">
            <v>7dhf</v>
          </cell>
          <cell r="C12863" t="str">
            <v>Heptaglutamyl folate (DHF)</v>
          </cell>
        </row>
        <row r="12864">
          <cell r="A12864" t="str">
            <v>7thf_e</v>
          </cell>
          <cell r="B12864" t="str">
            <v>7thf</v>
          </cell>
          <cell r="C12864" t="str">
            <v>Heptaglutamyl folate (THF)</v>
          </cell>
        </row>
        <row r="12865">
          <cell r="A12865" t="str">
            <v>9_cis_retfa_e</v>
          </cell>
          <cell r="B12865" t="str">
            <v>9_cis_retfa</v>
          </cell>
          <cell r="C12865" t="str">
            <v>Fatty acid 9-cis-retinol</v>
          </cell>
        </row>
        <row r="12866">
          <cell r="A12866" t="str">
            <v>acn23acngalgbside_hs_e</v>
          </cell>
          <cell r="B12866" t="str">
            <v>acn23acngalgbside_hs</v>
          </cell>
          <cell r="C12866" t="str">
            <v>Sialyl (2,3) sialyl (2,6) galactosylgloboside (homo sapiens)</v>
          </cell>
        </row>
        <row r="12867">
          <cell r="A12867" t="str">
            <v>acnacngalgbside_hs_e</v>
          </cell>
          <cell r="B12867" t="str">
            <v>acnacngalgbside_hs</v>
          </cell>
          <cell r="C12867" t="str">
            <v>Disialyl galactosylgloboside (homo sapiens)</v>
          </cell>
        </row>
        <row r="12868">
          <cell r="A12868" t="str">
            <v>adrnl_e</v>
          </cell>
          <cell r="B12868" t="str">
            <v>adrnl</v>
          </cell>
          <cell r="C12868" t="str">
            <v>Adrenaline</v>
          </cell>
        </row>
        <row r="12869">
          <cell r="A12869" t="str">
            <v>aflatoxin_e</v>
          </cell>
          <cell r="B12869" t="str">
            <v>aflatoxin</v>
          </cell>
          <cell r="C12869" t="str">
            <v>Aflatoxin c</v>
          </cell>
        </row>
        <row r="12870">
          <cell r="A12870" t="str">
            <v>aldstrn_e</v>
          </cell>
          <cell r="B12870" t="str">
            <v>aldstrn</v>
          </cell>
          <cell r="C12870" t="str">
            <v>Aldstrn c</v>
          </cell>
        </row>
        <row r="12871">
          <cell r="A12871" t="str">
            <v>andrstrnglc_e</v>
          </cell>
          <cell r="B12871" t="str">
            <v>andrstrnglc</v>
          </cell>
          <cell r="C12871" t="str">
            <v>Androsterone glucuronide</v>
          </cell>
        </row>
        <row r="12872">
          <cell r="A12872" t="str">
            <v>aprgstrn_e</v>
          </cell>
          <cell r="B12872" t="str">
            <v>aprgstrn</v>
          </cell>
          <cell r="C12872" t="str">
            <v>20alpha-Hydroxyprogesterone</v>
          </cell>
        </row>
        <row r="12873">
          <cell r="A12873" t="str">
            <v>aqcobal_e</v>
          </cell>
          <cell r="B12873" t="str">
            <v>aqcobal</v>
          </cell>
          <cell r="C12873" t="str">
            <v>Aquacob(III)alamin</v>
          </cell>
        </row>
        <row r="12874">
          <cell r="A12874" t="str">
            <v>arach_e</v>
          </cell>
          <cell r="B12874" t="str">
            <v>arach</v>
          </cell>
          <cell r="C12874" t="str">
            <v>Arachidic acid</v>
          </cell>
        </row>
        <row r="12875">
          <cell r="A12875" t="str">
            <v>carveol_e</v>
          </cell>
          <cell r="B12875" t="str">
            <v>carveol</v>
          </cell>
          <cell r="C12875" t="str">
            <v>(-)-trans-carveol</v>
          </cell>
        </row>
        <row r="12876">
          <cell r="A12876" t="str">
            <v>clpnd_e</v>
          </cell>
          <cell r="B12876" t="str">
            <v>clpnd</v>
          </cell>
          <cell r="C12876" t="str">
            <v>Clupanodonic acid</v>
          </cell>
        </row>
        <row r="12877">
          <cell r="A12877" t="str">
            <v>cspg_a_e</v>
          </cell>
          <cell r="B12877" t="str">
            <v>cspg_a</v>
          </cell>
          <cell r="C12877" t="str">
            <v>Chondroitin sulfate A (GalNAc4S-GlcA) proteoglycan</v>
          </cell>
        </row>
        <row r="12878">
          <cell r="A12878" t="str">
            <v>cspg_b_e</v>
          </cell>
          <cell r="B12878" t="str">
            <v>cspg_b</v>
          </cell>
          <cell r="C12878" t="str">
            <v>Chondroitin sulfate B / dermatan sulfate (IdoA2S-GalNAc4S) proteoglycan</v>
          </cell>
        </row>
        <row r="12879">
          <cell r="A12879" t="str">
            <v>dopasf_e</v>
          </cell>
          <cell r="B12879" t="str">
            <v>dopasf</v>
          </cell>
          <cell r="C12879" t="str">
            <v>Dopamine 3-O-sulfate</v>
          </cell>
        </row>
        <row r="12880">
          <cell r="A12880" t="str">
            <v>eaflatoxin_e</v>
          </cell>
          <cell r="B12880" t="str">
            <v>eaflatoxin</v>
          </cell>
          <cell r="C12880" t="str">
            <v>8,9 epxoy aflatoxin B1</v>
          </cell>
        </row>
        <row r="12881">
          <cell r="A12881" t="str">
            <v>estradiolglc_e</v>
          </cell>
          <cell r="B12881" t="str">
            <v>estradiolglc</v>
          </cell>
          <cell r="C12881" t="str">
            <v>17beta-estradiol 3-glucosiduronic acid</v>
          </cell>
        </row>
        <row r="12882">
          <cell r="A12882" t="str">
            <v>fuc13galacglcgal14acglcgalgluside_hs_e</v>
          </cell>
          <cell r="B12882" t="str">
            <v>fuc13galacglcgal14acglcgalgluside_hs</v>
          </cell>
          <cell r="C12882" t="str">
            <v>III3Fuc-nLc6Cer</v>
          </cell>
        </row>
        <row r="12883">
          <cell r="A12883" t="str">
            <v>fuc14galacglcgalgluside_hs_e</v>
          </cell>
          <cell r="B12883" t="str">
            <v>fuc14galacglcgalgluside_hs</v>
          </cell>
          <cell r="C12883" t="str">
            <v>Lea glycolipid</v>
          </cell>
        </row>
        <row r="12884">
          <cell r="A12884" t="str">
            <v>fucacgalfucgalacglcgalgluside_hs_e</v>
          </cell>
          <cell r="B12884" t="str">
            <v>fucacgalfucgalacglcgalgluside_hs</v>
          </cell>
          <cell r="C12884" t="str">
            <v>(Gal)2 (GalNAc)1 (Glc)1 (GlcNAc)1 (LFuc)2 (Cer)1</v>
          </cell>
        </row>
        <row r="12885">
          <cell r="A12885" t="str">
            <v>fucfucfucgalacglc13galacglcgal14acglcgalgluside_hs_e</v>
          </cell>
          <cell r="B12885" t="str">
            <v>fucfucfucgalacglc13galacglcgal14acglcgalgluside_hs</v>
          </cell>
          <cell r="C12885" t="str">
            <v>(Gal)4 (Glc)1 (GlcNAc)3 (LFuc)3 (Cer)1</v>
          </cell>
        </row>
        <row r="12886">
          <cell r="A12886" t="str">
            <v>galacglcgalgbside_hs_e</v>
          </cell>
          <cell r="B12886" t="str">
            <v>galacglcgalgbside_hs</v>
          </cell>
          <cell r="C12886" t="str">
            <v>Gal-GlcNAc-Gal globoside (homo sapiens)</v>
          </cell>
        </row>
        <row r="12887">
          <cell r="A12887" t="str">
            <v>galfucgalacglcgal14acglcgalgluside_hs_e</v>
          </cell>
          <cell r="B12887" t="str">
            <v>galfucgalacglcgal14acglcgalgluside_hs</v>
          </cell>
          <cell r="C12887" t="str">
            <v>(Gal)4 (Glc)1 (GlcNAc)2 (LFuc)1 (Cer)1</v>
          </cell>
        </row>
        <row r="12888">
          <cell r="A12888" t="str">
            <v>gdchola_e</v>
          </cell>
          <cell r="B12888" t="str">
            <v>gdchola</v>
          </cell>
          <cell r="C12888" t="str">
            <v>Glycochenodeoxycholate</v>
          </cell>
        </row>
        <row r="12889">
          <cell r="A12889" t="str">
            <v>glyc__S_e</v>
          </cell>
          <cell r="B12889" t="str">
            <v>glyc__S</v>
          </cell>
          <cell r="C12889" t="str">
            <v>(S)-Glycerate</v>
          </cell>
        </row>
        <row r="12890">
          <cell r="A12890" t="str">
            <v>glygn2_e</v>
          </cell>
          <cell r="B12890" t="str">
            <v>glygn2</v>
          </cell>
          <cell r="C12890" t="str">
            <v>Glycogen, structure 2 (glycogenin-1,6-{7[1,4-Glc], 4[1,4-Glc]})</v>
          </cell>
        </row>
        <row r="12891">
          <cell r="A12891" t="str">
            <v>glygn4_e</v>
          </cell>
          <cell r="B12891" t="str">
            <v>glygn4</v>
          </cell>
          <cell r="C12891" t="str">
            <v>Glycogen, structure 4 (glycogenin-1,6-{2[1,4-Glc], [1,4-Glc]})</v>
          </cell>
        </row>
        <row r="12892">
          <cell r="A12892" t="str">
            <v>gp1c_hs_e</v>
          </cell>
          <cell r="B12892" t="str">
            <v>gp1c_hs</v>
          </cell>
          <cell r="C12892" t="str">
            <v>GP1c (homo sapiens)</v>
          </cell>
        </row>
        <row r="12893">
          <cell r="A12893" t="str">
            <v>gp1calpha_hs_e</v>
          </cell>
          <cell r="B12893" t="str">
            <v>gp1calpha_hs</v>
          </cell>
          <cell r="C12893" t="str">
            <v>GP1c alpha  (homo sapiens)</v>
          </cell>
        </row>
        <row r="12894">
          <cell r="A12894" t="str">
            <v>gt1a_hs_e</v>
          </cell>
          <cell r="B12894" t="str">
            <v>gt1a_hs</v>
          </cell>
          <cell r="C12894" t="str">
            <v>GT1a (homo sapiens)</v>
          </cell>
        </row>
        <row r="12895">
          <cell r="A12895" t="str">
            <v>hcoumarin_e</v>
          </cell>
          <cell r="B12895" t="str">
            <v>hcoumarin</v>
          </cell>
          <cell r="C12895" t="str">
            <v>Umbelliferone; 7-Hydroxy-2H-1-Benzopyran-2-one</v>
          </cell>
        </row>
        <row r="12896">
          <cell r="A12896" t="str">
            <v>hspg_e</v>
          </cell>
          <cell r="B12896" t="str">
            <v>hspg</v>
          </cell>
          <cell r="C12896" t="str">
            <v>Heparan sulfate proteoglycan</v>
          </cell>
        </row>
        <row r="12897">
          <cell r="A12897" t="str">
            <v>htaxol_e</v>
          </cell>
          <cell r="B12897" t="str">
            <v>htaxol</v>
          </cell>
          <cell r="C12897" t="str">
            <v>Hydroxylated taxol</v>
          </cell>
        </row>
        <row r="12898">
          <cell r="A12898" t="str">
            <v>i_e</v>
          </cell>
          <cell r="B12898" t="str">
            <v>i</v>
          </cell>
          <cell r="C12898" t="str">
            <v>I c</v>
          </cell>
        </row>
        <row r="12899">
          <cell r="A12899" t="str">
            <v>ksii_core4_e</v>
          </cell>
          <cell r="B12899" t="str">
            <v>ksii_core4</v>
          </cell>
          <cell r="C12899" t="str">
            <v>Keratan sulfate II (core 4-linked)</v>
          </cell>
        </row>
        <row r="12900">
          <cell r="A12900" t="str">
            <v>lneldc_e</v>
          </cell>
          <cell r="B12900" t="str">
            <v>lneldc</v>
          </cell>
          <cell r="C12900" t="str">
            <v>Linoelaidic acid (all trans C18:2)</v>
          </cell>
        </row>
        <row r="12901">
          <cell r="A12901" t="str">
            <v>oagt3_hs_e</v>
          </cell>
          <cell r="B12901" t="str">
            <v>oagt3_hs</v>
          </cell>
          <cell r="C12901" t="str">
            <v>9-O-Acetylated GT3 (homo sapiens)</v>
          </cell>
        </row>
        <row r="12902">
          <cell r="A12902" t="str">
            <v>onpthl_e</v>
          </cell>
          <cell r="B12902" t="str">
            <v>onpthl</v>
          </cell>
          <cell r="C12902" t="str">
            <v>Naphthalene epoxide</v>
          </cell>
        </row>
        <row r="12903">
          <cell r="A12903" t="str">
            <v>perillyl_e</v>
          </cell>
          <cell r="B12903" t="str">
            <v>perillyl</v>
          </cell>
          <cell r="C12903" t="str">
            <v>Perillyl alcohol</v>
          </cell>
        </row>
        <row r="12904">
          <cell r="A12904" t="str">
            <v>phllqne_e</v>
          </cell>
          <cell r="B12904" t="str">
            <v>phllqne</v>
          </cell>
          <cell r="C12904" t="str">
            <v>Phylloquinone</v>
          </cell>
        </row>
        <row r="12905">
          <cell r="A12905" t="str">
            <v>pro__D_e</v>
          </cell>
          <cell r="B12905" t="str">
            <v>pro__D</v>
          </cell>
          <cell r="C12905" t="str">
            <v>D-Proline</v>
          </cell>
        </row>
        <row r="12906">
          <cell r="A12906" t="str">
            <v>prostge2_e</v>
          </cell>
          <cell r="B12906" t="str">
            <v>prostge2</v>
          </cell>
          <cell r="C12906" t="str">
            <v>Prostaglandin E2</v>
          </cell>
        </row>
        <row r="12907">
          <cell r="A12907" t="str">
            <v>prostgi2_e</v>
          </cell>
          <cell r="B12907" t="str">
            <v>prostgi2</v>
          </cell>
          <cell r="C12907" t="str">
            <v>Prostaglandin I2</v>
          </cell>
        </row>
        <row r="12908">
          <cell r="A12908" t="str">
            <v>retinol_e</v>
          </cell>
          <cell r="B12908" t="str">
            <v>retinol</v>
          </cell>
          <cell r="C12908" t="str">
            <v>All-trans-Retinol</v>
          </cell>
        </row>
        <row r="12909">
          <cell r="A12909" t="str">
            <v>retnglc_e</v>
          </cell>
          <cell r="B12909" t="str">
            <v>retnglc</v>
          </cell>
          <cell r="C12909" t="str">
            <v>Retinoyl glucuronide</v>
          </cell>
        </row>
        <row r="12910">
          <cell r="A12910" t="str">
            <v>sl__L_e</v>
          </cell>
          <cell r="B12910" t="str">
            <v>sl__L</v>
          </cell>
          <cell r="C12910" t="str">
            <v>Sl  L c</v>
          </cell>
        </row>
        <row r="12911">
          <cell r="A12911" t="str">
            <v>srtn_e</v>
          </cell>
          <cell r="B12911" t="str">
            <v>srtn</v>
          </cell>
          <cell r="C12911" t="str">
            <v>Serotonin</v>
          </cell>
        </row>
        <row r="12912">
          <cell r="A12912" t="str">
            <v>strch1_e</v>
          </cell>
          <cell r="B12912" t="str">
            <v>strch1</v>
          </cell>
          <cell r="C12912" t="str">
            <v>Starch, structure 1 (1,6-{7[1,4-Glc], 4[1,4-Glc]})</v>
          </cell>
        </row>
        <row r="12913">
          <cell r="A12913" t="str">
            <v>tethex3_e</v>
          </cell>
          <cell r="B12913" t="str">
            <v>tethex3</v>
          </cell>
          <cell r="C12913" t="str">
            <v>Tetracosahexaenoic acid, n-3</v>
          </cell>
        </row>
        <row r="12914">
          <cell r="A12914" t="str">
            <v>thf_e</v>
          </cell>
          <cell r="B12914" t="str">
            <v>thf</v>
          </cell>
          <cell r="C12914" t="str">
            <v>5,6,7,8-Tetrahydrofolate</v>
          </cell>
        </row>
        <row r="12915">
          <cell r="A12915" t="str">
            <v>thmtp_e</v>
          </cell>
          <cell r="B12915" t="str">
            <v>thmtp</v>
          </cell>
          <cell r="C12915" t="str">
            <v>Thiamin triphosphate C12H16N4O10P3S</v>
          </cell>
        </row>
        <row r="12916">
          <cell r="A12916" t="str">
            <v>thyox__L_e</v>
          </cell>
          <cell r="B12916" t="str">
            <v>thyox__L</v>
          </cell>
          <cell r="C12916" t="str">
            <v>L-Thyroxine</v>
          </cell>
        </row>
        <row r="12917">
          <cell r="A12917" t="str">
            <v>triodthy_e</v>
          </cell>
          <cell r="B12917" t="str">
            <v>triodthy</v>
          </cell>
          <cell r="C12917" t="str">
            <v>Triiodothyronine</v>
          </cell>
        </row>
        <row r="12918">
          <cell r="A12918" t="str">
            <v>tststerones_e</v>
          </cell>
          <cell r="B12918" t="str">
            <v>tststerones</v>
          </cell>
          <cell r="C12918" t="str">
            <v>Tststerones c</v>
          </cell>
        </row>
        <row r="12919">
          <cell r="A12919" t="str">
            <v>vitd3_e</v>
          </cell>
          <cell r="B12919" t="str">
            <v>vitd3</v>
          </cell>
          <cell r="C12919" t="str">
            <v>Calciol; (+)-Vitamin D3</v>
          </cell>
        </row>
        <row r="12920">
          <cell r="A12920" t="str">
            <v>whddca_e</v>
          </cell>
          <cell r="B12920" t="str">
            <v>whddca</v>
          </cell>
          <cell r="C12920" t="str">
            <v>Omega hydroxy dodecanoate (n-C12:0)</v>
          </cell>
        </row>
        <row r="12921">
          <cell r="A12921" t="str">
            <v>xoltri24_e</v>
          </cell>
          <cell r="B12921" t="str">
            <v>xoltri24</v>
          </cell>
          <cell r="C12921" t="str">
            <v>7-alpha,24(S)-Dihydroxycholesterol</v>
          </cell>
        </row>
        <row r="12922">
          <cell r="A12922" t="str">
            <v>35cgmp_g</v>
          </cell>
          <cell r="B12922" t="str">
            <v>35cgmp</v>
          </cell>
          <cell r="C12922" t="str">
            <v>3',5'-Cyclic GMP</v>
          </cell>
        </row>
        <row r="12923">
          <cell r="A12923" t="str">
            <v>Ser_Thr_g</v>
          </cell>
          <cell r="B12923" t="str">
            <v>Ser_Thr</v>
          </cell>
          <cell r="C12923" t="str">
            <v>Ser FSLASH Thr g</v>
          </cell>
        </row>
        <row r="12924">
          <cell r="A12924" t="str">
            <v>T_antigen_g</v>
          </cell>
          <cell r="B12924" t="str">
            <v>T_antigen</v>
          </cell>
          <cell r="C12924" t="str">
            <v>T antigen (core 1)</v>
          </cell>
        </row>
        <row r="12925">
          <cell r="A12925" t="str">
            <v>Tn_antigen_g</v>
          </cell>
          <cell r="B12925" t="str">
            <v>Tn_antigen</v>
          </cell>
          <cell r="C12925" t="str">
            <v>Tn antigen g</v>
          </cell>
        </row>
        <row r="12926">
          <cell r="A12926" t="str">
            <v>acgal_g</v>
          </cell>
          <cell r="B12926" t="str">
            <v>acgal</v>
          </cell>
          <cell r="C12926" t="str">
            <v>N-Acetyl-D-galactosamine</v>
          </cell>
        </row>
        <row r="12927">
          <cell r="A12927" t="str">
            <v>acgalfucgalacgalfucgalacglcgal14acglcgalgluside_hs_g</v>
          </cell>
          <cell r="B12927" t="str">
            <v>acgalfucgalacgalfucgalacglcgal14acglcgalgluside_hs</v>
          </cell>
          <cell r="C12927" t="str">
            <v>Type IIIAb</v>
          </cell>
        </row>
        <row r="12928">
          <cell r="A12928" t="str">
            <v>acglcgalacglcgal14acglcgalgluside_hs_g</v>
          </cell>
          <cell r="B12928" t="str">
            <v>acglcgalacglcgal14acglcgalgluside_hs</v>
          </cell>
          <cell r="C12928" t="str">
            <v>(Gal)3 (Glc)1 (GlcNAc)3 (Cer)1</v>
          </cell>
        </row>
        <row r="12929">
          <cell r="A12929" t="str">
            <v>acn13acngalgbside_hs_g</v>
          </cell>
          <cell r="B12929" t="str">
            <v>acn13acngalgbside_hs</v>
          </cell>
          <cell r="C12929" t="str">
            <v>Sialyl (1,3) sialyl (2,6) galactosylgloboside (homo sapiens)</v>
          </cell>
        </row>
        <row r="12930">
          <cell r="A12930" t="str">
            <v>acngal14acglcgalgluside_hs_g</v>
          </cell>
          <cell r="B12930" t="str">
            <v>acngal14acglcgalgluside_hs</v>
          </cell>
          <cell r="C12930" t="str">
            <v>Sialyl-3-paragloboside</v>
          </cell>
        </row>
        <row r="12931">
          <cell r="A12931" t="str">
            <v>core2_g</v>
          </cell>
          <cell r="B12931" t="str">
            <v>core2</v>
          </cell>
          <cell r="C12931" t="str">
            <v>Core2 g</v>
          </cell>
        </row>
        <row r="12932">
          <cell r="A12932" t="str">
            <v>crm_hs_g</v>
          </cell>
          <cell r="B12932" t="str">
            <v>crm_hs</v>
          </cell>
          <cell r="C12932" t="str">
            <v>Ceramide (homo sapiens)</v>
          </cell>
        </row>
        <row r="12933">
          <cell r="A12933" t="str">
            <v>cs_hs_linkage_g</v>
          </cell>
          <cell r="B12933" t="str">
            <v>cs_hs_linkage</v>
          </cell>
          <cell r="C12933" t="str">
            <v>Chondroitin sulfate/heparan sulfate linkage region (GlcA-(Gal)2-Xyl-L-Ser (protein))</v>
          </cell>
        </row>
        <row r="12934">
          <cell r="A12934" t="str">
            <v>cs_a_b_e_pre1_g</v>
          </cell>
          <cell r="B12934" t="str">
            <v>cs_a_b_e_pre1</v>
          </cell>
          <cell r="C12934" t="str">
            <v>Chondroitin sulfate A (GalNAc4S-GlcA), B (IdoA2S-GalNAc4S), and E (GalNAc4,6diS-GlcA), precursor 1</v>
          </cell>
        </row>
        <row r="12935">
          <cell r="A12935" t="str">
            <v>cs_b_pre4_g</v>
          </cell>
          <cell r="B12935" t="str">
            <v>cs_b_pre4</v>
          </cell>
          <cell r="C12935" t="str">
            <v>Chondroitin sulfate B (IdoA2S-GalNAc4S), precursor 4</v>
          </cell>
        </row>
        <row r="12936">
          <cell r="A12936" t="str">
            <v>cs_b_pre5_g</v>
          </cell>
          <cell r="B12936" t="str">
            <v>cs_b_pre5</v>
          </cell>
          <cell r="C12936" t="str">
            <v>Chondroitin sulfate B (IdoA2S-GalNAc4s), precursor 5</v>
          </cell>
        </row>
        <row r="12937">
          <cell r="A12937" t="str">
            <v>cs_c_pre2_g</v>
          </cell>
          <cell r="B12937" t="str">
            <v>cs_c_pre2</v>
          </cell>
          <cell r="C12937" t="str">
            <v>Chondroitin sulfate C (GalNAc6S-GlcA), precursor 2</v>
          </cell>
        </row>
        <row r="12938">
          <cell r="A12938" t="str">
            <v>cs_e_pre5b_g</v>
          </cell>
          <cell r="B12938" t="str">
            <v>cs_e_pre5b</v>
          </cell>
          <cell r="C12938" t="str">
            <v>Chondroitin sulfate E (GalNAc4,6diS-GlcA), precursor 5b</v>
          </cell>
        </row>
        <row r="12939">
          <cell r="A12939" t="str">
            <v>cspg_e_g</v>
          </cell>
          <cell r="B12939" t="str">
            <v>cspg_e</v>
          </cell>
          <cell r="C12939" t="str">
            <v>Chondroitin sulfate E (GalNAc4,6diS-GlcA) proteoglycan</v>
          </cell>
        </row>
        <row r="12940">
          <cell r="A12940" t="str">
            <v>fucacngal14acglcgalgluside_hs_g</v>
          </cell>
          <cell r="B12940" t="str">
            <v>fucacngal14acglcgalgluside_hs</v>
          </cell>
          <cell r="C12940" t="str">
            <v>IV3-a-NeuAc,III3-a-Fuc-nLc4Cer</v>
          </cell>
        </row>
        <row r="12941">
          <cell r="A12941" t="str">
            <v>fucacngalacglcgalgluside_hs_g</v>
          </cell>
          <cell r="B12941" t="str">
            <v>fucacngalacglcgalgluside_hs</v>
          </cell>
          <cell r="C12941" t="str">
            <v>IV3-a-Neu5Ac,III4-a-Fuc-Lc4Cer</v>
          </cell>
        </row>
        <row r="12942">
          <cell r="A12942" t="str">
            <v>fucfucgalacglcgalgluside_hs_g</v>
          </cell>
          <cell r="B12942" t="str">
            <v>fucfucgalacglcgalgluside_hs</v>
          </cell>
          <cell r="C12942" t="str">
            <v>Leb glycolipid</v>
          </cell>
        </row>
        <row r="12943">
          <cell r="A12943" t="str">
            <v>fucgalacglc13galacglcgal14acglcgalgluside_hs_g</v>
          </cell>
          <cell r="B12943" t="str">
            <v>fucgalacglc13galacglcgal14acglcgalgluside_hs</v>
          </cell>
          <cell r="C12943" t="str">
            <v>(Gal)4 (Glc)1 (GlcNAc)3 (LFuc)1 (Cer)1</v>
          </cell>
        </row>
        <row r="12944">
          <cell r="A12944" t="str">
            <v>fucgalacglcgalgluside_hs_g</v>
          </cell>
          <cell r="B12944" t="str">
            <v>fucgalacglcgalgluside_hs</v>
          </cell>
          <cell r="C12944" t="str">
            <v>Type IH glycolipid</v>
          </cell>
        </row>
        <row r="12945">
          <cell r="A12945" t="str">
            <v>fucgalfucgalacglcgalgluside_hs_g</v>
          </cell>
          <cell r="B12945" t="str">
            <v>fucgalfucgalacglcgalgluside_hs</v>
          </cell>
          <cell r="C12945" t="str">
            <v>(Gal)3 (Glc)1 (GlcNAc)1 (LFuc)2 (Cer)1</v>
          </cell>
        </row>
        <row r="12946">
          <cell r="A12946" t="str">
            <v>g1m6masnB1_g</v>
          </cell>
          <cell r="B12946" t="str">
            <v>g1m6masnB1</v>
          </cell>
          <cell r="C12946" t="str">
            <v>Glucosyl-(alpha-D-mannosyl)6-beta-D-mannosyl-diacetylchitobiosyl-L-asparagine (protein)</v>
          </cell>
        </row>
        <row r="12947">
          <cell r="A12947" t="str">
            <v>gal14acglcgalgluside_hs_g</v>
          </cell>
          <cell r="B12947" t="str">
            <v>gal14acglcgalgluside_hs</v>
          </cell>
          <cell r="C12947" t="str">
            <v>Lactoneotetraosylceramide</v>
          </cell>
        </row>
        <row r="12948">
          <cell r="A12948" t="str">
            <v>galacglcgalgluside_hs_g</v>
          </cell>
          <cell r="B12948" t="str">
            <v>galacglcgalgluside_hs</v>
          </cell>
          <cell r="C12948" t="str">
            <v>Lc4Cer</v>
          </cell>
        </row>
        <row r="12949">
          <cell r="A12949" t="str">
            <v>galfuc12gal14acglcgalgluside_hs_g</v>
          </cell>
          <cell r="B12949" t="str">
            <v>galfuc12gal14acglcgalgluside_hs</v>
          </cell>
          <cell r="C12949" t="str">
            <v>(Gal)3 (Glc)1 (GlcNAc)1 (LFuc)1 (Cer)1</v>
          </cell>
        </row>
        <row r="12950">
          <cell r="A12950" t="str">
            <v>galgalfucfucgalacglcgalacglcgal14acglcgalgluside_hs_g</v>
          </cell>
          <cell r="B12950" t="str">
            <v>galgalfucfucgalacglcgalacglcgal14acglcgalgluside_hs</v>
          </cell>
          <cell r="C12950" t="str">
            <v>(Gal)6 (Glc)1 (GlcNAc)3 (LFuc)2 (Cer)1</v>
          </cell>
        </row>
        <row r="12951">
          <cell r="A12951" t="str">
            <v>galgalgalthcrm_hs_g</v>
          </cell>
          <cell r="B12951" t="str">
            <v>galgalgalthcrm_hs</v>
          </cell>
          <cell r="C12951" t="str">
            <v>Gal-Gal-Gal-Gal-Gal-Glc-Cer (homo sapiens)</v>
          </cell>
        </row>
        <row r="12952">
          <cell r="A12952" t="str">
            <v>gd1alpha_hs_g</v>
          </cell>
          <cell r="B12952" t="str">
            <v>gd1alpha_hs</v>
          </cell>
          <cell r="C12952" t="str">
            <v>GD1a (homo sapiens)</v>
          </cell>
        </row>
        <row r="12953">
          <cell r="A12953" t="str">
            <v>glc2man_g</v>
          </cell>
          <cell r="B12953" t="str">
            <v>glc2man</v>
          </cell>
          <cell r="C12953" t="str">
            <v>(2)[glucose-1,3]-mannose oligosaccharide</v>
          </cell>
        </row>
        <row r="12954">
          <cell r="A12954" t="str">
            <v>gm1_hs_g</v>
          </cell>
          <cell r="B12954" t="str">
            <v>gm1_hs</v>
          </cell>
          <cell r="C12954" t="str">
            <v>Ganglioside GM1 (homo sapiens)</v>
          </cell>
        </row>
        <row r="12955">
          <cell r="A12955" t="str">
            <v>gm3_hs_g</v>
          </cell>
          <cell r="B12955" t="str">
            <v>gm3_hs</v>
          </cell>
          <cell r="C12955" t="str">
            <v>Ganglioside GM3 (homo sapiens)</v>
          </cell>
        </row>
        <row r="12956">
          <cell r="A12956" t="str">
            <v>gncore1_g</v>
          </cell>
          <cell r="B12956" t="str">
            <v>gncore1</v>
          </cell>
          <cell r="C12956" t="str">
            <v>GlcNAc-alpha-1,4-Core 1</v>
          </cell>
        </row>
        <row r="12957">
          <cell r="A12957" t="str">
            <v>gq1b_hs_g</v>
          </cell>
          <cell r="B12957" t="str">
            <v>gq1b_hs</v>
          </cell>
          <cell r="C12957" t="str">
            <v>GQ1b (homo sapiens)</v>
          </cell>
        </row>
        <row r="12958">
          <cell r="A12958" t="str">
            <v>gq1c_hs_g</v>
          </cell>
          <cell r="B12958" t="str">
            <v>gq1c_hs</v>
          </cell>
          <cell r="C12958" t="str">
            <v>GQ1c (homo sapiens)</v>
          </cell>
        </row>
        <row r="12959">
          <cell r="A12959" t="str">
            <v>gt1alpha_hs_g</v>
          </cell>
          <cell r="B12959" t="str">
            <v>gt1alpha_hs</v>
          </cell>
          <cell r="C12959" t="str">
            <v>GT1aalpha (homo sapiens)</v>
          </cell>
        </row>
        <row r="12960">
          <cell r="A12960" t="str">
            <v>hs_pre13_g</v>
          </cell>
          <cell r="B12960" t="str">
            <v>hs_pre13</v>
          </cell>
          <cell r="C12960" t="str">
            <v>Heparan sulfate, precursor 13</v>
          </cell>
        </row>
        <row r="12961">
          <cell r="A12961" t="str">
            <v>hs_pre14_g</v>
          </cell>
          <cell r="B12961" t="str">
            <v>hs_pre14</v>
          </cell>
          <cell r="C12961" t="str">
            <v>Heparan sulfate, precursor 14</v>
          </cell>
        </row>
        <row r="12962">
          <cell r="A12962" t="str">
            <v>hs_pre8_g</v>
          </cell>
          <cell r="B12962" t="str">
            <v>hs_pre8</v>
          </cell>
          <cell r="C12962" t="str">
            <v>Heparan sulfate, precursor 8</v>
          </cell>
        </row>
        <row r="12963">
          <cell r="A12963" t="str">
            <v>ksi_pre10_g</v>
          </cell>
          <cell r="B12963" t="str">
            <v>ksi_pre10</v>
          </cell>
          <cell r="C12963" t="str">
            <v>Keratan sulfate I biosynthesis, precursor 10</v>
          </cell>
        </row>
        <row r="12964">
          <cell r="A12964" t="str">
            <v>ksi_pre20_g</v>
          </cell>
          <cell r="B12964" t="str">
            <v>ksi_pre20</v>
          </cell>
          <cell r="C12964" t="str">
            <v>Keratan sulfate I biosynthesis, precursor 20</v>
          </cell>
        </row>
        <row r="12965">
          <cell r="A12965" t="str">
            <v>ksi_pre22_g</v>
          </cell>
          <cell r="B12965" t="str">
            <v>ksi_pre22</v>
          </cell>
          <cell r="C12965" t="str">
            <v>Keratan sulfate I biosynthesis, precursor 22</v>
          </cell>
        </row>
        <row r="12966">
          <cell r="A12966" t="str">
            <v>ksi_pre25_g</v>
          </cell>
          <cell r="B12966" t="str">
            <v>ksi_pre25</v>
          </cell>
          <cell r="C12966" t="str">
            <v>Keratan sulfate I biosynthesis, precursor 25</v>
          </cell>
        </row>
        <row r="12967">
          <cell r="A12967" t="str">
            <v>ksi_pre29_g</v>
          </cell>
          <cell r="B12967" t="str">
            <v>ksi_pre29</v>
          </cell>
          <cell r="C12967" t="str">
            <v>Keratan sulfate I biosynthesis, precursor 29</v>
          </cell>
        </row>
        <row r="12968">
          <cell r="A12968" t="str">
            <v>ksi_pre30_g</v>
          </cell>
          <cell r="B12968" t="str">
            <v>ksi_pre30</v>
          </cell>
          <cell r="C12968" t="str">
            <v>Keratan sulfate I biosynthesis, precursor 30</v>
          </cell>
        </row>
        <row r="12969">
          <cell r="A12969" t="str">
            <v>ksi_pre5_g</v>
          </cell>
          <cell r="B12969" t="str">
            <v>ksi_pre5</v>
          </cell>
          <cell r="C12969" t="str">
            <v>Keratan sulfate I biosynthesis, precursor 5</v>
          </cell>
        </row>
        <row r="12970">
          <cell r="A12970" t="str">
            <v>ksi_pre9_g</v>
          </cell>
          <cell r="B12970" t="str">
            <v>ksi_pre9</v>
          </cell>
          <cell r="C12970" t="str">
            <v>Keratan sulfate I biosynthesis, precursor 9</v>
          </cell>
        </row>
        <row r="12971">
          <cell r="A12971" t="str">
            <v>ksii_core2_pre1_g</v>
          </cell>
          <cell r="B12971" t="str">
            <v>ksii_core2_pre1</v>
          </cell>
          <cell r="C12971" t="str">
            <v>Keratan sulfate II biosynthesis, precursor 1</v>
          </cell>
        </row>
        <row r="12972">
          <cell r="A12972" t="str">
            <v>ksii_core4_pre2_g</v>
          </cell>
          <cell r="B12972" t="str">
            <v>ksii_core4_pre2</v>
          </cell>
          <cell r="C12972" t="str">
            <v>Keratan sulfate II boisynthesis, precursor 2</v>
          </cell>
        </row>
        <row r="12973">
          <cell r="A12973" t="str">
            <v>ksii_core4_pre6_g</v>
          </cell>
          <cell r="B12973" t="str">
            <v>ksii_core4_pre6</v>
          </cell>
          <cell r="C12973" t="str">
            <v>Keratan sulfate II biosynthesis, precursor 6</v>
          </cell>
        </row>
        <row r="12974">
          <cell r="A12974" t="str">
            <v>ksii_core4_pre8_g</v>
          </cell>
          <cell r="B12974" t="str">
            <v>ksii_core4_pre8</v>
          </cell>
          <cell r="C12974" t="str">
            <v>Keratan sulfate II biosynthesis, precursor 8</v>
          </cell>
        </row>
        <row r="12975">
          <cell r="A12975" t="str">
            <v>l2fn2m2masn_g</v>
          </cell>
          <cell r="B12975" t="str">
            <v>l2fn2m2masn</v>
          </cell>
          <cell r="C12975" t="str">
            <v>{[galactosyl-(1,4)-N-Acetyl-glucosaminyl-(1,2)-mannosyl-(1,3)-],[N-acetyl-glucosaminyl-(1,2)-mannosyl-(1,6)-]mannosyl-(1,4)-N-acetyl-glucosaminyl-(1,4)-[fucosyl-(1,6)]-N-acetyl-glucosaminyl}asparagine</v>
          </cell>
        </row>
        <row r="12976">
          <cell r="A12976" t="str">
            <v>lcts_g</v>
          </cell>
          <cell r="B12976" t="str">
            <v>lcts</v>
          </cell>
          <cell r="C12976" t="str">
            <v>Lactose C12H22O11</v>
          </cell>
        </row>
        <row r="12977">
          <cell r="A12977" t="str">
            <v>m5masnB1_g</v>
          </cell>
          <cell r="B12977" t="str">
            <v>m5masnB1</v>
          </cell>
          <cell r="C12977" t="str">
            <v>(alpha-D-mannosyl)5-beta-D-mannosyl-diacetylchitobiosyl-L-asparagine (protein)</v>
          </cell>
        </row>
        <row r="12978">
          <cell r="A12978" t="str">
            <v>m6masnA_g</v>
          </cell>
          <cell r="B12978" t="str">
            <v>m6masnA</v>
          </cell>
          <cell r="C12978" t="str">
            <v>(alpha-D-mannosyl)6-beta-D-mannosyl-diacetylchitobiosyl-L-asparagine (protein)</v>
          </cell>
        </row>
        <row r="12979">
          <cell r="A12979" t="str">
            <v>m7masnB_g</v>
          </cell>
          <cell r="B12979" t="str">
            <v>m7masnB</v>
          </cell>
          <cell r="C12979" t="str">
            <v>(alpha-D-mannosyl)7-beta-D-mannosyl-diacetylchitobiosyl-L-asparagine, isoform B (protein)</v>
          </cell>
        </row>
        <row r="12980">
          <cell r="A12980" t="str">
            <v>m7masnC_g</v>
          </cell>
          <cell r="B12980" t="str">
            <v>m7masnC</v>
          </cell>
          <cell r="C12980" t="str">
            <v>(alpha-D-mannosyl)7-beta-D-mannosyl-diacetylchitobiosyl-L-asparagine, isoform C (protein)</v>
          </cell>
        </row>
        <row r="12981">
          <cell r="A12981" t="str">
            <v>m8masn_g</v>
          </cell>
          <cell r="B12981" t="str">
            <v>m8masn</v>
          </cell>
          <cell r="C12981" t="str">
            <v>(alpha-D-mannosyl)8-beta-D-mannosyl-diacetylchitobiosyl-L-asparagine (protein)</v>
          </cell>
        </row>
        <row r="12982">
          <cell r="A12982" t="str">
            <v>n2m2masn_g</v>
          </cell>
          <cell r="B12982" t="str">
            <v>n2m2masn</v>
          </cell>
          <cell r="C12982" t="str">
            <v>((N-acetyl-D-glucosaminyl)2-(alpha-D-mannosyl)2-beta-D-mannosyl-diacetylchitobiosyl)-L-asparagine (protein)</v>
          </cell>
        </row>
        <row r="12983">
          <cell r="A12983" t="str">
            <v>pchol_hs_g</v>
          </cell>
          <cell r="B12983" t="str">
            <v>pchol_hs</v>
          </cell>
          <cell r="C12983" t="str">
            <v>Phosphatidylcholine (homo sapiens)</v>
          </cell>
        </row>
        <row r="12984">
          <cell r="A12984" t="str">
            <v>s2l2fn2m2masn_g</v>
          </cell>
          <cell r="B12984" t="str">
            <v>s2l2fn2m2masn</v>
          </cell>
          <cell r="C12984" t="str">
            <v>PA6</v>
          </cell>
        </row>
        <row r="12985">
          <cell r="A12985" t="str">
            <v>ump_g</v>
          </cell>
          <cell r="B12985" t="str">
            <v>ump</v>
          </cell>
          <cell r="C12985" t="str">
            <v>UMP C9H11N2O9P</v>
          </cell>
        </row>
        <row r="12986">
          <cell r="A12986" t="str">
            <v>10fthf_l</v>
          </cell>
          <cell r="B12986" t="str">
            <v>10fthf</v>
          </cell>
          <cell r="C12986" t="str">
            <v>10-Formyltetrahydrofolate</v>
          </cell>
        </row>
        <row r="12987">
          <cell r="A12987" t="str">
            <v>10fthf7glu_l</v>
          </cell>
          <cell r="B12987" t="str">
            <v>10fthf7glu</v>
          </cell>
          <cell r="C12987" t="str">
            <v>10-formyltetrahydrofolate-[Glu](7)</v>
          </cell>
        </row>
        <row r="12988">
          <cell r="A12988" t="str">
            <v>6dhf_l</v>
          </cell>
          <cell r="B12988" t="str">
            <v>6dhf</v>
          </cell>
          <cell r="C12988" t="str">
            <v>Haxglutamyl folate (DHF)</v>
          </cell>
        </row>
        <row r="12989">
          <cell r="A12989" t="str">
            <v>Rtotal_l</v>
          </cell>
          <cell r="B12989" t="str">
            <v>Rtotal</v>
          </cell>
          <cell r="C12989" t="str">
            <v>Rtotal c</v>
          </cell>
        </row>
        <row r="12990">
          <cell r="A12990" t="str">
            <v>acgagbside_hs_l</v>
          </cell>
          <cell r="B12990" t="str">
            <v>acgagbside_hs</v>
          </cell>
          <cell r="C12990" t="str">
            <v>Alpha GalNAc globoside (homo sapiens)</v>
          </cell>
        </row>
        <row r="12991">
          <cell r="A12991" t="str">
            <v>acgam_l</v>
          </cell>
          <cell r="B12991" t="str">
            <v>acgam</v>
          </cell>
          <cell r="C12991" t="str">
            <v>N-Acetyl-D-glucosamine</v>
          </cell>
        </row>
        <row r="12992">
          <cell r="A12992" t="str">
            <v>acgbgbside_hs_l</v>
          </cell>
          <cell r="B12992" t="str">
            <v>acgbgbside_hs</v>
          </cell>
          <cell r="C12992" t="str">
            <v>Beta GalNAc globoside (homo sapiens)</v>
          </cell>
        </row>
        <row r="12993">
          <cell r="A12993" t="str">
            <v>acnam_l</v>
          </cell>
          <cell r="B12993" t="str">
            <v>acnam</v>
          </cell>
          <cell r="C12993" t="str">
            <v>N-Acetylneuraminate</v>
          </cell>
        </row>
        <row r="12994">
          <cell r="A12994" t="str">
            <v>amp_l</v>
          </cell>
          <cell r="B12994" t="str">
            <v>amp</v>
          </cell>
          <cell r="C12994" t="str">
            <v>AMP C10H12N5O7P</v>
          </cell>
        </row>
        <row r="12995">
          <cell r="A12995" t="str">
            <v>chsterol_l</v>
          </cell>
          <cell r="B12995" t="str">
            <v>chsterol</v>
          </cell>
          <cell r="C12995" t="str">
            <v>Chsterol c</v>
          </cell>
        </row>
        <row r="12996">
          <cell r="A12996" t="str">
            <v>cmp_l</v>
          </cell>
          <cell r="B12996" t="str">
            <v>cmp</v>
          </cell>
          <cell r="C12996" t="str">
            <v>CMP C9H12N3O8P</v>
          </cell>
        </row>
        <row r="12997">
          <cell r="A12997" t="str">
            <v>coa_l</v>
          </cell>
          <cell r="B12997" t="str">
            <v>coa</v>
          </cell>
          <cell r="C12997" t="str">
            <v>Coenzyme A</v>
          </cell>
        </row>
        <row r="12998">
          <cell r="A12998" t="str">
            <v>core6_l</v>
          </cell>
          <cell r="B12998" t="str">
            <v>core6</v>
          </cell>
          <cell r="C12998" t="str">
            <v>Core6 g</v>
          </cell>
        </row>
        <row r="12999">
          <cell r="A12999" t="str">
            <v>cs_a_deg2_l</v>
          </cell>
          <cell r="B12999" t="str">
            <v>cs_a_deg2</v>
          </cell>
          <cell r="C12999" t="str">
            <v>Chondroitin sulfate A (GalNAc4S-GlcA), degradation product 2</v>
          </cell>
        </row>
        <row r="13000">
          <cell r="A13000" t="str">
            <v>cs_b_deg2_l</v>
          </cell>
          <cell r="B13000" t="str">
            <v>cs_b_deg2</v>
          </cell>
          <cell r="C13000" t="str">
            <v>Chondroitin sulfate B / dermatan sulfate (IdoA2S-GalNAc4S), degradation product 2</v>
          </cell>
        </row>
        <row r="13001">
          <cell r="A13001" t="str">
            <v>cs_b_deg3_l</v>
          </cell>
          <cell r="B13001" t="str">
            <v>cs_b_deg3</v>
          </cell>
          <cell r="C13001" t="str">
            <v>Chondroitin sulfate B / dermatan sulfate (IdoA2S-GalNAc4S), degradation product 3</v>
          </cell>
        </row>
        <row r="13002">
          <cell r="A13002" t="str">
            <v>cs_c_l</v>
          </cell>
          <cell r="B13002" t="str">
            <v>cs_c</v>
          </cell>
          <cell r="C13002" t="str">
            <v>Chondroitin sulfate C (GalNAc6S-GlcA), free chain</v>
          </cell>
        </row>
        <row r="13003">
          <cell r="A13003" t="str">
            <v>cs_c_deg3_l</v>
          </cell>
          <cell r="B13003" t="str">
            <v>cs_c_deg3</v>
          </cell>
          <cell r="C13003" t="str">
            <v>Chondroitin sulfate C (GalNAc6S-GlcA), degradation product 3</v>
          </cell>
        </row>
        <row r="13004">
          <cell r="A13004" t="str">
            <v>cs_d_deg4_l</v>
          </cell>
          <cell r="B13004" t="str">
            <v>cs_d_deg4</v>
          </cell>
          <cell r="C13004" t="str">
            <v>Chondroitin sulfate D (GlcNAc6S-GlcA2S), degradation product 4</v>
          </cell>
        </row>
        <row r="13005">
          <cell r="A13005" t="str">
            <v>cs_e_deg3_l</v>
          </cell>
          <cell r="B13005" t="str">
            <v>cs_e_deg3</v>
          </cell>
          <cell r="C13005" t="str">
            <v>Chondroitin sulfate E (GalNAc4,6diS-GlcA), degradation product 3</v>
          </cell>
        </row>
        <row r="13006">
          <cell r="A13006" t="str">
            <v>cs_e_deg4_l</v>
          </cell>
          <cell r="B13006" t="str">
            <v>cs_e_deg4</v>
          </cell>
          <cell r="C13006" t="str">
            <v>Chondroitin sulfate E (GalNAc4,6diS-GlcA), degradation product 4</v>
          </cell>
        </row>
        <row r="13007">
          <cell r="A13007" t="str">
            <v>cs_e_deg6_l</v>
          </cell>
          <cell r="B13007" t="str">
            <v>cs_e_deg6</v>
          </cell>
          <cell r="C13007" t="str">
            <v>Chondroitin sulfate E (GalNAc4,6diS-GlcA), degradation product 6</v>
          </cell>
        </row>
        <row r="13008">
          <cell r="A13008" t="str">
            <v>dcyt_l</v>
          </cell>
          <cell r="B13008" t="str">
            <v>dcyt</v>
          </cell>
          <cell r="C13008" t="str">
            <v>Deoxycytidine</v>
          </cell>
        </row>
        <row r="13009">
          <cell r="A13009" t="str">
            <v>dgmp_l</v>
          </cell>
          <cell r="B13009" t="str">
            <v>dgmp</v>
          </cell>
          <cell r="C13009" t="str">
            <v>DGMP C10H12N5O7P</v>
          </cell>
        </row>
        <row r="13010">
          <cell r="A13010" t="str">
            <v>digalside_hs_l</v>
          </cell>
          <cell r="B13010" t="str">
            <v>digalside_hs</v>
          </cell>
          <cell r="C13010" t="str">
            <v>Digalactosylceramide</v>
          </cell>
        </row>
        <row r="13011">
          <cell r="A13011" t="str">
            <v>dtmp_l</v>
          </cell>
          <cell r="B13011" t="str">
            <v>dtmp</v>
          </cell>
          <cell r="C13011" t="str">
            <v>DTMP C10H13N2O8P</v>
          </cell>
        </row>
        <row r="13012">
          <cell r="A13012" t="str">
            <v>fald_l</v>
          </cell>
          <cell r="B13012" t="str">
            <v>fald</v>
          </cell>
          <cell r="C13012" t="str">
            <v>Formaldehyde</v>
          </cell>
        </row>
        <row r="13013">
          <cell r="A13013" t="str">
            <v>galgluside_hs_l</v>
          </cell>
          <cell r="B13013" t="str">
            <v>galgluside_hs</v>
          </cell>
          <cell r="C13013" t="str">
            <v>Galactosyl glucosyl ceramide</v>
          </cell>
        </row>
        <row r="13014">
          <cell r="A13014" t="str">
            <v>gbside_hs_l</v>
          </cell>
          <cell r="B13014" t="str">
            <v>gbside_hs</v>
          </cell>
          <cell r="C13014" t="str">
            <v>Globoside (homo sapiens)</v>
          </cell>
        </row>
        <row r="13015">
          <cell r="A13015" t="str">
            <v>glc__D_l</v>
          </cell>
          <cell r="B13015" t="str">
            <v>glc__D</v>
          </cell>
          <cell r="C13015" t="str">
            <v>D-Glucose</v>
          </cell>
        </row>
        <row r="13016">
          <cell r="A13016" t="str">
            <v>glcur_l</v>
          </cell>
          <cell r="B13016" t="str">
            <v>glcur</v>
          </cell>
          <cell r="C13016" t="str">
            <v>D-Glucuronate</v>
          </cell>
        </row>
        <row r="13017">
          <cell r="A13017" t="str">
            <v>glu__L_l</v>
          </cell>
          <cell r="B13017" t="str">
            <v>glu__L</v>
          </cell>
          <cell r="C13017" t="str">
            <v>L-Glutamate</v>
          </cell>
        </row>
        <row r="13018">
          <cell r="A13018" t="str">
            <v>gsn_l</v>
          </cell>
          <cell r="B13018" t="str">
            <v>gsn</v>
          </cell>
          <cell r="C13018" t="str">
            <v>Guanosine</v>
          </cell>
        </row>
        <row r="13019">
          <cell r="A13019" t="str">
            <v>ha_l</v>
          </cell>
          <cell r="B13019" t="str">
            <v>ha</v>
          </cell>
          <cell r="C13019" t="str">
            <v>Hyaluronan</v>
          </cell>
        </row>
        <row r="13020">
          <cell r="A13020" t="str">
            <v>hs_l</v>
          </cell>
          <cell r="B13020" t="str">
            <v>hs</v>
          </cell>
          <cell r="C13020" t="str">
            <v>Heparan sulfate, free chain</v>
          </cell>
        </row>
        <row r="13021">
          <cell r="A13021" t="str">
            <v>hs_deg13_l</v>
          </cell>
          <cell r="B13021" t="str">
            <v>hs_deg13</v>
          </cell>
          <cell r="C13021" t="str">
            <v>Heparan sulfate, degradation product 13</v>
          </cell>
        </row>
        <row r="13022">
          <cell r="A13022" t="str">
            <v>hs_deg15_l</v>
          </cell>
          <cell r="B13022" t="str">
            <v>hs_deg15</v>
          </cell>
          <cell r="C13022" t="str">
            <v>Heparan sulfate, degradation product 15</v>
          </cell>
        </row>
        <row r="13023">
          <cell r="A13023" t="str">
            <v>hs_deg19_l</v>
          </cell>
          <cell r="B13023" t="str">
            <v>hs_deg19</v>
          </cell>
          <cell r="C13023" t="str">
            <v>Heparan sulfate, degradation product 19</v>
          </cell>
        </row>
        <row r="13024">
          <cell r="A13024" t="str">
            <v>hs_deg24_l</v>
          </cell>
          <cell r="B13024" t="str">
            <v>hs_deg24</v>
          </cell>
          <cell r="C13024" t="str">
            <v>Heparan sulfate, degradation product 24</v>
          </cell>
        </row>
        <row r="13025">
          <cell r="A13025" t="str">
            <v>hs_deg6_l</v>
          </cell>
          <cell r="B13025" t="str">
            <v>hs_deg6</v>
          </cell>
          <cell r="C13025" t="str">
            <v>Heparan sulfate, degradation product 6</v>
          </cell>
        </row>
        <row r="13026">
          <cell r="A13026" t="str">
            <v>hs_deg7_l</v>
          </cell>
          <cell r="B13026" t="str">
            <v>hs_deg7</v>
          </cell>
          <cell r="C13026" t="str">
            <v>Heparan sulfate, degradation product 7</v>
          </cell>
        </row>
        <row r="13027">
          <cell r="A13027" t="str">
            <v>hs_deg9_l</v>
          </cell>
          <cell r="B13027" t="str">
            <v>hs_deg9</v>
          </cell>
          <cell r="C13027" t="str">
            <v>Heparan sulfate, degradation product 9</v>
          </cell>
        </row>
        <row r="13028">
          <cell r="A13028" t="str">
            <v>ksi_deg1_l</v>
          </cell>
          <cell r="B13028" t="str">
            <v>ksi_deg1</v>
          </cell>
          <cell r="C13028" t="str">
            <v>Keratan sulfate I, degradation product 1</v>
          </cell>
        </row>
        <row r="13029">
          <cell r="A13029" t="str">
            <v>ksi_deg14_l</v>
          </cell>
          <cell r="B13029" t="str">
            <v>ksi_deg14</v>
          </cell>
          <cell r="C13029" t="str">
            <v>Keratan sulfate I, degradation product 14</v>
          </cell>
        </row>
        <row r="13030">
          <cell r="A13030" t="str">
            <v>ksi_deg2_l</v>
          </cell>
          <cell r="B13030" t="str">
            <v>ksi_deg2</v>
          </cell>
          <cell r="C13030" t="str">
            <v>Keratan sulfate I, degradation product 2</v>
          </cell>
        </row>
        <row r="13031">
          <cell r="A13031" t="str">
            <v>ksi_deg20_l</v>
          </cell>
          <cell r="B13031" t="str">
            <v>ksi_deg20</v>
          </cell>
          <cell r="C13031" t="str">
            <v>Keratan sulfate I, degradation product 20</v>
          </cell>
        </row>
        <row r="13032">
          <cell r="A13032" t="str">
            <v>ksi_deg3_l</v>
          </cell>
          <cell r="B13032" t="str">
            <v>ksi_deg3</v>
          </cell>
          <cell r="C13032" t="str">
            <v>Keratan sulfate I, degradation product 3</v>
          </cell>
        </row>
        <row r="13033">
          <cell r="A13033" t="str">
            <v>ksi_deg36_l</v>
          </cell>
          <cell r="B13033" t="str">
            <v>ksi_deg36</v>
          </cell>
          <cell r="C13033" t="str">
            <v>Keratan sulfate I, degradation product 36</v>
          </cell>
        </row>
        <row r="13034">
          <cell r="A13034" t="str">
            <v>ksi_deg8_l</v>
          </cell>
          <cell r="B13034" t="str">
            <v>ksi_deg8</v>
          </cell>
          <cell r="C13034" t="str">
            <v>Keratan sulfate I, degradation product 8</v>
          </cell>
        </row>
        <row r="13035">
          <cell r="A13035" t="str">
            <v>ksii_core2_deg1_l</v>
          </cell>
          <cell r="B13035" t="str">
            <v>ksii_core2_deg1</v>
          </cell>
          <cell r="C13035" t="str">
            <v>Keratan sulfate II (core 2-linked), degradation product 1</v>
          </cell>
        </row>
        <row r="13036">
          <cell r="A13036" t="str">
            <v>ksii_core2_deg2_l</v>
          </cell>
          <cell r="B13036" t="str">
            <v>ksii_core2_deg2</v>
          </cell>
          <cell r="C13036" t="str">
            <v>Keratan sulfate II (core 2-linked), degradation product 2</v>
          </cell>
        </row>
        <row r="13037">
          <cell r="A13037" t="str">
            <v>n2m2nmn_l</v>
          </cell>
          <cell r="B13037" t="str">
            <v>n2m2nmn</v>
          </cell>
          <cell r="C13037" t="str">
            <v>Reducing GlcNAc removed form of n2m2nmasn (w/o peptide)</v>
          </cell>
        </row>
        <row r="13038">
          <cell r="A13038" t="str">
            <v>pro__L_l</v>
          </cell>
          <cell r="B13038" t="str">
            <v>pro__L</v>
          </cell>
          <cell r="C13038" t="str">
            <v>L-Proline</v>
          </cell>
        </row>
        <row r="13039">
          <cell r="A13039" t="str">
            <v>so4_l</v>
          </cell>
          <cell r="B13039" t="str">
            <v>so4</v>
          </cell>
          <cell r="C13039" t="str">
            <v>Sulfate</v>
          </cell>
        </row>
        <row r="13040">
          <cell r="A13040" t="str">
            <v>sphings_l</v>
          </cell>
          <cell r="B13040" t="str">
            <v>sphings</v>
          </cell>
          <cell r="C13040" t="str">
            <v>Sphingosine cytosol</v>
          </cell>
        </row>
        <row r="13041">
          <cell r="A13041" t="str">
            <v>sphmyln_hs_l</v>
          </cell>
          <cell r="B13041" t="str">
            <v>sphmyln_hs</v>
          </cell>
          <cell r="C13041" t="str">
            <v>Sphingomyelin (homo sapiens)</v>
          </cell>
        </row>
        <row r="13042">
          <cell r="A13042" t="str">
            <v>udp_l</v>
          </cell>
          <cell r="B13042" t="str">
            <v>udp</v>
          </cell>
          <cell r="C13042" t="str">
            <v>UDP C9H11N2O12P2</v>
          </cell>
        </row>
        <row r="13043">
          <cell r="A13043" t="str">
            <v>udpacgal_l</v>
          </cell>
          <cell r="B13043" t="str">
            <v>udpacgal</v>
          </cell>
          <cell r="C13043" t="str">
            <v>UDP-N-acetyl-D-galactosamine</v>
          </cell>
        </row>
        <row r="13044">
          <cell r="A13044" t="str">
            <v>uri_l</v>
          </cell>
          <cell r="B13044" t="str">
            <v>uri</v>
          </cell>
          <cell r="C13044" t="str">
            <v>Uridine</v>
          </cell>
        </row>
        <row r="13045">
          <cell r="A13045" t="str">
            <v>10fthf7glu_m</v>
          </cell>
          <cell r="B13045" t="str">
            <v>10fthf7glu</v>
          </cell>
          <cell r="C13045" t="str">
            <v>10-formyltetrahydrofolate-[Glu](7)</v>
          </cell>
        </row>
        <row r="13046">
          <cell r="A13046" t="str">
            <v>11docrtstrn_m</v>
          </cell>
          <cell r="B13046" t="str">
            <v>11docrtstrn</v>
          </cell>
          <cell r="C13046" t="str">
            <v>11-Deoxycorticosterone</v>
          </cell>
        </row>
        <row r="13047">
          <cell r="A13047" t="str">
            <v>1a25dhvitd2_m</v>
          </cell>
          <cell r="B13047" t="str">
            <v>1a25dhvitd2</v>
          </cell>
          <cell r="C13047" t="str">
            <v>1-alpha,25-Dihydroxyvitamin D2</v>
          </cell>
        </row>
        <row r="13048">
          <cell r="A13048" t="str">
            <v>2dp6mobq_me_m</v>
          </cell>
          <cell r="B13048" t="str">
            <v>2dp6mobq_me</v>
          </cell>
          <cell r="C13048" t="str">
            <v>2-Decaprenyl-3-methyl-6-methoxy-1,4-benzoquinone</v>
          </cell>
        </row>
        <row r="13049">
          <cell r="A13049" t="str">
            <v>2dpmhobq_m</v>
          </cell>
          <cell r="B13049" t="str">
            <v>2dpmhobq</v>
          </cell>
          <cell r="C13049" t="str">
            <v>2-Decaprenyl-3-methyl-5-hydroxy-6-methoxy-1,4-benzoquinone</v>
          </cell>
        </row>
        <row r="13050">
          <cell r="A13050" t="str">
            <v>2maacoa_m</v>
          </cell>
          <cell r="B13050" t="str">
            <v>2maacoa</v>
          </cell>
          <cell r="C13050" t="str">
            <v>2-Methyl-3-acetoacetyl-CoA</v>
          </cell>
        </row>
        <row r="13051">
          <cell r="A13051" t="str">
            <v>3dphb_m</v>
          </cell>
          <cell r="B13051" t="str">
            <v>3dphb</v>
          </cell>
          <cell r="C13051" t="str">
            <v>3-Decaprenyl-4-hydroxybenzoate</v>
          </cell>
        </row>
        <row r="13052">
          <cell r="A13052" t="str">
            <v>3hbcoa_m</v>
          </cell>
          <cell r="B13052" t="str">
            <v>3hbcoa</v>
          </cell>
          <cell r="C13052" t="str">
            <v>(S)-3-Hydroxybutanoyl-CoA</v>
          </cell>
        </row>
        <row r="13053">
          <cell r="A13053" t="str">
            <v>3hbcoa__R_m</v>
          </cell>
          <cell r="B13053" t="str">
            <v>3hbcoa__R</v>
          </cell>
          <cell r="C13053" t="str">
            <v>(R)-3-Hydroxybutyryl-CoA</v>
          </cell>
        </row>
        <row r="13054">
          <cell r="A13054" t="str">
            <v>3hmp_m</v>
          </cell>
          <cell r="B13054" t="str">
            <v>3hmp</v>
          </cell>
          <cell r="C13054" t="str">
            <v>3-Hydroxy-2-methylpropanoate</v>
          </cell>
        </row>
        <row r="13055">
          <cell r="A13055" t="str">
            <v>3spyr_m</v>
          </cell>
          <cell r="B13055" t="str">
            <v>3spyr</v>
          </cell>
          <cell r="C13055" t="str">
            <v>3-Sulfopyruvate</v>
          </cell>
        </row>
        <row r="13056">
          <cell r="A13056" t="str">
            <v>4mptnl_m</v>
          </cell>
          <cell r="B13056" t="str">
            <v>4mptnl</v>
          </cell>
          <cell r="C13056" t="str">
            <v>4-Methylpentanal</v>
          </cell>
        </row>
        <row r="13057">
          <cell r="A13057" t="str">
            <v>6dhf_m</v>
          </cell>
          <cell r="B13057" t="str">
            <v>6dhf</v>
          </cell>
          <cell r="C13057" t="str">
            <v>Haxglutamyl folate (DHF)</v>
          </cell>
        </row>
        <row r="13058">
          <cell r="A13058" t="str">
            <v>Nacasp_m</v>
          </cell>
          <cell r="B13058" t="str">
            <v>Nacasp</v>
          </cell>
          <cell r="C13058" t="str">
            <v>N-Acetyl-L-aspartate</v>
          </cell>
        </row>
        <row r="13059">
          <cell r="A13059" t="str">
            <v>Rtotal2coa_m</v>
          </cell>
          <cell r="B13059" t="str">
            <v>Rtotal2coa</v>
          </cell>
          <cell r="C13059" t="str">
            <v>Rtotal2coa c</v>
          </cell>
        </row>
        <row r="13060">
          <cell r="A13060" t="str">
            <v>Rtotal3crn_m</v>
          </cell>
          <cell r="B13060" t="str">
            <v>Rtotal3crn</v>
          </cell>
          <cell r="C13060" t="str">
            <v>Rtotal3crn c</v>
          </cell>
        </row>
        <row r="13061">
          <cell r="A13061" t="str">
            <v>adrncoa_m</v>
          </cell>
          <cell r="B13061" t="str">
            <v>adrncoa</v>
          </cell>
          <cell r="C13061" t="str">
            <v>Adrenyl coenzyme A</v>
          </cell>
        </row>
        <row r="13062">
          <cell r="A13062" t="str">
            <v>adrncrn_m</v>
          </cell>
          <cell r="B13062" t="str">
            <v>adrncrn</v>
          </cell>
          <cell r="C13062" t="str">
            <v>Adrenyl carnitine</v>
          </cell>
        </row>
        <row r="13063">
          <cell r="A13063" t="str">
            <v>agm_m</v>
          </cell>
          <cell r="B13063" t="str">
            <v>agm</v>
          </cell>
          <cell r="C13063" t="str">
            <v>Agmatine</v>
          </cell>
        </row>
        <row r="13064">
          <cell r="A13064" t="str">
            <v>arachcrn_m</v>
          </cell>
          <cell r="B13064" t="str">
            <v>arachcrn</v>
          </cell>
          <cell r="C13064" t="str">
            <v>Arachidyl carnitine</v>
          </cell>
        </row>
        <row r="13065">
          <cell r="A13065" t="str">
            <v>b2coa_m</v>
          </cell>
          <cell r="B13065" t="str">
            <v>b2coa</v>
          </cell>
          <cell r="C13065" t="str">
            <v>Crotonoyl-CoA</v>
          </cell>
        </row>
        <row r="13066">
          <cell r="A13066" t="str">
            <v>biocyt_m</v>
          </cell>
          <cell r="B13066" t="str">
            <v>biocyt</v>
          </cell>
          <cell r="C13066" t="str">
            <v>Biocyt c</v>
          </cell>
        </row>
        <row r="13067">
          <cell r="A13067" t="str">
            <v>but_m</v>
          </cell>
          <cell r="B13067" t="str">
            <v>but</v>
          </cell>
          <cell r="C13067" t="str">
            <v>Butyrate (n-C4:0)</v>
          </cell>
        </row>
        <row r="13068">
          <cell r="A13068" t="str">
            <v>c226coa_m</v>
          </cell>
          <cell r="B13068" t="str">
            <v>c226coa</v>
          </cell>
          <cell r="C13068" t="str">
            <v>Cervonyl coenzyme A</v>
          </cell>
        </row>
        <row r="13069">
          <cell r="A13069" t="str">
            <v>c2m26dcoa_m</v>
          </cell>
          <cell r="B13069" t="str">
            <v>c2m26dcoa</v>
          </cell>
          <cell r="C13069" t="str">
            <v>Cis-2-Methyl-5-isopropylhexa-2,5-dienoyl-CoA</v>
          </cell>
        </row>
        <row r="13070">
          <cell r="A13070" t="str">
            <v>cbl2_m</v>
          </cell>
          <cell r="B13070" t="str">
            <v>cbl2</v>
          </cell>
          <cell r="C13070" t="str">
            <v>Cob II alamin C62H88CoN13O14P</v>
          </cell>
        </row>
        <row r="13071">
          <cell r="A13071" t="str">
            <v>cbp_m</v>
          </cell>
          <cell r="B13071" t="str">
            <v>cbp</v>
          </cell>
          <cell r="C13071" t="str">
            <v>Carbamoyl phosphate</v>
          </cell>
        </row>
        <row r="13072">
          <cell r="A13072" t="str">
            <v>chsterol_m</v>
          </cell>
          <cell r="B13072" t="str">
            <v>chsterol</v>
          </cell>
          <cell r="C13072" t="str">
            <v>Chsterol c</v>
          </cell>
        </row>
        <row r="13073">
          <cell r="A13073" t="str">
            <v>clpndcoa_m</v>
          </cell>
          <cell r="B13073" t="str">
            <v>clpndcoa</v>
          </cell>
          <cell r="C13073" t="str">
            <v>Clupanodonyl CoA</v>
          </cell>
        </row>
        <row r="13074">
          <cell r="A13074" t="str">
            <v>creat_m</v>
          </cell>
          <cell r="B13074" t="str">
            <v>creat</v>
          </cell>
          <cell r="C13074" t="str">
            <v>Creatine cytosol</v>
          </cell>
        </row>
        <row r="13075">
          <cell r="A13075" t="str">
            <v>dcyt_m</v>
          </cell>
          <cell r="B13075" t="str">
            <v>dcyt</v>
          </cell>
          <cell r="C13075" t="str">
            <v>Deoxycytidine</v>
          </cell>
        </row>
        <row r="13076">
          <cell r="A13076" t="str">
            <v>dgmp_m</v>
          </cell>
          <cell r="B13076" t="str">
            <v>dgmp</v>
          </cell>
          <cell r="C13076" t="str">
            <v>DGMP C10H12N5O7P</v>
          </cell>
        </row>
        <row r="13077">
          <cell r="A13077" t="str">
            <v>ditp_m</v>
          </cell>
          <cell r="B13077" t="str">
            <v>ditp</v>
          </cell>
          <cell r="C13077" t="str">
            <v>DITP(4-)</v>
          </cell>
        </row>
        <row r="13078">
          <cell r="A13078" t="str">
            <v>dmgly_m</v>
          </cell>
          <cell r="B13078" t="str">
            <v>dmgly</v>
          </cell>
          <cell r="C13078" t="str">
            <v>N,N-Dimethylglycine</v>
          </cell>
        </row>
        <row r="13079">
          <cell r="A13079" t="str">
            <v>dtmp_m</v>
          </cell>
          <cell r="B13079" t="str">
            <v>dtmp</v>
          </cell>
          <cell r="C13079" t="str">
            <v>DTMP C10H13N2O8P</v>
          </cell>
        </row>
        <row r="13080">
          <cell r="A13080" t="str">
            <v>dudp_m</v>
          </cell>
          <cell r="B13080" t="str">
            <v>dudp</v>
          </cell>
          <cell r="C13080" t="str">
            <v>DUDP C9H11N2O11P2</v>
          </cell>
        </row>
        <row r="13081">
          <cell r="A13081" t="str">
            <v>duri_m</v>
          </cell>
          <cell r="B13081" t="str">
            <v>duri</v>
          </cell>
          <cell r="C13081" t="str">
            <v>Deoxyuridine</v>
          </cell>
        </row>
        <row r="13082">
          <cell r="A13082" t="str">
            <v>e_m</v>
          </cell>
          <cell r="B13082" t="str">
            <v>e</v>
          </cell>
          <cell r="C13082" t="str">
            <v>E   m</v>
          </cell>
        </row>
        <row r="13083">
          <cell r="A13083" t="str">
            <v>fald_m</v>
          </cell>
          <cell r="B13083" t="str">
            <v>fald</v>
          </cell>
          <cell r="C13083" t="str">
            <v>Formaldehyde</v>
          </cell>
        </row>
        <row r="13084">
          <cell r="A13084" t="str">
            <v>glcr_m</v>
          </cell>
          <cell r="B13084" t="str">
            <v>glcr</v>
          </cell>
          <cell r="C13084" t="str">
            <v>D-Glucarate</v>
          </cell>
        </row>
        <row r="13085">
          <cell r="A13085" t="str">
            <v>gln__L_m</v>
          </cell>
          <cell r="B13085" t="str">
            <v>gln__L</v>
          </cell>
          <cell r="C13085" t="str">
            <v>L-Glutamine</v>
          </cell>
        </row>
        <row r="13086">
          <cell r="A13086" t="str">
            <v>glu5p_m</v>
          </cell>
          <cell r="B13086" t="str">
            <v>glu5p</v>
          </cell>
          <cell r="C13086" t="str">
            <v>L-Glutamate 5-phosphate</v>
          </cell>
        </row>
        <row r="13087">
          <cell r="A13087" t="str">
            <v>glyc_m</v>
          </cell>
          <cell r="B13087" t="str">
            <v>glyc</v>
          </cell>
          <cell r="C13087" t="str">
            <v>Glycerol</v>
          </cell>
        </row>
        <row r="13088">
          <cell r="A13088" t="str">
            <v>hpdcacrn_m</v>
          </cell>
          <cell r="B13088" t="str">
            <v>hpdcacrn</v>
          </cell>
          <cell r="C13088" t="str">
            <v>Heptadecanoyl carnitine</v>
          </cell>
        </row>
        <row r="13089">
          <cell r="A13089" t="str">
            <v>im4ac_m</v>
          </cell>
          <cell r="B13089" t="str">
            <v>im4ac</v>
          </cell>
          <cell r="C13089" t="str">
            <v>Imidazole-4-acetate</v>
          </cell>
        </row>
        <row r="13090">
          <cell r="A13090" t="str">
            <v>im4act_m</v>
          </cell>
          <cell r="B13090" t="str">
            <v>im4act</v>
          </cell>
          <cell r="C13090" t="str">
            <v>Imidazole-4-acetaldehyde</v>
          </cell>
        </row>
        <row r="13091">
          <cell r="A13091" t="str">
            <v>lald__D_m</v>
          </cell>
          <cell r="B13091" t="str">
            <v>lald__D</v>
          </cell>
          <cell r="C13091" t="str">
            <v>D-Lactaldehyde</v>
          </cell>
        </row>
        <row r="13092">
          <cell r="A13092" t="str">
            <v>lnlncacrn_m</v>
          </cell>
          <cell r="B13092" t="str">
            <v>lnlncacrn</v>
          </cell>
          <cell r="C13092" t="str">
            <v>Alpha-linolenyl carnitine</v>
          </cell>
        </row>
        <row r="13093">
          <cell r="A13093" t="str">
            <v>lnlncgcrn_m</v>
          </cell>
          <cell r="B13093" t="str">
            <v>lnlncgcrn</v>
          </cell>
          <cell r="C13093" t="str">
            <v>Gamma-linolenyl carnitine</v>
          </cell>
        </row>
        <row r="13094">
          <cell r="A13094" t="str">
            <v>nrvnccrn_m</v>
          </cell>
          <cell r="B13094" t="str">
            <v>nrvnccrn</v>
          </cell>
          <cell r="C13094" t="str">
            <v>Nervonyl carnitine</v>
          </cell>
        </row>
        <row r="13095">
          <cell r="A13095" t="str">
            <v>o2s_m</v>
          </cell>
          <cell r="B13095" t="str">
            <v>o2s</v>
          </cell>
          <cell r="C13095" t="str">
            <v>Superoxide anion</v>
          </cell>
        </row>
        <row r="13096">
          <cell r="A13096" t="str">
            <v>occoa_m</v>
          </cell>
          <cell r="B13096" t="str">
            <v>occoa</v>
          </cell>
          <cell r="C13096" t="str">
            <v>Octanoyl-CoA (n-C8:0CoA)</v>
          </cell>
        </row>
        <row r="13097">
          <cell r="A13097" t="str">
            <v>pa_hs_m</v>
          </cell>
          <cell r="B13097" t="str">
            <v>pa_hs</v>
          </cell>
          <cell r="C13097" t="str">
            <v>Phosphatidic acid (homo sapiens)</v>
          </cell>
        </row>
        <row r="13098">
          <cell r="A13098" t="str">
            <v>pmtcoa_m</v>
          </cell>
          <cell r="B13098" t="str">
            <v>pmtcoa</v>
          </cell>
          <cell r="C13098" t="str">
            <v>Palmitoyl-CoA (n-C16:0CoA)</v>
          </cell>
        </row>
        <row r="13099">
          <cell r="A13099" t="str">
            <v>pppi_m</v>
          </cell>
          <cell r="B13099" t="str">
            <v>pppi</v>
          </cell>
          <cell r="C13099" t="str">
            <v>Inorganic triphosphate</v>
          </cell>
        </row>
        <row r="13100">
          <cell r="A13100" t="str">
            <v>ptdcacoa_m</v>
          </cell>
          <cell r="B13100" t="str">
            <v>ptdcacoa</v>
          </cell>
          <cell r="C13100" t="str">
            <v>Pentadecanoyl Coenzyme A</v>
          </cell>
        </row>
        <row r="13101">
          <cell r="A13101" t="str">
            <v>ptdcacrn_m</v>
          </cell>
          <cell r="B13101" t="str">
            <v>ptdcacrn</v>
          </cell>
          <cell r="C13101" t="str">
            <v>Pendtadenoyl carnitine</v>
          </cell>
        </row>
        <row r="13102">
          <cell r="A13102" t="str">
            <v>ptrc_m</v>
          </cell>
          <cell r="B13102" t="str">
            <v>ptrc</v>
          </cell>
          <cell r="C13102" t="str">
            <v>Putrescine</v>
          </cell>
        </row>
        <row r="13103">
          <cell r="A13103" t="str">
            <v>pylald_m</v>
          </cell>
          <cell r="B13103" t="str">
            <v>pylald</v>
          </cell>
          <cell r="C13103" t="str">
            <v>Perillyl aldehyde</v>
          </cell>
        </row>
        <row r="13104">
          <cell r="A13104" t="str">
            <v>q10_m</v>
          </cell>
          <cell r="B13104" t="str">
            <v>q10</v>
          </cell>
          <cell r="C13104" t="str">
            <v>Ubiquinone-10</v>
          </cell>
        </row>
        <row r="13105">
          <cell r="A13105" t="str">
            <v>q10h2_m</v>
          </cell>
          <cell r="B13105" t="str">
            <v>q10h2</v>
          </cell>
          <cell r="C13105" t="str">
            <v>Ubiquinol-10</v>
          </cell>
        </row>
        <row r="13106">
          <cell r="A13106" t="str">
            <v>so4_m</v>
          </cell>
          <cell r="B13106" t="str">
            <v>so4</v>
          </cell>
          <cell r="C13106" t="str">
            <v>Sulfate</v>
          </cell>
        </row>
        <row r="13107">
          <cell r="A13107" t="str">
            <v>stcoa_m</v>
          </cell>
          <cell r="B13107" t="str">
            <v>stcoa</v>
          </cell>
          <cell r="C13107" t="str">
            <v>Stearoyl-CoA (n-C18:0CoA)</v>
          </cell>
        </row>
        <row r="13108">
          <cell r="A13108" t="str">
            <v>strdnccrn_m</v>
          </cell>
          <cell r="B13108" t="str">
            <v>strdnccrn</v>
          </cell>
          <cell r="C13108" t="str">
            <v>Stearidonyl carnitine</v>
          </cell>
        </row>
        <row r="13109">
          <cell r="A13109" t="str">
            <v>tetpent6crn_m</v>
          </cell>
          <cell r="B13109" t="str">
            <v>tetpent6crn</v>
          </cell>
          <cell r="C13109" t="str">
            <v>Tetracosapentaenoyl carnitine</v>
          </cell>
        </row>
        <row r="13110">
          <cell r="A13110" t="str">
            <v>tettet6coa_m</v>
          </cell>
          <cell r="B13110" t="str">
            <v>tettet6coa</v>
          </cell>
          <cell r="C13110" t="str">
            <v>Tetracosatetraenoyl coenzyme A</v>
          </cell>
        </row>
        <row r="13111">
          <cell r="A13111" t="str">
            <v>thcholst_m</v>
          </cell>
          <cell r="B13111" t="str">
            <v>thcholst</v>
          </cell>
          <cell r="C13111" t="str">
            <v>3alpha,7alpha,12alpha-Trihydroxy-5beta-cholestan-26-al</v>
          </cell>
        </row>
        <row r="13112">
          <cell r="A13112" t="str">
            <v>ttdcrn_m</v>
          </cell>
          <cell r="B13112" t="str">
            <v>ttdcrn</v>
          </cell>
          <cell r="C13112" t="str">
            <v>Tetradecanoyl carnitine</v>
          </cell>
        </row>
        <row r="13113">
          <cell r="A13113" t="str">
            <v>udp_m</v>
          </cell>
          <cell r="B13113" t="str">
            <v>udp</v>
          </cell>
          <cell r="C13113" t="str">
            <v>UDP C9H11N2O12P2</v>
          </cell>
        </row>
        <row r="13114">
          <cell r="A13114" t="str">
            <v>uri_m</v>
          </cell>
          <cell r="B13114" t="str">
            <v>uri</v>
          </cell>
          <cell r="C13114" t="str">
            <v>Uridine</v>
          </cell>
        </row>
        <row r="13115">
          <cell r="A13115" t="str">
            <v>vacccoa_m</v>
          </cell>
          <cell r="B13115" t="str">
            <v>vacccoa</v>
          </cell>
          <cell r="C13115" t="str">
            <v>Vaccenyl coenzyme A</v>
          </cell>
        </row>
        <row r="13116">
          <cell r="A13116" t="str">
            <v>xol7ah3_m</v>
          </cell>
          <cell r="B13116" t="str">
            <v>xol7ah3</v>
          </cell>
          <cell r="C13116" t="str">
            <v>3alpha,7alpha,26-Trihydroxy-5beta-cholestane</v>
          </cell>
        </row>
        <row r="13117">
          <cell r="A13117" t="str">
            <v>xoldiolone_m</v>
          </cell>
          <cell r="B13117" t="str">
            <v>xoldiolone</v>
          </cell>
          <cell r="C13117" t="str">
            <v>7alpha,12alpha-Dihydroxycholest-4-en-3-one</v>
          </cell>
        </row>
        <row r="13118">
          <cell r="A13118" t="str">
            <v>xoltriol_m</v>
          </cell>
          <cell r="B13118" t="str">
            <v>xoltriol</v>
          </cell>
          <cell r="C13118" t="str">
            <v>3alpha,7alpha,12alpha-Trihydroxy-5beta-cholestane</v>
          </cell>
        </row>
        <row r="13119">
          <cell r="A13119" t="str">
            <v>13_cis_oretn_n</v>
          </cell>
          <cell r="B13119" t="str">
            <v>13_cis_oretn</v>
          </cell>
          <cell r="C13119" t="str">
            <v>13-cis-oxo-retinoic acid</v>
          </cell>
        </row>
        <row r="13120">
          <cell r="A13120" t="str">
            <v>35cgmp_n</v>
          </cell>
          <cell r="B13120" t="str">
            <v>35cgmp</v>
          </cell>
          <cell r="C13120" t="str">
            <v>3',5'-Cyclic GMP</v>
          </cell>
        </row>
        <row r="13121">
          <cell r="A13121" t="str">
            <v>ahdt_n</v>
          </cell>
          <cell r="B13121" t="str">
            <v>ahdt</v>
          </cell>
          <cell r="C13121" t="str">
            <v>2-Amino-4-hydroxy-6-(erythro-1,2,3-trihydroxypropyl)dihydropteridine triphosphate</v>
          </cell>
        </row>
        <row r="13122">
          <cell r="A13122" t="str">
            <v>btn_n</v>
          </cell>
          <cell r="B13122" t="str">
            <v>btn</v>
          </cell>
          <cell r="C13122" t="str">
            <v>Biotin</v>
          </cell>
        </row>
        <row r="13123">
          <cell r="A13123" t="str">
            <v>cytd_n</v>
          </cell>
          <cell r="B13123" t="str">
            <v>cytd</v>
          </cell>
          <cell r="C13123" t="str">
            <v>Cytidine</v>
          </cell>
        </row>
        <row r="13124">
          <cell r="A13124" t="str">
            <v>datp_n</v>
          </cell>
          <cell r="B13124" t="str">
            <v>datp</v>
          </cell>
          <cell r="C13124" t="str">
            <v>DATP C10H12N5O12P3</v>
          </cell>
        </row>
        <row r="13125">
          <cell r="A13125" t="str">
            <v>dgtp_n</v>
          </cell>
          <cell r="B13125" t="str">
            <v>dgtp</v>
          </cell>
          <cell r="C13125" t="str">
            <v>DGTP C10H12N5O13P3</v>
          </cell>
        </row>
        <row r="13126">
          <cell r="A13126" t="str">
            <v>dttp_n</v>
          </cell>
          <cell r="B13126" t="str">
            <v>dttp</v>
          </cell>
          <cell r="C13126" t="str">
            <v>DTTP C10H13N2O14P3</v>
          </cell>
        </row>
        <row r="13127">
          <cell r="A13127" t="str">
            <v>dutp_n</v>
          </cell>
          <cell r="B13127" t="str">
            <v>dutp</v>
          </cell>
          <cell r="C13127" t="str">
            <v>DUTP C9H11N2O14P3</v>
          </cell>
        </row>
        <row r="13128">
          <cell r="A13128" t="str">
            <v>nicrnt_n</v>
          </cell>
          <cell r="B13128" t="str">
            <v>nicrnt</v>
          </cell>
          <cell r="C13128" t="str">
            <v>Nicotinate D-ribonucleotide</v>
          </cell>
        </row>
        <row r="13129">
          <cell r="A13129" t="str">
            <v>ppmi12346p_n</v>
          </cell>
          <cell r="B13129" t="str">
            <v>ppmi12346p</v>
          </cell>
          <cell r="C13129" t="str">
            <v>5 Diphosphoinositol pentakisphosphate C6H6O27P7</v>
          </cell>
        </row>
        <row r="13130">
          <cell r="A13130" t="str">
            <v>seasmet_n</v>
          </cell>
          <cell r="B13130" t="str">
            <v>seasmet</v>
          </cell>
          <cell r="C13130" t="str">
            <v>Se-Adenosylselenomethionine</v>
          </cell>
        </row>
        <row r="13131">
          <cell r="A13131" t="str">
            <v>44mzym_r</v>
          </cell>
          <cell r="B13131" t="str">
            <v>44mzym</v>
          </cell>
          <cell r="C13131" t="str">
            <v>4 4 dimethylzymosterol C29H48O</v>
          </cell>
        </row>
        <row r="13132">
          <cell r="A13132" t="str">
            <v>4mzym_int1_r</v>
          </cell>
          <cell r="B13132" t="str">
            <v>4mzym_int1</v>
          </cell>
          <cell r="C13132" t="str">
            <v>4 Methylzymosterol intermediate 1 C29H46O3</v>
          </cell>
        </row>
        <row r="13133">
          <cell r="A13133" t="str">
            <v>4mzym_int2_r</v>
          </cell>
          <cell r="B13133" t="str">
            <v>4mzym_int2</v>
          </cell>
          <cell r="C13133" t="str">
            <v>4 Methylzymosterol intermediate 2 C28H44O</v>
          </cell>
        </row>
        <row r="13134">
          <cell r="A13134" t="str">
            <v>R2coa_hs_r</v>
          </cell>
          <cell r="B13134" t="str">
            <v>R2coa_hs</v>
          </cell>
          <cell r="C13134" t="str">
            <v>R group 2 Coenzyme A homo sapiens</v>
          </cell>
        </row>
        <row r="13135">
          <cell r="A13135" t="str">
            <v>ahcys_r</v>
          </cell>
          <cell r="B13135" t="str">
            <v>ahcys</v>
          </cell>
          <cell r="C13135" t="str">
            <v>S-Adenosyl-L-homocysteine</v>
          </cell>
        </row>
        <row r="13136">
          <cell r="A13136" t="str">
            <v>arachd_r</v>
          </cell>
          <cell r="B13136" t="str">
            <v>arachd</v>
          </cell>
          <cell r="C13136" t="str">
            <v>Arachidonic acid</v>
          </cell>
        </row>
        <row r="13137">
          <cell r="A13137" t="str">
            <v>atp_r</v>
          </cell>
          <cell r="B13137" t="str">
            <v>atp</v>
          </cell>
          <cell r="C13137" t="str">
            <v>ATP C10H12N5O13P3</v>
          </cell>
        </row>
        <row r="13138">
          <cell r="A13138" t="str">
            <v>bildglcur_r</v>
          </cell>
          <cell r="B13138" t="str">
            <v>bildglcur</v>
          </cell>
          <cell r="C13138" t="str">
            <v>Bilirubin beta-diglucuronide</v>
          </cell>
        </row>
        <row r="13139">
          <cell r="A13139" t="str">
            <v>bilirub_r</v>
          </cell>
          <cell r="B13139" t="str">
            <v>bilirub</v>
          </cell>
          <cell r="C13139" t="str">
            <v>Bilirubin cytosol</v>
          </cell>
        </row>
        <row r="13140">
          <cell r="A13140" t="str">
            <v>chlstol_r</v>
          </cell>
          <cell r="B13140" t="str">
            <v>chlstol</v>
          </cell>
          <cell r="C13140" t="str">
            <v>5alpha-Cholesta-7,24-dien-3beta-ol</v>
          </cell>
        </row>
        <row r="13141">
          <cell r="A13141" t="str">
            <v>cortsn_r</v>
          </cell>
          <cell r="B13141" t="str">
            <v>cortsn</v>
          </cell>
          <cell r="C13141" t="str">
            <v>Cortsn r</v>
          </cell>
        </row>
        <row r="13142">
          <cell r="A13142" t="str">
            <v>crtsl_r</v>
          </cell>
          <cell r="B13142" t="str">
            <v>crtsl</v>
          </cell>
          <cell r="C13142" t="str">
            <v>Crtsl c</v>
          </cell>
        </row>
        <row r="13143">
          <cell r="A13143" t="str">
            <v>crtstrn_r</v>
          </cell>
          <cell r="B13143" t="str">
            <v>crtstrn</v>
          </cell>
          <cell r="C13143" t="str">
            <v>Corticosterone</v>
          </cell>
        </row>
        <row r="13144">
          <cell r="A13144" t="str">
            <v>dag_hs_r</v>
          </cell>
          <cell r="B13144" t="str">
            <v>dag_hs</v>
          </cell>
          <cell r="C13144" t="str">
            <v>Diacylglycerol (homo sapiens)</v>
          </cell>
        </row>
        <row r="13145">
          <cell r="A13145" t="str">
            <v>dhcholestancoa_r</v>
          </cell>
          <cell r="B13145" t="str">
            <v>dhcholestancoa</v>
          </cell>
          <cell r="C13145" t="str">
            <v>3alpha,7alpha-Dihydroxy-5beta-cholestanoyl-CoA</v>
          </cell>
        </row>
        <row r="13146">
          <cell r="A13146" t="str">
            <v>dhea_r</v>
          </cell>
          <cell r="B13146" t="str">
            <v>dhea</v>
          </cell>
          <cell r="C13146" t="str">
            <v>Dehydroepiandrosterone</v>
          </cell>
        </row>
        <row r="13147">
          <cell r="A13147" t="str">
            <v>doldp__L_r</v>
          </cell>
          <cell r="B13147" t="str">
            <v>doldp__L</v>
          </cell>
          <cell r="C13147" t="str">
            <v>Dolichol diphosphate, human liver homolog</v>
          </cell>
        </row>
        <row r="13148">
          <cell r="A13148" t="str">
            <v>dolglcp__L_r</v>
          </cell>
          <cell r="B13148" t="str">
            <v>dolglcp__L</v>
          </cell>
          <cell r="C13148" t="str">
            <v>Dolichyl beta-D-glucosyl phosphate, human liver homolog</v>
          </cell>
        </row>
        <row r="13149">
          <cell r="A13149" t="str">
            <v>dolmanp__L_r</v>
          </cell>
          <cell r="B13149" t="str">
            <v>dolmanp__L</v>
          </cell>
          <cell r="C13149" t="str">
            <v>Dolichyl phosphate D-mannose, human liver homolog</v>
          </cell>
        </row>
        <row r="13150">
          <cell r="A13150" t="str">
            <v>dolmanp_U_r</v>
          </cell>
          <cell r="B13150" t="str">
            <v>dolmanp_U</v>
          </cell>
          <cell r="C13150" t="str">
            <v>Dolichyl phosphate D-mannose, human uterine homolog</v>
          </cell>
        </row>
        <row r="13151">
          <cell r="A13151" t="str">
            <v>dsmsterol_r</v>
          </cell>
          <cell r="B13151" t="str">
            <v>dsmsterol</v>
          </cell>
          <cell r="C13151" t="str">
            <v>Desmosterol; 3beta-cholesta-5,24-dien-3-ol</v>
          </cell>
        </row>
        <row r="13152">
          <cell r="A13152" t="str">
            <v>ebastineoh_r</v>
          </cell>
          <cell r="B13152" t="str">
            <v>ebastineoh</v>
          </cell>
          <cell r="C13152" t="str">
            <v>Hydroxylated ebastine</v>
          </cell>
        </row>
        <row r="13153">
          <cell r="A13153" t="str">
            <v>em2emgacpail_prot_hs_r</v>
          </cell>
          <cell r="B13153" t="str">
            <v>em2emgacpail_prot_hs</v>
          </cell>
          <cell r="C13153" t="str">
            <v>(phosphoethanolaminyl-dimannosyl),(phosphoethanolaminyl)-mannosyl-glucosaminyl-acylphosphatidylinositol</v>
          </cell>
        </row>
        <row r="13154">
          <cell r="A13154" t="str">
            <v>estrone_r</v>
          </cell>
          <cell r="B13154" t="str">
            <v>estrone</v>
          </cell>
          <cell r="C13154" t="str">
            <v>Estrone cytosol</v>
          </cell>
        </row>
        <row r="13155">
          <cell r="A13155" t="str">
            <v>ethamp_r</v>
          </cell>
          <cell r="B13155" t="str">
            <v>ethamp</v>
          </cell>
          <cell r="C13155" t="str">
            <v>Ethanolamine phosphate C2H7NO4P</v>
          </cell>
        </row>
        <row r="13156">
          <cell r="A13156" t="str">
            <v>for_r</v>
          </cell>
          <cell r="B13156" t="str">
            <v>for</v>
          </cell>
          <cell r="C13156" t="str">
            <v>Formate</v>
          </cell>
        </row>
        <row r="13157">
          <cell r="A13157" t="str">
            <v>g1m8mpdol__L_r</v>
          </cell>
          <cell r="B13157" t="str">
            <v>g1m8mpdol__L</v>
          </cell>
          <cell r="C13157" t="str">
            <v>Alpha-D-Glucosyl-(alpha-D-mannosyl)8-beta-D-mannosyl-diacetylchitobiosyldiphosphodolichol, human liver homolog</v>
          </cell>
        </row>
        <row r="13158">
          <cell r="A13158" t="str">
            <v>g2m8masn_r</v>
          </cell>
          <cell r="B13158" t="str">
            <v>g2m8masn</v>
          </cell>
          <cell r="C13158" t="str">
            <v>(alpha-D-Glucosyl)2-(alpha-D-mannosyl)8-beta-D-mannosyl-diacetylchitobiosyl-L-asparagine (protein)</v>
          </cell>
        </row>
        <row r="13159">
          <cell r="A13159" t="str">
            <v>g2m8mpdol__L_r</v>
          </cell>
          <cell r="B13159" t="str">
            <v>g2m8mpdol__L</v>
          </cell>
          <cell r="C13159" t="str">
            <v>(alpha-D-Glucosyl)2-(alpha-D-mannosyl)8-beta-D-mannosyl-diacetylchitobiosyldiphosphodolichol, human liver homolog</v>
          </cell>
        </row>
        <row r="13160">
          <cell r="A13160" t="str">
            <v>g3m8masn_r</v>
          </cell>
          <cell r="B13160" t="str">
            <v>g3m8masn</v>
          </cell>
          <cell r="C13160" t="str">
            <v>(alpha-D-Glucosyl)3-(alpha-D-mannosyl)8-beta-D-mannosyl-diacetylchitobiosyl-L-asparagine (protein)</v>
          </cell>
        </row>
        <row r="13161">
          <cell r="A13161" t="str">
            <v>gacpail_hs_r</v>
          </cell>
          <cell r="B13161" t="str">
            <v>gacpail_hs</v>
          </cell>
          <cell r="C13161" t="str">
            <v>Glucosaminyl-acylphosphatidylinositol</v>
          </cell>
        </row>
        <row r="13162">
          <cell r="A13162" t="str">
            <v>gullac_r</v>
          </cell>
          <cell r="B13162" t="str">
            <v>gullac</v>
          </cell>
          <cell r="C13162" t="str">
            <v>L-Gulono-1,4-lactone</v>
          </cell>
        </row>
        <row r="13163">
          <cell r="A13163" t="str">
            <v>hestratriol_r</v>
          </cell>
          <cell r="B13163" t="str">
            <v>hestratriol</v>
          </cell>
          <cell r="C13163" t="str">
            <v>4,17 dihydroxy estradiol</v>
          </cell>
        </row>
        <row r="13164">
          <cell r="A13164" t="str">
            <v>leuktrA4_r</v>
          </cell>
          <cell r="B13164" t="str">
            <v>leuktrA4</v>
          </cell>
          <cell r="C13164" t="str">
            <v>Leukotriene A4 cytosol</v>
          </cell>
        </row>
        <row r="13165">
          <cell r="A13165" t="str">
            <v>leuktrB4wcooh_r</v>
          </cell>
          <cell r="B13165" t="str">
            <v>leuktrB4wcooh</v>
          </cell>
          <cell r="C13165" t="str">
            <v>W-carboxy leukotriene B4</v>
          </cell>
        </row>
        <row r="13166">
          <cell r="A13166" t="str">
            <v>m_em_3gacpail_prot_hs_r</v>
          </cell>
          <cell r="B13166" t="str">
            <v>m_em_3gacpail_prot_hs</v>
          </cell>
          <cell r="C13166" t="str">
            <v>M LPAREN em RPAREN 3gacpail prot hs r</v>
          </cell>
        </row>
        <row r="13167">
          <cell r="A13167" t="str">
            <v>m3emgacpail_hs_r</v>
          </cell>
          <cell r="B13167" t="str">
            <v>m3emgacpail_hs</v>
          </cell>
          <cell r="C13167" t="str">
            <v>(trimannosyl),(phosphoethanolaminyl)-mannosyl-glucosaminyl-acylphosphatidylinositol (M4C)</v>
          </cell>
        </row>
        <row r="13168">
          <cell r="A13168" t="str">
            <v>m4mpdol__L_r</v>
          </cell>
          <cell r="B13168" t="str">
            <v>m4mpdol__L</v>
          </cell>
          <cell r="C13168" t="str">
            <v>(alpha-D-Mannosyl)4-beta-D-mannosyl-diacetylchitobiosyldiphosphodolichol, human liver homolog</v>
          </cell>
        </row>
        <row r="13169">
          <cell r="A13169" t="str">
            <v>m4mpdol_U_r</v>
          </cell>
          <cell r="B13169" t="str">
            <v>m4mpdol_U</v>
          </cell>
          <cell r="C13169" t="str">
            <v>(alpha-D-Mannosyl)4-beta-D-mannosyl-diacetylchitobiosyldiphosphodolichol, human uterine homolog</v>
          </cell>
        </row>
        <row r="13170">
          <cell r="A13170" t="str">
            <v>m8mpdol__L_r</v>
          </cell>
          <cell r="B13170" t="str">
            <v>m8mpdol__L</v>
          </cell>
          <cell r="C13170" t="str">
            <v>(alpha-D-Mannosyl)8-beta-D-mannosyl-diacetylchitobiosyldiphosphodolichol, human liver homolog</v>
          </cell>
        </row>
        <row r="13171">
          <cell r="A13171" t="str">
            <v>m8mpdol_U_r</v>
          </cell>
          <cell r="B13171" t="str">
            <v>m8mpdol_U</v>
          </cell>
          <cell r="C13171" t="str">
            <v>(alpha-D-Mannosyl)8-beta-D-mannosyl-diacetylchitobiosyldiphosphodolichol, human uterine homolog</v>
          </cell>
        </row>
        <row r="13172">
          <cell r="A13172" t="str">
            <v>memgacpail_hs_r</v>
          </cell>
          <cell r="B13172" t="str">
            <v>memgacpail_hs</v>
          </cell>
          <cell r="C13172" t="str">
            <v>(mannosyl),(phosphoethanolaminyl)-mannosyl-glucosylaminyl-acylphosphatidylinositol (B)</v>
          </cell>
        </row>
        <row r="13173">
          <cell r="A13173" t="str">
            <v>meoh_r</v>
          </cell>
          <cell r="B13173" t="str">
            <v>meoh</v>
          </cell>
          <cell r="C13173" t="str">
            <v>Methanol</v>
          </cell>
        </row>
        <row r="13174">
          <cell r="A13174" t="str">
            <v>pe_hs_r</v>
          </cell>
          <cell r="B13174" t="str">
            <v>pe_hs</v>
          </cell>
          <cell r="C13174" t="str">
            <v>Phosphatidylethanolamine (homo sapiens)</v>
          </cell>
        </row>
        <row r="13175">
          <cell r="A13175" t="str">
            <v>pecgon_r</v>
          </cell>
          <cell r="B13175" t="str">
            <v>pecgon</v>
          </cell>
          <cell r="C13175" t="str">
            <v>Pseudoecgonine</v>
          </cell>
        </row>
        <row r="13176">
          <cell r="A13176" t="str">
            <v>ppi_r</v>
          </cell>
          <cell r="B13176" t="str">
            <v>ppi</v>
          </cell>
          <cell r="C13176" t="str">
            <v>Diphosphate</v>
          </cell>
        </row>
        <row r="13177">
          <cell r="A13177" t="str">
            <v>ps_hs_r</v>
          </cell>
          <cell r="B13177" t="str">
            <v>ps_hs</v>
          </cell>
          <cell r="C13177" t="str">
            <v>Phosphatidylserine (homo sapiens)</v>
          </cell>
        </row>
        <row r="13178">
          <cell r="A13178" t="str">
            <v>retn_r</v>
          </cell>
          <cell r="B13178" t="str">
            <v>retn</v>
          </cell>
          <cell r="C13178" t="str">
            <v>Retinoate</v>
          </cell>
        </row>
        <row r="13179">
          <cell r="A13179" t="str">
            <v>sphs1p_r</v>
          </cell>
          <cell r="B13179" t="str">
            <v>sphs1p</v>
          </cell>
          <cell r="C13179" t="str">
            <v>Sphingosine 1-phosphate</v>
          </cell>
        </row>
        <row r="13180">
          <cell r="A13180" t="str">
            <v>xol24oh_r</v>
          </cell>
          <cell r="B13180" t="str">
            <v>xol24oh</v>
          </cell>
          <cell r="C13180" t="str">
            <v>24-Hydroxycholesterol</v>
          </cell>
        </row>
        <row r="13181">
          <cell r="A13181" t="str">
            <v>xol25oh_r</v>
          </cell>
          <cell r="B13181" t="str">
            <v>xol25oh</v>
          </cell>
          <cell r="C13181" t="str">
            <v>25-Hydroxycholesterol</v>
          </cell>
        </row>
        <row r="13182">
          <cell r="A13182" t="str">
            <v>xoltri25_r</v>
          </cell>
          <cell r="B13182" t="str">
            <v>xoltri25</v>
          </cell>
          <cell r="C13182" t="str">
            <v>7-alpha,25-Dihydroxycholesterol</v>
          </cell>
        </row>
        <row r="13183">
          <cell r="A13183" t="str">
            <v>5a2opntn_x</v>
          </cell>
          <cell r="B13183" t="str">
            <v>5a2opntn</v>
          </cell>
          <cell r="C13183" t="str">
            <v>5-Amino-2-oxopentanoate</v>
          </cell>
        </row>
        <row r="13184">
          <cell r="A13184" t="str">
            <v>6a2ohxnt_x</v>
          </cell>
          <cell r="B13184" t="str">
            <v>6a2ohxnt</v>
          </cell>
          <cell r="C13184" t="str">
            <v>6-Amino-2-oxohexanoate</v>
          </cell>
        </row>
        <row r="13185">
          <cell r="A13185" t="str">
            <v>Rtotalcoa_x</v>
          </cell>
          <cell r="B13185" t="str">
            <v>Rtotalcoa</v>
          </cell>
          <cell r="C13185" t="str">
            <v>Rtotalcoa c</v>
          </cell>
        </row>
        <row r="13186">
          <cell r="A13186" t="str">
            <v>ala__D_x</v>
          </cell>
          <cell r="B13186" t="str">
            <v>ala__D</v>
          </cell>
          <cell r="C13186" t="str">
            <v>D-Alanine</v>
          </cell>
        </row>
        <row r="13187">
          <cell r="A13187" t="str">
            <v>alkylR1oh_x</v>
          </cell>
          <cell r="B13187" t="str">
            <v>alkylR1oh</v>
          </cell>
          <cell r="C13187" t="str">
            <v>Hydroxy alkyl chain</v>
          </cell>
        </row>
        <row r="13188">
          <cell r="A13188" t="str">
            <v>arachcoa_x</v>
          </cell>
          <cell r="B13188" t="str">
            <v>arachcoa</v>
          </cell>
          <cell r="C13188" t="str">
            <v>Arachidyl coenzyme A</v>
          </cell>
        </row>
        <row r="13189">
          <cell r="A13189" t="str">
            <v>arg__D_x</v>
          </cell>
          <cell r="B13189" t="str">
            <v>arg__D</v>
          </cell>
          <cell r="C13189" t="str">
            <v>D-Arginine</v>
          </cell>
        </row>
        <row r="13190">
          <cell r="A13190" t="str">
            <v>dcsptn1coa_x</v>
          </cell>
          <cell r="B13190" t="str">
            <v>dcsptn1coa</v>
          </cell>
          <cell r="C13190" t="str">
            <v>Docosa-4,7,10,13,16-pentaenoyl coenzyme A</v>
          </cell>
        </row>
        <row r="13191">
          <cell r="A13191" t="str">
            <v>dhap_x</v>
          </cell>
          <cell r="B13191" t="str">
            <v>dhap</v>
          </cell>
          <cell r="C13191" t="str">
            <v>Dihydroxyacetone phosphate</v>
          </cell>
        </row>
        <row r="13192">
          <cell r="A13192" t="str">
            <v>dhcholestancoa_x</v>
          </cell>
          <cell r="B13192" t="str">
            <v>dhcholestancoa</v>
          </cell>
          <cell r="C13192" t="str">
            <v>3alpha,7alpha-Dihydroxy-5beta-cholestanoyl-CoA</v>
          </cell>
        </row>
        <row r="13193">
          <cell r="A13193" t="str">
            <v>hpyr_x</v>
          </cell>
          <cell r="B13193" t="str">
            <v>hpyr</v>
          </cell>
          <cell r="C13193" t="str">
            <v>Hydroxypyruvate</v>
          </cell>
        </row>
        <row r="13194">
          <cell r="A13194" t="str">
            <v>lgnccoa_x</v>
          </cell>
          <cell r="B13194" t="str">
            <v>lgnccoa</v>
          </cell>
          <cell r="C13194" t="str">
            <v>Lignocericyl coenzyme A</v>
          </cell>
        </row>
        <row r="13195">
          <cell r="A13195" t="str">
            <v>mmcoa__S_x</v>
          </cell>
          <cell r="B13195" t="str">
            <v>mmcoa__S</v>
          </cell>
          <cell r="C13195" t="str">
            <v>(S)-Methylmalonyl-CoA</v>
          </cell>
        </row>
        <row r="13196">
          <cell r="A13196" t="str">
            <v>na1_x</v>
          </cell>
          <cell r="B13196" t="str">
            <v>na1</v>
          </cell>
          <cell r="C13196" t="str">
            <v>Sodium</v>
          </cell>
        </row>
        <row r="13197">
          <cell r="A13197" t="str">
            <v>nrvnccoa_x</v>
          </cell>
          <cell r="B13197" t="str">
            <v>nrvnccoa</v>
          </cell>
          <cell r="C13197" t="str">
            <v>Nervonyl coenzyme A</v>
          </cell>
        </row>
        <row r="13198">
          <cell r="A13198" t="str">
            <v>phytcoa_x</v>
          </cell>
          <cell r="B13198" t="str">
            <v>phytcoa</v>
          </cell>
          <cell r="C13198" t="str">
            <v>Phytanoyl-CoA(4-)</v>
          </cell>
        </row>
        <row r="13199">
          <cell r="A13199" t="str">
            <v>sarcs_x</v>
          </cell>
          <cell r="B13199" t="str">
            <v>sarcs</v>
          </cell>
          <cell r="C13199" t="str">
            <v>Sarcosine C3H7NO2</v>
          </cell>
        </row>
        <row r="13200">
          <cell r="A13200" t="str">
            <v>strdnccoa_x</v>
          </cell>
          <cell r="B13200" t="str">
            <v>strdnccoa</v>
          </cell>
          <cell r="C13200" t="str">
            <v>Stearidonyl coenzyme A</v>
          </cell>
        </row>
        <row r="13201">
          <cell r="A13201" t="str">
            <v>t2m26dcoa_x</v>
          </cell>
          <cell r="B13201" t="str">
            <v>t2m26dcoa</v>
          </cell>
          <cell r="C13201" t="str">
            <v>Trans-2-Methyl-5-isopropylhexa-2,5-dienoyl-CoA</v>
          </cell>
        </row>
        <row r="13202">
          <cell r="A13202" t="str">
            <v>tchola_x</v>
          </cell>
          <cell r="B13202" t="str">
            <v>tchola</v>
          </cell>
          <cell r="C13202" t="str">
            <v>Taurocholic acid C26H45NO7S</v>
          </cell>
        </row>
        <row r="13203">
          <cell r="A13203" t="str">
            <v>tethex3coa_x</v>
          </cell>
          <cell r="B13203" t="str">
            <v>tethex3coa</v>
          </cell>
          <cell r="C13203" t="str">
            <v>Tetracosahexaenoyl coenzyme A</v>
          </cell>
        </row>
        <row r="13204">
          <cell r="A13204" t="str">
            <v>tetpent3coa_x</v>
          </cell>
          <cell r="B13204" t="str">
            <v>tetpent3coa</v>
          </cell>
          <cell r="C13204" t="str">
            <v>Tetracosapentaenoyl coenzyme A, n-3</v>
          </cell>
        </row>
        <row r="13205">
          <cell r="A13205" t="str">
            <v>thp2c_x</v>
          </cell>
          <cell r="B13205" t="str">
            <v>thp2c</v>
          </cell>
          <cell r="C13205" t="str">
            <v>2,3,4,5-Tetrahydropyridine-2-carboxylate</v>
          </cell>
        </row>
        <row r="13206">
          <cell r="A13206" t="str">
            <v>urate_x</v>
          </cell>
          <cell r="B13206" t="str">
            <v>urate</v>
          </cell>
          <cell r="C13206" t="str">
            <v>Urate C5H4N4O3</v>
          </cell>
        </row>
        <row r="13207">
          <cell r="A13207" t="str">
            <v>dkdofp_c</v>
          </cell>
          <cell r="B13207" t="str">
            <v>dkdofp</v>
          </cell>
          <cell r="C13207" t="str">
            <v>4,5-diketo-6-deoxyfructose 1-phosphate</v>
          </cell>
        </row>
        <row r="13208">
          <cell r="A13208" t="str">
            <v>actn__R_e</v>
          </cell>
          <cell r="B13208" t="str">
            <v>actn__R</v>
          </cell>
          <cell r="C13208" t="str">
            <v xml:space="preserve"> R  Acetoin C4H8O2</v>
          </cell>
        </row>
        <row r="13209">
          <cell r="A13209" t="str">
            <v>gdpgpi_c</v>
          </cell>
          <cell r="B13209" t="str">
            <v>gdpgpi</v>
          </cell>
          <cell r="C13209" t="str">
            <v>Glucosaminyl archaetidyl-myo-inositol</v>
          </cell>
        </row>
        <row r="13210">
          <cell r="A13210" t="str">
            <v>Rh3cit_c</v>
          </cell>
          <cell r="B13210" t="str">
            <v>Rh3cit</v>
          </cell>
          <cell r="C13210" t="str">
            <v>(R)-(homo)3citrate</v>
          </cell>
        </row>
        <row r="13211">
          <cell r="A13211" t="str">
            <v>atrz_c</v>
          </cell>
          <cell r="B13211" t="str">
            <v>atrz</v>
          </cell>
          <cell r="C13211" t="str">
            <v>Atrazine</v>
          </cell>
        </row>
        <row r="13212">
          <cell r="A13212" t="str">
            <v>dggpgp_c</v>
          </cell>
          <cell r="B13212" t="str">
            <v>dggpgp</v>
          </cell>
          <cell r="C13212" t="str">
            <v>2,3-di-O-geranyl-sn-glycerol-1-phospho-3'-sn-glycerol phosphate</v>
          </cell>
        </row>
        <row r="13213">
          <cell r="A13213" t="str">
            <v>3hcdgggp_c</v>
          </cell>
          <cell r="B13213" t="str">
            <v>3hcdgggp</v>
          </cell>
          <cell r="C13213" t="str">
            <v>CDP-2-O-(3'-hydroxy)geranyl-3-O-geranyl-sn-glycerol</v>
          </cell>
        </row>
        <row r="13214">
          <cell r="A13214" t="str">
            <v>h3acon_C_c</v>
          </cell>
          <cell r="B13214" t="str">
            <v>h3acon_C</v>
          </cell>
          <cell r="C13214" t="str">
            <v>Cis-(homo)3aconitate</v>
          </cell>
        </row>
        <row r="13215">
          <cell r="A13215" t="str">
            <v>tih3cit_c</v>
          </cell>
          <cell r="B13215" t="str">
            <v>tih3cit</v>
          </cell>
          <cell r="C13215" t="str">
            <v>(-)threo-iso(homo)3citrate</v>
          </cell>
        </row>
        <row r="13216">
          <cell r="A13216" t="str">
            <v>ch4_c</v>
          </cell>
          <cell r="B13216" t="str">
            <v>ch4</v>
          </cell>
          <cell r="C13216" t="str">
            <v>Methane</v>
          </cell>
        </row>
        <row r="13217">
          <cell r="A13217" t="str">
            <v>h4spt_c</v>
          </cell>
          <cell r="B13217" t="str">
            <v>h4spt</v>
          </cell>
          <cell r="C13217" t="str">
            <v>Tetrahydrosarcinapterin</v>
          </cell>
        </row>
        <row r="13218">
          <cell r="A13218" t="str">
            <v>gggp_c</v>
          </cell>
          <cell r="B13218" t="str">
            <v>gggp</v>
          </cell>
          <cell r="C13218" t="str">
            <v>(S)-3-O-geranylgeranylglyceryl phosphate</v>
          </cell>
        </row>
        <row r="13219">
          <cell r="A13219" t="str">
            <v>3hggdp_c</v>
          </cell>
          <cell r="B13219" t="str">
            <v>3hggdp</v>
          </cell>
          <cell r="C13219" t="str">
            <v>3-hydroxy-geranylgeranyl diphosphate</v>
          </cell>
        </row>
        <row r="13220">
          <cell r="A13220" t="str">
            <v>3hgrdp_c</v>
          </cell>
          <cell r="B13220" t="str">
            <v>3hgrdp</v>
          </cell>
          <cell r="C13220" t="str">
            <v>3-hydroxy-geranyl diphsophate</v>
          </cell>
        </row>
        <row r="13221">
          <cell r="A13221" t="str">
            <v>dma_e</v>
          </cell>
          <cell r="B13221" t="str">
            <v>dma</v>
          </cell>
          <cell r="C13221" t="str">
            <v>Dimethylamine</v>
          </cell>
        </row>
        <row r="13222">
          <cell r="A13222" t="str">
            <v>ind3ac_e</v>
          </cell>
          <cell r="B13222" t="str">
            <v>ind3ac</v>
          </cell>
          <cell r="C13222" t="str">
            <v>Indole 3 acetate C10H8NO2</v>
          </cell>
        </row>
        <row r="13223">
          <cell r="A13223" t="str">
            <v>unknown_rbfdeg_e</v>
          </cell>
          <cell r="B13223" t="str">
            <v>unknown_rbfdeg</v>
          </cell>
          <cell r="C13223" t="str">
            <v>Unknown riboflavin degradation product</v>
          </cell>
        </row>
        <row r="13224">
          <cell r="A13224" t="str">
            <v>f430p2_c</v>
          </cell>
          <cell r="B13224" t="str">
            <v>f430p2</v>
          </cell>
          <cell r="C13224" t="str">
            <v>Coenzyme F430 precursor 2</v>
          </cell>
        </row>
        <row r="13225">
          <cell r="A13225" t="str">
            <v>mleneh4spt_c</v>
          </cell>
          <cell r="B13225" t="str">
            <v>mleneh4spt</v>
          </cell>
          <cell r="C13225" t="str">
            <v>N5,N10-methylene-5,6,7,8-tetrahydromethanopterin</v>
          </cell>
        </row>
        <row r="13226">
          <cell r="A13226" t="str">
            <v>formmfr_b_c</v>
          </cell>
          <cell r="B13226" t="str">
            <v>formmfr_b</v>
          </cell>
          <cell r="C13226" t="str">
            <v>Formylmethanofuran b</v>
          </cell>
        </row>
        <row r="13227">
          <cell r="A13227" t="str">
            <v>f420_3_c</v>
          </cell>
          <cell r="B13227" t="str">
            <v>f420_3</v>
          </cell>
          <cell r="C13227" t="str">
            <v>Coenzyme ferredoxin 420-3</v>
          </cell>
        </row>
        <row r="13228">
          <cell r="A13228" t="str">
            <v>f420_6_c</v>
          </cell>
          <cell r="B13228" t="str">
            <v>f420_6</v>
          </cell>
          <cell r="C13228" t="str">
            <v>Coenzyme ferredoxin 420-6</v>
          </cell>
        </row>
        <row r="13229">
          <cell r="A13229" t="str">
            <v>f420_7_c</v>
          </cell>
          <cell r="B13229" t="str">
            <v>f420_7</v>
          </cell>
          <cell r="C13229" t="str">
            <v>Coenzyme ferredoxin 420-7</v>
          </cell>
        </row>
        <row r="13230">
          <cell r="A13230" t="str">
            <v>dhadr_c</v>
          </cell>
          <cell r="B13230" t="str">
            <v>dhadr</v>
          </cell>
          <cell r="C13230" t="str">
            <v>7,8-dihydropterin-6-ylmethyl-1-(4-aminophenyl)-1-deoxy-D-ribitol</v>
          </cell>
        </row>
        <row r="13231">
          <cell r="A13231" t="str">
            <v>mmh2mpt_c</v>
          </cell>
          <cell r="B13231" t="str">
            <v>mmh2mpt</v>
          </cell>
          <cell r="C13231" t="str">
            <v>Monomethylated 7,8-dihydromethanoterin</v>
          </cell>
        </row>
        <row r="13232">
          <cell r="A13232" t="str">
            <v>Shcit_c</v>
          </cell>
          <cell r="B13232" t="str">
            <v>Shcit</v>
          </cell>
          <cell r="C13232" t="str">
            <v>S-homocitrate</v>
          </cell>
        </row>
        <row r="13233">
          <cell r="A13233" t="str">
            <v>chtbs_c</v>
          </cell>
          <cell r="B13233" t="str">
            <v>chtbs</v>
          </cell>
          <cell r="C13233" t="str">
            <v>N,N'-diacetylchitobiose</v>
          </cell>
        </row>
        <row r="13234">
          <cell r="A13234" t="str">
            <v>dip_d_d_c</v>
          </cell>
          <cell r="B13234" t="str">
            <v>dip_d_d</v>
          </cell>
          <cell r="C13234" t="str">
            <v>Di-myo-inositol 1,1' phosphate</v>
          </cell>
        </row>
        <row r="13235">
          <cell r="A13235" t="str">
            <v>galman4_c</v>
          </cell>
          <cell r="B13235" t="str">
            <v>galman4</v>
          </cell>
          <cell r="C13235" t="str">
            <v>Galactomannan(n=4 repeat units mannose, alpha-1,4 man)</v>
          </cell>
        </row>
        <row r="13236">
          <cell r="A13236" t="str">
            <v>glcman6_c</v>
          </cell>
          <cell r="B13236" t="str">
            <v>glcman6</v>
          </cell>
          <cell r="C13236" t="str">
            <v>Glucomannan (n=6 repeat units, glc beta-1,4 man)</v>
          </cell>
        </row>
        <row r="13237">
          <cell r="A13237" t="str">
            <v>glucan6_c</v>
          </cell>
          <cell r="B13237" t="str">
            <v>glucan6</v>
          </cell>
          <cell r="C13237" t="str">
            <v>Beta-1,3/1,4-glucan (Barley, n=6, Glc beta1-&gt;3,4 Glc)</v>
          </cell>
        </row>
        <row r="13238">
          <cell r="A13238" t="str">
            <v>ksi_c</v>
          </cell>
          <cell r="B13238" t="str">
            <v>ksi</v>
          </cell>
          <cell r="C13238" t="str">
            <v>Keratan sulfate I</v>
          </cell>
        </row>
        <row r="13239">
          <cell r="A13239" t="str">
            <v>mi1p__L_c</v>
          </cell>
          <cell r="B13239" t="str">
            <v>mi1p__L</v>
          </cell>
          <cell r="C13239" t="str">
            <v>L-myo-Inositol 1-phosphate</v>
          </cell>
        </row>
        <row r="13240">
          <cell r="A13240" t="str">
            <v>s2l2n2m2masn_c</v>
          </cell>
          <cell r="B13240" t="str">
            <v>s2l2n2m2masn</v>
          </cell>
          <cell r="C13240" t="str">
            <v>De-Fuc form of PA6</v>
          </cell>
        </row>
        <row r="13241">
          <cell r="A13241" t="str">
            <v>xylb_c</v>
          </cell>
          <cell r="B13241" t="str">
            <v>xylb</v>
          </cell>
          <cell r="C13241" t="str">
            <v>Xylobiose</v>
          </cell>
        </row>
        <row r="13242">
          <cell r="A13242" t="str">
            <v>galman600_e</v>
          </cell>
          <cell r="B13242" t="str">
            <v>galman600</v>
          </cell>
          <cell r="C13242" t="str">
            <v>Galactomannan (n=600 repeat units mannose, alpha-1,4 man)</v>
          </cell>
        </row>
        <row r="13243">
          <cell r="A13243" t="str">
            <v>glcman4_e</v>
          </cell>
          <cell r="B13243" t="str">
            <v>glcman4</v>
          </cell>
          <cell r="C13243" t="str">
            <v>Glucomannan (n=4 repeat units, glc beta-1,4 man)</v>
          </cell>
        </row>
        <row r="13244">
          <cell r="A13244" t="str">
            <v>glucan1500_e</v>
          </cell>
          <cell r="B13244" t="str">
            <v>glucan1500</v>
          </cell>
          <cell r="C13244" t="str">
            <v>Beta-1,3/1,4-glucan (Barley, n=1500, Glc beta1-&gt;3,4 Glc)</v>
          </cell>
        </row>
        <row r="13245">
          <cell r="A13245" t="str">
            <v>glucan4_e</v>
          </cell>
          <cell r="B13245" t="str">
            <v>glucan4</v>
          </cell>
          <cell r="C13245" t="str">
            <v>Beta-1,3/1,4-glucan (Barley, n=4, Glc beta1-&gt;3,4 Glc)</v>
          </cell>
        </row>
        <row r="13246">
          <cell r="A13246" t="str">
            <v>manb_e</v>
          </cell>
          <cell r="B13246" t="str">
            <v>manb</v>
          </cell>
          <cell r="C13246" t="str">
            <v>Mannobiose (beta-1,4)</v>
          </cell>
        </row>
        <row r="13247">
          <cell r="A13247" t="str">
            <v>pullulan1200_e</v>
          </cell>
          <cell r="B13247" t="str">
            <v>pullulan1200</v>
          </cell>
          <cell r="C13247" t="str">
            <v>Pullulan (n=1200 repeat units, alpha-1,4 and alph-1,6 bounds)</v>
          </cell>
        </row>
        <row r="13248">
          <cell r="A13248" t="str">
            <v>starch1200_e</v>
          </cell>
          <cell r="B13248" t="str">
            <v>starch1200</v>
          </cell>
          <cell r="C13248" t="str">
            <v>Starch n=1200 repeat units (300 repeat units amylose, 900 repeat units amylopectin, corresponds to potatoe starch)</v>
          </cell>
        </row>
        <row r="13249">
          <cell r="A13249" t="str">
            <v>xyl3_e</v>
          </cell>
          <cell r="B13249" t="str">
            <v>xyl3</v>
          </cell>
          <cell r="C13249" t="str">
            <v>Xylotriose</v>
          </cell>
        </row>
        <row r="13250">
          <cell r="A13250" t="str">
            <v>xylan4_e</v>
          </cell>
          <cell r="B13250" t="str">
            <v>xylan4</v>
          </cell>
          <cell r="C13250" t="str">
            <v>Xylan (4 backbone units, 1 glcur side chain)</v>
          </cell>
        </row>
        <row r="13251">
          <cell r="A13251" t="str">
            <v>clpn120_c</v>
          </cell>
          <cell r="B13251" t="str">
            <v>clpn120</v>
          </cell>
          <cell r="C13251" t="str">
            <v>Cardiolipin (tetradodecanoyl, n-C12:0)</v>
          </cell>
        </row>
        <row r="13252">
          <cell r="A13252" t="str">
            <v>clpn161_c</v>
          </cell>
          <cell r="B13252" t="str">
            <v>clpn161</v>
          </cell>
          <cell r="C13252" t="str">
            <v>Cardiolipin (tetrahexadec-9-enoyl, n-C16:1)</v>
          </cell>
        </row>
        <row r="13253">
          <cell r="A13253" t="str">
            <v>citr__L_e</v>
          </cell>
          <cell r="B13253" t="str">
            <v>citr__L</v>
          </cell>
          <cell r="C13253" t="str">
            <v>L-Citrulline</v>
          </cell>
        </row>
        <row r="13254">
          <cell r="A13254" t="str">
            <v>murein4p3p_e</v>
          </cell>
          <cell r="B13254" t="str">
            <v>murein4p3p</v>
          </cell>
          <cell r="C13254" t="str">
            <v>Two linked disacharide tetrapeptide and tripeptide murein units (uncrosslinked, middle of chain)</v>
          </cell>
        </row>
        <row r="13255">
          <cell r="A13255" t="str">
            <v>murein4p4p_e</v>
          </cell>
          <cell r="B13255" t="str">
            <v>murein4p4p</v>
          </cell>
          <cell r="C13255" t="str">
            <v>Two linked disacharide tetrapeptide murein units (uncrosslinked, middle of chain)</v>
          </cell>
        </row>
        <row r="13256">
          <cell r="A13256" t="str">
            <v>murein5p4p_e</v>
          </cell>
          <cell r="B13256" t="str">
            <v>murein5p4p</v>
          </cell>
          <cell r="C13256" t="str">
            <v>Two linked disacharide pentapeptide and tetrapeptide murein units (uncrosslinked, middle of chain)</v>
          </cell>
        </row>
        <row r="13257">
          <cell r="A13257" t="str">
            <v>murein5px3p_e</v>
          </cell>
          <cell r="B13257" t="str">
            <v>murein5px3p</v>
          </cell>
          <cell r="C13257" t="str">
            <v>Two disacharide linked murein units, pentapeptide corsslinked tripeptide (A2pm-&gt;A2pm) (middle of chain)</v>
          </cell>
        </row>
        <row r="13258">
          <cell r="A13258" t="str">
            <v>uaagmda_e</v>
          </cell>
          <cell r="B13258" t="str">
            <v>uaagmda</v>
          </cell>
          <cell r="C13258" t="str">
            <v>Undecaprenyl-diphospho-N-acetylmuramoyl-(N-acetylglucosamine)-L-ala-D-glu-meso-2,6-diaminopimeloyl-D-ala-D-ala</v>
          </cell>
        </row>
        <row r="13259">
          <cell r="A13259" t="str">
            <v>udcpp_e</v>
          </cell>
          <cell r="B13259" t="str">
            <v>udcpp</v>
          </cell>
          <cell r="C13259" t="str">
            <v>Undecaprenyl phosphate</v>
          </cell>
        </row>
        <row r="13260">
          <cell r="A13260" t="str">
            <v>10fthf_h</v>
          </cell>
          <cell r="B13260" t="str">
            <v>10fthf</v>
          </cell>
          <cell r="C13260" t="str">
            <v>10-Formyltetrahydrofolate</v>
          </cell>
        </row>
        <row r="13261">
          <cell r="A13261" t="str">
            <v>10fthfglu__L_c</v>
          </cell>
          <cell r="B13261" t="str">
            <v>10fthfglu__L</v>
          </cell>
          <cell r="C13261" t="str">
            <v>10-Formyltetrahydrofolyl L-glutamate</v>
          </cell>
        </row>
        <row r="13262">
          <cell r="A13262" t="str">
            <v>12dgr1801819Z_h</v>
          </cell>
          <cell r="B13262" t="str">
            <v>12dgr1801819Z</v>
          </cell>
          <cell r="C13262" t="str">
            <v>1,2-Diacyl-sn-glycerol (1-octadecanoyl,2-(9Z)-octadecenoyl, 18:0/18:1(9Z))</v>
          </cell>
        </row>
        <row r="13263">
          <cell r="A13263" t="str">
            <v>13Shocdcy1829Z11Ea_c</v>
          </cell>
          <cell r="B13263" t="str">
            <v>13Shocdcy1829Z11Ea</v>
          </cell>
          <cell r="C13263" t="str">
            <v>(9Z,11E)-(13S)-13-Hydroxyoctadeca-9,11-dienoic acid</v>
          </cell>
        </row>
        <row r="13264">
          <cell r="A13264" t="str">
            <v>1acpc_c</v>
          </cell>
          <cell r="B13264" t="str">
            <v>1acpc</v>
          </cell>
          <cell r="C13264" t="str">
            <v>1-Aminocyclopropane-1-carboxylate</v>
          </cell>
        </row>
        <row r="13265">
          <cell r="A13265" t="str">
            <v>1agpe180_c</v>
          </cell>
          <cell r="B13265" t="str">
            <v>1agpe180</v>
          </cell>
          <cell r="C13265" t="str">
            <v>1-Acyl-sn-glycero-3-phosphoethanolamine (n-C18:0)</v>
          </cell>
        </row>
        <row r="13266">
          <cell r="A13266" t="str">
            <v>1agpe1829Z12Z_c</v>
          </cell>
          <cell r="B13266" t="str">
            <v>1agpe1829Z12Z</v>
          </cell>
          <cell r="C13266" t="str">
            <v>1-Acyl-sn-glycero-3-phosphoethanolamine (18:2(9Z,12Z))</v>
          </cell>
        </row>
        <row r="13267">
          <cell r="A13267" t="str">
            <v>1btol_c</v>
          </cell>
          <cell r="B13267" t="str">
            <v>1btol</v>
          </cell>
          <cell r="C13267" t="str">
            <v>1-Butanol</v>
          </cell>
        </row>
        <row r="13268">
          <cell r="A13268" t="str">
            <v>1hdecg3p_h</v>
          </cell>
          <cell r="B13268" t="str">
            <v>1hdecg3p</v>
          </cell>
          <cell r="C13268" t="str">
            <v>1-hexadecanoyl-sn-glycerol 3-phosphate</v>
          </cell>
        </row>
        <row r="13269">
          <cell r="A13269" t="str">
            <v>1odec11eg3p_h</v>
          </cell>
          <cell r="B13269" t="str">
            <v>1odec11eg3p</v>
          </cell>
          <cell r="C13269" t="str">
            <v>1-octadec-11-enoyl-sn-glycerol 3-phosphate</v>
          </cell>
        </row>
        <row r="13270">
          <cell r="A13270" t="str">
            <v>2cpr5p_h</v>
          </cell>
          <cell r="B13270" t="str">
            <v>2cpr5p</v>
          </cell>
          <cell r="C13270" t="str">
            <v>1-(2-Carboxyphenylamino)-1-deoxy-D-ribulose 5-phosphate</v>
          </cell>
        </row>
        <row r="13271">
          <cell r="A13271" t="str">
            <v>2dhp_n</v>
          </cell>
          <cell r="B13271" t="str">
            <v>2dhp</v>
          </cell>
          <cell r="C13271" t="str">
            <v>2-Dehydropantoate</v>
          </cell>
        </row>
        <row r="13272">
          <cell r="A13272" t="str">
            <v>2h34hppr_c</v>
          </cell>
          <cell r="B13272" t="str">
            <v>2h34hppr</v>
          </cell>
          <cell r="C13272" t="str">
            <v>2-Hydroxy-3-(4-hydroxyphenyl)propenoate</v>
          </cell>
        </row>
        <row r="13273">
          <cell r="A13273" t="str">
            <v>2obut_h</v>
          </cell>
          <cell r="B13273" t="str">
            <v>2obut</v>
          </cell>
          <cell r="C13273" t="str">
            <v>2-Oxobutanoate</v>
          </cell>
        </row>
        <row r="13274">
          <cell r="A13274" t="str">
            <v>2pg_f</v>
          </cell>
          <cell r="B13274" t="str">
            <v>2pg</v>
          </cell>
          <cell r="C13274" t="str">
            <v>D-Glycerate 2-phosphate</v>
          </cell>
        </row>
        <row r="13275">
          <cell r="A13275" t="str">
            <v>2pg_h</v>
          </cell>
          <cell r="B13275" t="str">
            <v>2pg</v>
          </cell>
          <cell r="C13275" t="str">
            <v>D-Glycerate 2-phosphate</v>
          </cell>
        </row>
        <row r="13276">
          <cell r="A13276" t="str">
            <v>2pg_m</v>
          </cell>
          <cell r="B13276" t="str">
            <v>2pg</v>
          </cell>
          <cell r="C13276" t="str">
            <v>D-Glycerate 2-phosphate</v>
          </cell>
        </row>
        <row r="13277">
          <cell r="A13277" t="str">
            <v>3hddcoa_m</v>
          </cell>
          <cell r="B13277" t="str">
            <v>3hddcoa</v>
          </cell>
          <cell r="C13277" t="str">
            <v>(S)-3-Hydroxydodecanoyl-CoA</v>
          </cell>
        </row>
        <row r="13278">
          <cell r="A13278" t="str">
            <v>3hhcoa_m</v>
          </cell>
          <cell r="B13278" t="str">
            <v>3hhcoa</v>
          </cell>
          <cell r="C13278" t="str">
            <v>(S)-3-Hydroxyhexanoyl-CoA</v>
          </cell>
        </row>
        <row r="13279">
          <cell r="A13279" t="str">
            <v>3hmoa_h</v>
          </cell>
          <cell r="B13279" t="str">
            <v>3hmoa</v>
          </cell>
          <cell r="C13279" t="str">
            <v xml:space="preserve"> 3-Hydroxy-3-methyl-2-oxobutanoic acid</v>
          </cell>
        </row>
        <row r="13280">
          <cell r="A13280" t="str">
            <v>3hmop_h</v>
          </cell>
          <cell r="B13280" t="str">
            <v>3hmop</v>
          </cell>
          <cell r="C13280" t="str">
            <v>(R)-3-Hydroxy-3-methyl-2-oxopentanoate</v>
          </cell>
        </row>
        <row r="13281">
          <cell r="A13281" t="str">
            <v>3ocvac11eACP_h</v>
          </cell>
          <cell r="B13281" t="str">
            <v>3ocvac11eACP</v>
          </cell>
          <cell r="C13281" t="str">
            <v>3-oxo-cis-vacc-11-enoyl-[acyl-carrier protein]</v>
          </cell>
        </row>
        <row r="13282">
          <cell r="A13282" t="str">
            <v>3ohdcoa_m</v>
          </cell>
          <cell r="B13282" t="str">
            <v>3ohdcoa</v>
          </cell>
          <cell r="C13282" t="str">
            <v>3-Oxohexadecanoyl-CoA</v>
          </cell>
        </row>
        <row r="13283">
          <cell r="A13283" t="str">
            <v>3otdcoa_m</v>
          </cell>
          <cell r="B13283" t="str">
            <v>3otdcoa</v>
          </cell>
          <cell r="C13283" t="str">
            <v>3-Oxotetradecanoyl-CoA</v>
          </cell>
        </row>
        <row r="13284">
          <cell r="A13284" t="str">
            <v>3spyr_h</v>
          </cell>
          <cell r="B13284" t="str">
            <v>3spyr</v>
          </cell>
          <cell r="C13284" t="str">
            <v>3-Sulfopyruvate</v>
          </cell>
        </row>
        <row r="13285">
          <cell r="A13285" t="str">
            <v>4hproaraara_g</v>
          </cell>
          <cell r="B13285" t="str">
            <v>4hproaraara</v>
          </cell>
          <cell r="C13285" t="str">
            <v>Hyp(4-b1)Ara(2-b1)Ara</v>
          </cell>
        </row>
        <row r="13286">
          <cell r="A13286" t="str">
            <v>4hproaraaragal_g</v>
          </cell>
          <cell r="B13286" t="str">
            <v>4hproaraaragal</v>
          </cell>
          <cell r="C13286" t="str">
            <v>Hyp(4-b1)Ara(2-b1)Ara(2-a1)Gal</v>
          </cell>
        </row>
        <row r="13287">
          <cell r="A13287" t="str">
            <v>4hprogal_g</v>
          </cell>
          <cell r="B13287" t="str">
            <v>4hprogal</v>
          </cell>
          <cell r="C13287" t="str">
            <v>Hyp(4-a1)Gal</v>
          </cell>
        </row>
        <row r="13288">
          <cell r="A13288" t="str">
            <v>4hpro_LT_g</v>
          </cell>
          <cell r="B13288" t="str">
            <v>4hpro_LT</v>
          </cell>
          <cell r="C13288" t="str">
            <v>Trans 4 Hydroxy L proline C5H9NO3</v>
          </cell>
        </row>
        <row r="13289">
          <cell r="A13289" t="str">
            <v>4mop_h</v>
          </cell>
          <cell r="B13289" t="str">
            <v>4mop</v>
          </cell>
          <cell r="C13289" t="str">
            <v>4-Methyl-2-oxopentanoate</v>
          </cell>
        </row>
        <row r="13290">
          <cell r="A13290" t="str">
            <v>5apru_h</v>
          </cell>
          <cell r="B13290" t="str">
            <v>5apru</v>
          </cell>
          <cell r="C13290" t="str">
            <v>5-Amino-6-(5'-phosphoribosylamino)uracil</v>
          </cell>
        </row>
        <row r="13291">
          <cell r="A13291" t="str">
            <v>5flura_c</v>
          </cell>
          <cell r="B13291" t="str">
            <v>5flura</v>
          </cell>
          <cell r="C13291" t="str">
            <v>5-Fluorouracil</v>
          </cell>
        </row>
        <row r="13292">
          <cell r="A13292" t="str">
            <v>6mpur_e</v>
          </cell>
          <cell r="B13292" t="str">
            <v>6mpur</v>
          </cell>
          <cell r="C13292" t="str">
            <v>6-Mercaptopurine</v>
          </cell>
        </row>
        <row r="13293">
          <cell r="A13293" t="str">
            <v>6pgl_h</v>
          </cell>
          <cell r="B13293" t="str">
            <v>6pgl</v>
          </cell>
          <cell r="C13293" t="str">
            <v>6-phospho-D-glucono-1,5-lactone</v>
          </cell>
        </row>
        <row r="13294">
          <cell r="A13294" t="str">
            <v>6txan5mp_c</v>
          </cell>
          <cell r="B13294" t="str">
            <v>6txan5mp</v>
          </cell>
          <cell r="C13294" t="str">
            <v>6-Thioxanthine 5'-monophosphate</v>
          </cell>
        </row>
        <row r="13295">
          <cell r="A13295" t="str">
            <v>accoa_h</v>
          </cell>
          <cell r="B13295" t="str">
            <v>accoa</v>
          </cell>
          <cell r="C13295" t="str">
            <v>Acetyl-CoA</v>
          </cell>
        </row>
        <row r="13296">
          <cell r="A13296" t="str">
            <v>adpglc_h</v>
          </cell>
          <cell r="B13296" t="str">
            <v>adpglc</v>
          </cell>
          <cell r="C13296" t="str">
            <v>ADPglucose C16H23N5O15P2</v>
          </cell>
        </row>
        <row r="13297">
          <cell r="A13297" t="str">
            <v>air_h</v>
          </cell>
          <cell r="B13297" t="str">
            <v>air</v>
          </cell>
          <cell r="C13297" t="str">
            <v>5-amino-1-(5-phospho-D-ribosyl)imidazole</v>
          </cell>
        </row>
        <row r="13298">
          <cell r="A13298" t="str">
            <v>alac__S_h</v>
          </cell>
          <cell r="B13298" t="str">
            <v>alac__S</v>
          </cell>
          <cell r="C13298" t="str">
            <v>(S)-2-Acetolactate</v>
          </cell>
        </row>
        <row r="13299">
          <cell r="A13299" t="str">
            <v>alatrna_m</v>
          </cell>
          <cell r="B13299" t="str">
            <v>alatrna</v>
          </cell>
          <cell r="C13299" t="str">
            <v>L-Alanyl-tRNA(Ala)</v>
          </cell>
        </row>
        <row r="13300">
          <cell r="A13300" t="str">
            <v>alltt_m</v>
          </cell>
          <cell r="B13300" t="str">
            <v>alltt</v>
          </cell>
          <cell r="C13300" t="str">
            <v>Allantoate</v>
          </cell>
        </row>
        <row r="13301">
          <cell r="A13301" t="str">
            <v>amet_g</v>
          </cell>
          <cell r="B13301" t="str">
            <v>amet</v>
          </cell>
          <cell r="C13301" t="str">
            <v>S-Adenosyl-L-methionine</v>
          </cell>
        </row>
        <row r="13302">
          <cell r="A13302" t="str">
            <v>amp_h</v>
          </cell>
          <cell r="B13302" t="str">
            <v>amp</v>
          </cell>
          <cell r="C13302" t="str">
            <v>AMP C10H12N5O7P</v>
          </cell>
        </row>
        <row r="13303">
          <cell r="A13303" t="str">
            <v>asnglcnacglcnacman_man_man_man_man_c</v>
          </cell>
          <cell r="B13303" t="str">
            <v>asnglcnacglcnacman_man_man_man_man</v>
          </cell>
          <cell r="C13303" t="str">
            <v>Asn(-b1)GlcNAc(4-b1)GlcNAc(4-b1)Man[(6-a1)Man[(6-a1)Man](3-a1)Man](3-a1)Man</v>
          </cell>
        </row>
        <row r="13304">
          <cell r="A13304" t="str">
            <v>asn__L_x</v>
          </cell>
          <cell r="B13304" t="str">
            <v>asn__L</v>
          </cell>
          <cell r="C13304" t="str">
            <v>L-Asparagine</v>
          </cell>
        </row>
        <row r="13305">
          <cell r="A13305" t="str">
            <v>asp__L_h</v>
          </cell>
          <cell r="B13305" t="str">
            <v>asp__L</v>
          </cell>
          <cell r="C13305" t="str">
            <v>L-Aspartate</v>
          </cell>
        </row>
        <row r="13306">
          <cell r="A13306" t="str">
            <v>aspsa_h</v>
          </cell>
          <cell r="B13306" t="str">
            <v>aspsa</v>
          </cell>
          <cell r="C13306" t="str">
            <v>L-Aspartate 4-semialdehyde</v>
          </cell>
        </row>
        <row r="13307">
          <cell r="A13307" t="str">
            <v>asqdca1839Z12Z15Z160_c</v>
          </cell>
          <cell r="B13307" t="str">
            <v>asqdca1839Z12Z15Z160</v>
          </cell>
          <cell r="C13307" t="str">
            <v>2'-O-all-cis-5,9,12,15-octadecatetraenoyl-sulfoquinovosyldiacylglycerol (2'-18:4(5,9,12,15)/18:3(9Z,12Z,15Z)/16:0)</v>
          </cell>
        </row>
        <row r="13308">
          <cell r="A13308" t="str">
            <v>bathorhodopsin_s</v>
          </cell>
          <cell r="B13308" t="str">
            <v>bathorhodopsin</v>
          </cell>
          <cell r="C13308" t="str">
            <v>Bathorhodopsin</v>
          </cell>
        </row>
        <row r="13309">
          <cell r="A13309" t="str">
            <v>bcryptox_u</v>
          </cell>
          <cell r="B13309" t="str">
            <v>bcryptox</v>
          </cell>
          <cell r="C13309" t="str">
            <v>Beta-Cryptoxanthin</v>
          </cell>
        </row>
        <row r="13310">
          <cell r="A13310" t="str">
            <v>bhb_x</v>
          </cell>
          <cell r="B13310" t="str">
            <v>bhb</v>
          </cell>
          <cell r="C13310" t="str">
            <v>(R)-3-Hydroxybutanoate</v>
          </cell>
        </row>
        <row r="13311">
          <cell r="A13311" t="str">
            <v>cacoa_c</v>
          </cell>
          <cell r="B13311" t="str">
            <v>cacoa</v>
          </cell>
          <cell r="C13311" t="str">
            <v>Coniferonyl-coa</v>
          </cell>
        </row>
        <row r="13312">
          <cell r="A13312" t="str">
            <v>Ncbmpts_n</v>
          </cell>
          <cell r="B13312" t="str">
            <v>Ncbmpts</v>
          </cell>
          <cell r="C13312" t="str">
            <v>N-Carbamoylputrescine</v>
          </cell>
        </row>
        <row r="13313">
          <cell r="A13313" t="str">
            <v>cbp_h</v>
          </cell>
          <cell r="B13313" t="str">
            <v>cbp</v>
          </cell>
          <cell r="C13313" t="str">
            <v>Carbamoyl phosphate</v>
          </cell>
        </row>
        <row r="13314">
          <cell r="A13314" t="str">
            <v>cdp12dgr1819Z160_h</v>
          </cell>
          <cell r="B13314" t="str">
            <v>cdp12dgr1819Z160</v>
          </cell>
          <cell r="C13314" t="str">
            <v>CDP-1-(11Z)-octadecenoyl,2-hexadecanoyl-sn-glycerol</v>
          </cell>
        </row>
        <row r="13315">
          <cell r="A13315" t="str">
            <v>cholphya_h</v>
          </cell>
          <cell r="B13315" t="str">
            <v>cholphya</v>
          </cell>
          <cell r="C13315" t="str">
            <v>Chlorophyll a</v>
          </cell>
        </row>
        <row r="13316">
          <cell r="A13316" t="str">
            <v>chlaemr_u</v>
          </cell>
          <cell r="B13316" t="str">
            <v>chlaemr</v>
          </cell>
          <cell r="C13316" t="str">
            <v>Chlorophyll a'</v>
          </cell>
        </row>
        <row r="13317">
          <cell r="A13317" t="str">
            <v>chlb_u</v>
          </cell>
          <cell r="B13317" t="str">
            <v>chlb</v>
          </cell>
          <cell r="C13317" t="str">
            <v>Chlorophyll b</v>
          </cell>
        </row>
        <row r="13318">
          <cell r="A13318" t="str">
            <v>chlld_u</v>
          </cell>
          <cell r="B13318" t="str">
            <v>chlld</v>
          </cell>
          <cell r="C13318" t="str">
            <v>Chlorophyllide a</v>
          </cell>
        </row>
        <row r="13319">
          <cell r="A13319" t="str">
            <v>chlstol_c</v>
          </cell>
          <cell r="B13319" t="str">
            <v>chlstol</v>
          </cell>
          <cell r="C13319" t="str">
            <v>5alpha-Cholesta-7,24-dien-3beta-ol</v>
          </cell>
        </row>
        <row r="13320">
          <cell r="A13320" t="str">
            <v>cmp_h</v>
          </cell>
          <cell r="B13320" t="str">
            <v>cmp</v>
          </cell>
          <cell r="C13320" t="str">
            <v>CMP C9H12N3O8P</v>
          </cell>
        </row>
        <row r="13321">
          <cell r="A13321" t="str">
            <v>coa_h</v>
          </cell>
          <cell r="B13321" t="str">
            <v>coa</v>
          </cell>
          <cell r="C13321" t="str">
            <v>Coenzyme A</v>
          </cell>
        </row>
        <row r="13322">
          <cell r="A13322" t="str">
            <v>cpp3_h</v>
          </cell>
          <cell r="B13322" t="str">
            <v>cpp3</v>
          </cell>
          <cell r="C13322" t="str">
            <v>Coproporphyrin III</v>
          </cell>
        </row>
        <row r="13323">
          <cell r="A13323" t="str">
            <v>cpppg1_h</v>
          </cell>
          <cell r="B13323" t="str">
            <v>cpppg1</v>
          </cell>
          <cell r="C13323" t="str">
            <v>Coproporphyrinogen I</v>
          </cell>
        </row>
        <row r="13324">
          <cell r="A13324" t="str">
            <v>crpxan_u</v>
          </cell>
          <cell r="B13324" t="str">
            <v>crpxan</v>
          </cell>
          <cell r="C13324" t="str">
            <v>Alpha-Cryptoxanthin</v>
          </cell>
        </row>
        <row r="13325">
          <cell r="A13325" t="str">
            <v>ctp_h</v>
          </cell>
          <cell r="B13325" t="str">
            <v>ctp</v>
          </cell>
          <cell r="C13325" t="str">
            <v>CTP C9H12N3O14P3</v>
          </cell>
        </row>
        <row r="13326">
          <cell r="A13326" t="str">
            <v>cytP450r_h</v>
          </cell>
          <cell r="B13326" t="str">
            <v>cytP450r</v>
          </cell>
          <cell r="C13326" t="str">
            <v>Reduced flavoprotein (cytochrome P-450)</v>
          </cell>
        </row>
        <row r="13327">
          <cell r="A13327" t="str">
            <v>db4p_h</v>
          </cell>
          <cell r="B13327" t="str">
            <v>db4p</v>
          </cell>
          <cell r="C13327" t="str">
            <v>3,4-dihydroxy-2-butanone 4-phosphate</v>
          </cell>
        </row>
        <row r="13328">
          <cell r="A13328" t="str">
            <v>dcaACP_h</v>
          </cell>
          <cell r="B13328" t="str">
            <v>dcaACP</v>
          </cell>
          <cell r="C13328" t="str">
            <v>Decanoyl-ACP (n-C10:0ACP)</v>
          </cell>
        </row>
        <row r="13329">
          <cell r="A13329" t="str">
            <v>dcaro_h</v>
          </cell>
          <cell r="B13329" t="str">
            <v>dcaro</v>
          </cell>
          <cell r="C13329" t="str">
            <v>Delta-Carotene</v>
          </cell>
        </row>
        <row r="13330">
          <cell r="A13330" t="str">
            <v>ddcacoa_m</v>
          </cell>
          <cell r="B13330" t="str">
            <v>ddcacoa</v>
          </cell>
          <cell r="C13330" t="str">
            <v>Dodecanoyl-CoA (n-C12:0CoA)</v>
          </cell>
        </row>
        <row r="13331">
          <cell r="A13331" t="str">
            <v>dgdg1819Z1634Z7Z10Z_h</v>
          </cell>
          <cell r="B13331" t="str">
            <v>dgdg1819Z1634Z7Z10Z</v>
          </cell>
          <cell r="C13331" t="str">
            <v>Digalactosyldiacylglycerol (1-(9Z)-octadecenoyl,2-(4Z,7Z,10Z)-hexadecatrienoyl, 18:1(9Z)/16:3(4Z,7Z,10Z))</v>
          </cell>
        </row>
        <row r="13332">
          <cell r="A13332" t="str">
            <v>dgdg1829Z12Z1619Z_h</v>
          </cell>
          <cell r="B13332" t="str">
            <v>dgdg1829Z12Z1619Z</v>
          </cell>
          <cell r="C13332" t="str">
            <v>Digalactosyldiacylglycerol (1-(9Z,12Z)-octadecadienoyl,2-(9Z)-hexadecenoyl, 18:2(9Z,12Z)/16:1(9Z))</v>
          </cell>
        </row>
        <row r="13333">
          <cell r="A13333" t="str">
            <v>dgdg1829Z12Z1634Z7Z10Z_h</v>
          </cell>
          <cell r="B13333" t="str">
            <v>dgdg1829Z12Z1634Z7Z10Z</v>
          </cell>
          <cell r="C13333" t="str">
            <v>Digalactosyldiacylglycerol (1-(9Z,12Z)-octadecadienoyl,2-(4Z,7Z,10Z)-hexadecatrienoyl, 18:2(9Z,12Z)/16:3(4Z,7Z,10Z))</v>
          </cell>
        </row>
        <row r="13334">
          <cell r="A13334" t="str">
            <v>dgdg1829Z12Z1637Z10Z13Z_h</v>
          </cell>
          <cell r="B13334" t="str">
            <v>dgdg1829Z12Z1637Z10Z13Z</v>
          </cell>
          <cell r="C13334" t="str">
            <v>Digalactosyldiacylglycerol (1-(9Z,12Z)-octadecadienoyl,2-(7Z,10Z,13Z)-hexadecatrienoyl, 18:2(9Z,12Z)/16:3(7Z,10Z,13Z))</v>
          </cell>
        </row>
        <row r="13335">
          <cell r="A13335" t="str">
            <v>dgdg1839Z12Z15Z1627Z10Z_h</v>
          </cell>
          <cell r="B13335" t="str">
            <v>dgdg1839Z12Z15Z1627Z10Z</v>
          </cell>
          <cell r="C13335" t="str">
            <v>Digalactosyldiacylglycerol (1-(9Z,12Z,15Z)-octadecatrienoyl,2-(7Z,10Z)-hexadecadienoyl, 18:3(9Z,12Z,15Z)/16:2(7Z,10Z))</v>
          </cell>
        </row>
        <row r="13336">
          <cell r="A13336" t="str">
            <v>dgdg1839Z12Z15Z1637Z10Z13Z_h</v>
          </cell>
          <cell r="B13336" t="str">
            <v>dgdg1839Z12Z15Z1637Z10Z13Z</v>
          </cell>
          <cell r="C13336" t="str">
            <v>Digalactosyldiacylglycerol (1-(9Z,12Z,15Z)-octadecatrienoyl,2-(7Z,10Z,13Z)-hexadecatrienoyl, 18:3(9Z,12Z,15Z)/16:3(7Z,10Z,13Z))</v>
          </cell>
        </row>
        <row r="13337">
          <cell r="A13337" t="str">
            <v>dghs16018111Z_c</v>
          </cell>
          <cell r="B13337" t="str">
            <v>dghs16018111Z</v>
          </cell>
          <cell r="C13337" t="str">
            <v>Diacylglycerolhomoserine (16:0/18:1(11Z))</v>
          </cell>
        </row>
        <row r="13338">
          <cell r="A13338" t="str">
            <v>dghs1601819Z_c</v>
          </cell>
          <cell r="B13338" t="str">
            <v>dghs1601819Z</v>
          </cell>
          <cell r="C13338" t="str">
            <v>Diacylglycerolhomoserine (16:0/18:1(9Z))</v>
          </cell>
        </row>
        <row r="13339">
          <cell r="A13339" t="str">
            <v>dghs18111Z1819Z_c</v>
          </cell>
          <cell r="B13339" t="str">
            <v>dghs18111Z1819Z</v>
          </cell>
          <cell r="C13339" t="str">
            <v>Diacylglycerolhomoserine (18:1(11Z)/18:1(9Z))</v>
          </cell>
        </row>
        <row r="13340">
          <cell r="A13340" t="str">
            <v>dgts18111Z18111Z_c</v>
          </cell>
          <cell r="B13340" t="str">
            <v>dgts18111Z18111Z</v>
          </cell>
          <cell r="C13340" t="str">
            <v>Diacylglyceryl-N,N,N-trimethylhomoserine (18:1(11Z)/18:1(11Z))</v>
          </cell>
        </row>
        <row r="13341">
          <cell r="A13341" t="str">
            <v>dgts1819Z1819Z_c</v>
          </cell>
          <cell r="B13341" t="str">
            <v>dgts1819Z1819Z</v>
          </cell>
          <cell r="C13341" t="str">
            <v>Diacylglyceryl-N,N,N-trimethylhomoserine (18:1(9Z)/18:1(9Z))</v>
          </cell>
        </row>
        <row r="13342">
          <cell r="A13342" t="str">
            <v>dgts1819Z1829Z12Z_c</v>
          </cell>
          <cell r="B13342" t="str">
            <v>dgts1819Z1829Z12Z</v>
          </cell>
          <cell r="C13342" t="str">
            <v>Diacylglyceryl-N,N,N-trimethylhomoserine (18:1(9Z)/18:2(9Z,12Z))</v>
          </cell>
        </row>
        <row r="13343">
          <cell r="A13343" t="str">
            <v>dgts1829Z12Z1819Z_c</v>
          </cell>
          <cell r="B13343" t="str">
            <v>dgts1829Z12Z1819Z</v>
          </cell>
          <cell r="C13343" t="str">
            <v>Diacylglyceryl-N,N,N-trimethylhomoserine (18:2(9Z,12Z)/18:1(9Z))</v>
          </cell>
        </row>
        <row r="13344">
          <cell r="A13344" t="str">
            <v>dmlz_h</v>
          </cell>
          <cell r="B13344" t="str">
            <v>dmlz</v>
          </cell>
          <cell r="C13344" t="str">
            <v>6,7-Dimethyl-8-(1-D-ribityl)lumazine</v>
          </cell>
        </row>
        <row r="13345">
          <cell r="A13345" t="str">
            <v>dnac_n</v>
          </cell>
          <cell r="B13345" t="str">
            <v>dnac</v>
          </cell>
          <cell r="C13345" t="str">
            <v>DNA cytosine</v>
          </cell>
        </row>
        <row r="13346">
          <cell r="A13346" t="str">
            <v>doldpglcnacglcnac_c</v>
          </cell>
          <cell r="B13346" t="str">
            <v>doldpglcnacglcnac</v>
          </cell>
          <cell r="C13346" t="str">
            <v>PP-Dol(-a1)GlcNAc(4-b1)GlcNAc</v>
          </cell>
        </row>
        <row r="13347">
          <cell r="A13347" t="str">
            <v>doldpglcnacglcnacman_man_man_c</v>
          </cell>
          <cell r="B13347" t="str">
            <v>doldpglcnacglcnacman_man_man</v>
          </cell>
          <cell r="C13347" t="str">
            <v>PP-Dol(-a1)GlcNAc(4-b1)GlcNAc(4-b1)Man[(6-a1)Man](3-a1)Man</v>
          </cell>
        </row>
        <row r="13348">
          <cell r="A13348" t="str">
            <v>dsmsterol_c</v>
          </cell>
          <cell r="B13348" t="str">
            <v>dsmsterol</v>
          </cell>
          <cell r="C13348" t="str">
            <v>Desmosterol; 3beta-cholesta-5,24-dien-3-ol</v>
          </cell>
        </row>
        <row r="13349">
          <cell r="A13349" t="str">
            <v>dvchlda_h</v>
          </cell>
          <cell r="B13349" t="str">
            <v>dvchlda</v>
          </cell>
          <cell r="C13349" t="str">
            <v>Divinyl chlorophyllide a</v>
          </cell>
        </row>
        <row r="13350">
          <cell r="A13350" t="str">
            <v>dvpchlda_h</v>
          </cell>
          <cell r="B13350" t="str">
            <v>dvpchlda</v>
          </cell>
          <cell r="C13350" t="str">
            <v>Divinylprotochlorophyllide a</v>
          </cell>
        </row>
        <row r="13351">
          <cell r="A13351" t="str">
            <v>epm_h</v>
          </cell>
          <cell r="B13351" t="str">
            <v>epm</v>
          </cell>
          <cell r="C13351" t="str">
            <v>Epimelibiose C12H22O11</v>
          </cell>
        </row>
        <row r="13352">
          <cell r="A13352" t="str">
            <v>etoh_h</v>
          </cell>
          <cell r="B13352" t="str">
            <v>etoh</v>
          </cell>
          <cell r="C13352" t="str">
            <v>Ethanol</v>
          </cell>
        </row>
        <row r="13353">
          <cell r="A13353" t="str">
            <v>fadh2_h</v>
          </cell>
          <cell r="B13353" t="str">
            <v>fadh2</v>
          </cell>
          <cell r="C13353" t="str">
            <v>Flavin adenine dinucleotide reduced</v>
          </cell>
        </row>
        <row r="13354">
          <cell r="A13354" t="str">
            <v>fdp_B_c</v>
          </cell>
          <cell r="B13354" t="str">
            <v>fdp_B</v>
          </cell>
          <cell r="C13354" t="str">
            <v>Beta-D-Fructose 1,6-bisphosphate</v>
          </cell>
        </row>
        <row r="13355">
          <cell r="A13355" t="str">
            <v>fdxrd_h</v>
          </cell>
          <cell r="B13355" t="str">
            <v>fdxrd</v>
          </cell>
          <cell r="C13355" t="str">
            <v>Reduced ferredoxin</v>
          </cell>
        </row>
        <row r="13356">
          <cell r="A13356" t="str">
            <v>fdxrd_m</v>
          </cell>
          <cell r="B13356" t="str">
            <v>fdxrd</v>
          </cell>
          <cell r="C13356" t="str">
            <v>Reduced ferredoxin</v>
          </cell>
        </row>
        <row r="13357">
          <cell r="A13357" t="str">
            <v>fe3_h</v>
          </cell>
          <cell r="B13357" t="str">
            <v>fe3</v>
          </cell>
          <cell r="C13357" t="str">
            <v>Iron (Fe3+)</v>
          </cell>
        </row>
        <row r="13358">
          <cell r="A13358" t="str">
            <v>fgam_h</v>
          </cell>
          <cell r="B13358" t="str">
            <v>fgam</v>
          </cell>
          <cell r="C13358" t="str">
            <v>N2-Formyl-N1-(5-phospho-D-ribosyl)glycinamide</v>
          </cell>
        </row>
        <row r="13359">
          <cell r="A13359" t="str">
            <v>fgam_m</v>
          </cell>
          <cell r="B13359" t="str">
            <v>fgam</v>
          </cell>
          <cell r="C13359" t="str">
            <v>N2-Formyl-N1-(5-phospho-D-ribosyl)glycinamide</v>
          </cell>
        </row>
        <row r="13360">
          <cell r="A13360" t="str">
            <v>ficytc_h</v>
          </cell>
          <cell r="B13360" t="str">
            <v>ficytc</v>
          </cell>
          <cell r="C13360" t="str">
            <v>Ferricytochrome c C42H52FeN8O6S2</v>
          </cell>
        </row>
        <row r="13361">
          <cell r="A13361" t="str">
            <v>for_x</v>
          </cell>
          <cell r="B13361" t="str">
            <v>for</v>
          </cell>
          <cell r="C13361" t="str">
            <v>Formate</v>
          </cell>
        </row>
        <row r="13362">
          <cell r="A13362" t="str">
            <v>fpram_h</v>
          </cell>
          <cell r="B13362" t="str">
            <v>fpram</v>
          </cell>
          <cell r="C13362" t="str">
            <v>2-(Formamido)-N1-(5-phospho-D-ribosyl)acetamidine</v>
          </cell>
        </row>
        <row r="13363">
          <cell r="A13363" t="str">
            <v>frmd_x</v>
          </cell>
          <cell r="B13363" t="str">
            <v>frmd</v>
          </cell>
          <cell r="C13363" t="str">
            <v>Formamide</v>
          </cell>
        </row>
        <row r="13364">
          <cell r="A13364" t="str">
            <v>fru_B_h</v>
          </cell>
          <cell r="B13364" t="str">
            <v>fru_B</v>
          </cell>
          <cell r="C13364" t="str">
            <v>Beta-D-fructose</v>
          </cell>
        </row>
        <row r="13365">
          <cell r="A13365" t="str">
            <v>g1p_h</v>
          </cell>
          <cell r="B13365" t="str">
            <v>g1p</v>
          </cell>
          <cell r="C13365" t="str">
            <v>D-Glucose 1-phosphate</v>
          </cell>
        </row>
        <row r="13366">
          <cell r="A13366" t="str">
            <v>g3p_f</v>
          </cell>
          <cell r="B13366" t="str">
            <v>g3p</v>
          </cell>
          <cell r="C13366" t="str">
            <v>Glyceraldehyde 3-phosphate</v>
          </cell>
        </row>
        <row r="13367">
          <cell r="A13367" t="str">
            <v>g3p_h</v>
          </cell>
          <cell r="B13367" t="str">
            <v>g3p</v>
          </cell>
          <cell r="C13367" t="str">
            <v>Glyceraldehyde 3-phosphate</v>
          </cell>
        </row>
        <row r="13368">
          <cell r="A13368" t="str">
            <v>g3p_m</v>
          </cell>
          <cell r="B13368" t="str">
            <v>g3p</v>
          </cell>
          <cell r="C13368" t="str">
            <v>Glyceraldehyde 3-phosphate</v>
          </cell>
        </row>
        <row r="13369">
          <cell r="A13369" t="str">
            <v>g6p_A_h</v>
          </cell>
          <cell r="B13369" t="str">
            <v>g6p_A</v>
          </cell>
          <cell r="C13369" t="str">
            <v>Alpha-D-glucose 6 phosphate</v>
          </cell>
        </row>
        <row r="13370">
          <cell r="A13370" t="str">
            <v>gar_h</v>
          </cell>
          <cell r="B13370" t="str">
            <v>gar</v>
          </cell>
          <cell r="C13370" t="str">
            <v>N1-(5-Phospho-D-ribosyl)glycinamide</v>
          </cell>
        </row>
        <row r="13371">
          <cell r="A13371" t="str">
            <v>gar_m</v>
          </cell>
          <cell r="B13371" t="str">
            <v>gar</v>
          </cell>
          <cell r="C13371" t="str">
            <v>N1-(5-Phospho-D-ribosyl)glycinamide</v>
          </cell>
        </row>
        <row r="13372">
          <cell r="A13372" t="str">
            <v>gcarote_u</v>
          </cell>
          <cell r="B13372" t="str">
            <v>gcarote</v>
          </cell>
          <cell r="C13372" t="str">
            <v>Gamma-Carotene</v>
          </cell>
        </row>
        <row r="13373">
          <cell r="A13373" t="str">
            <v>gdp_h</v>
          </cell>
          <cell r="B13373" t="str">
            <v>gdp</v>
          </cell>
          <cell r="C13373" t="str">
            <v>GDP C10H12N5O11P2</v>
          </cell>
        </row>
        <row r="13374">
          <cell r="A13374" t="str">
            <v>ggchldb_u</v>
          </cell>
          <cell r="B13374" t="str">
            <v>ggchldb</v>
          </cell>
          <cell r="C13374" t="str">
            <v>Geranylgeranyl-Chlorophyllide b</v>
          </cell>
        </row>
        <row r="13375">
          <cell r="A13375" t="str">
            <v>ggdp_h</v>
          </cell>
          <cell r="B13375" t="str">
            <v>ggdp</v>
          </cell>
          <cell r="C13375" t="str">
            <v>Geranylgeranyl diphosphate C20H33O7P2</v>
          </cell>
        </row>
        <row r="13376">
          <cell r="A13376" t="str">
            <v>Glc_aD_c</v>
          </cell>
          <cell r="B13376" t="str">
            <v>Glc_aD</v>
          </cell>
          <cell r="C13376" t="str">
            <v>Alpha-D-glucose</v>
          </cell>
        </row>
        <row r="13377">
          <cell r="A13377" t="str">
            <v>gln__L_h</v>
          </cell>
          <cell r="B13377" t="str">
            <v>gln__L</v>
          </cell>
          <cell r="C13377" t="str">
            <v>L-Glutamine</v>
          </cell>
        </row>
        <row r="13378">
          <cell r="A13378" t="str">
            <v>glu1sa_h</v>
          </cell>
          <cell r="B13378" t="str">
            <v>glu1sa</v>
          </cell>
          <cell r="C13378" t="str">
            <v>L-Glutamate 1-semialdehyde</v>
          </cell>
        </row>
        <row r="13379">
          <cell r="A13379" t="str">
            <v>glu__L_h</v>
          </cell>
          <cell r="B13379" t="str">
            <v>glu__L</v>
          </cell>
          <cell r="C13379" t="str">
            <v>L-Glutamate</v>
          </cell>
        </row>
        <row r="13380">
          <cell r="A13380" t="str">
            <v>glyald_h</v>
          </cell>
          <cell r="B13380" t="str">
            <v>glyald</v>
          </cell>
          <cell r="C13380" t="str">
            <v>D-Glyceraldehyde</v>
          </cell>
        </row>
        <row r="13381">
          <cell r="A13381" t="str">
            <v>glyc_h</v>
          </cell>
          <cell r="B13381" t="str">
            <v>glyc</v>
          </cell>
          <cell r="C13381" t="str">
            <v>Glycerol</v>
          </cell>
        </row>
        <row r="13382">
          <cell r="A13382" t="str">
            <v>glytrna_m</v>
          </cell>
          <cell r="B13382" t="str">
            <v>glytrna</v>
          </cell>
          <cell r="C13382" t="str">
            <v>Glycyl-tRNA(Gly)</v>
          </cell>
        </row>
        <row r="13383">
          <cell r="A13383" t="str">
            <v>gthox_h</v>
          </cell>
          <cell r="B13383" t="str">
            <v>gthox</v>
          </cell>
          <cell r="C13383" t="str">
            <v>Oxidized glutathione</v>
          </cell>
        </row>
        <row r="13384">
          <cell r="A13384" t="str">
            <v>gthrd_u</v>
          </cell>
          <cell r="B13384" t="str">
            <v>gthrd</v>
          </cell>
          <cell r="C13384" t="str">
            <v>Reduced glutathione</v>
          </cell>
        </row>
        <row r="13385">
          <cell r="A13385" t="str">
            <v>hcarn_c</v>
          </cell>
          <cell r="B13385" t="str">
            <v>hcarn</v>
          </cell>
          <cell r="C13385" t="str">
            <v>Homocarnosine</v>
          </cell>
        </row>
        <row r="13386">
          <cell r="A13386" t="str">
            <v>hdcea_h</v>
          </cell>
          <cell r="B13386" t="str">
            <v>hdcea</v>
          </cell>
          <cell r="C13386" t="str">
            <v>Hexadecenoate (n-C16:1)</v>
          </cell>
        </row>
        <row r="13387">
          <cell r="A13387" t="str">
            <v>hexACP_h</v>
          </cell>
          <cell r="B13387" t="str">
            <v>hexACP</v>
          </cell>
          <cell r="C13387" t="str">
            <v>Hexanoyl-ACP (n-C6:0ACP)</v>
          </cell>
        </row>
        <row r="13388">
          <cell r="A13388" t="str">
            <v>histd_h</v>
          </cell>
          <cell r="B13388" t="str">
            <v>histd</v>
          </cell>
          <cell r="C13388" t="str">
            <v>L-Histidinol</v>
          </cell>
        </row>
        <row r="13389">
          <cell r="A13389" t="str">
            <v>hpglu_m</v>
          </cell>
          <cell r="B13389" t="str">
            <v>hpglu</v>
          </cell>
          <cell r="C13389" t="str">
            <v>Tetrahydropteroyltri L glutamate C24H34N8O12</v>
          </cell>
        </row>
        <row r="13390">
          <cell r="A13390" t="str">
            <v>hx2coa_x</v>
          </cell>
          <cell r="B13390" t="str">
            <v>hx2coa</v>
          </cell>
          <cell r="C13390" t="str">
            <v>Trans-Hex-2-enoyl-CoA</v>
          </cell>
        </row>
        <row r="13391">
          <cell r="A13391" t="str">
            <v>hxcoa_m</v>
          </cell>
          <cell r="B13391" t="str">
            <v>hxcoa</v>
          </cell>
          <cell r="C13391" t="str">
            <v>Hexanoyl-CoA (n-C6:0CoA)</v>
          </cell>
        </row>
        <row r="13392">
          <cell r="A13392" t="str">
            <v>icit_h</v>
          </cell>
          <cell r="B13392" t="str">
            <v>icit</v>
          </cell>
          <cell r="C13392" t="str">
            <v>Isocitrate</v>
          </cell>
        </row>
        <row r="13393">
          <cell r="A13393" t="str">
            <v>ile__L_h</v>
          </cell>
          <cell r="B13393" t="str">
            <v>ile__L</v>
          </cell>
          <cell r="C13393" t="str">
            <v>L-Isoleucine</v>
          </cell>
        </row>
        <row r="13394">
          <cell r="A13394" t="str">
            <v>imacp_h</v>
          </cell>
          <cell r="B13394" t="str">
            <v>imacp</v>
          </cell>
          <cell r="C13394" t="str">
            <v>3-(Imidazol-4-yl)-2-oxopropyl phosphate</v>
          </cell>
        </row>
        <row r="13395">
          <cell r="A13395" t="str">
            <v>lac__L_x</v>
          </cell>
          <cell r="B13395" t="str">
            <v>lac__L</v>
          </cell>
          <cell r="C13395" t="str">
            <v>L-Lactate</v>
          </cell>
        </row>
        <row r="13396">
          <cell r="A13396" t="str">
            <v>lido_e</v>
          </cell>
          <cell r="B13396" t="str">
            <v>lido</v>
          </cell>
          <cell r="C13396" t="str">
            <v>Lidocaine</v>
          </cell>
        </row>
        <row r="13397">
          <cell r="A13397" t="str">
            <v>loroxan_u</v>
          </cell>
          <cell r="B13397" t="str">
            <v>loroxan</v>
          </cell>
          <cell r="C13397" t="str">
            <v>Loroxanthin</v>
          </cell>
        </row>
        <row r="13398">
          <cell r="A13398" t="str">
            <v>lut_u</v>
          </cell>
          <cell r="B13398" t="str">
            <v>lut</v>
          </cell>
          <cell r="C13398" t="str">
            <v>Lutein</v>
          </cell>
        </row>
        <row r="13399">
          <cell r="A13399" t="str">
            <v>lycop_h</v>
          </cell>
          <cell r="B13399" t="str">
            <v>lycop</v>
          </cell>
          <cell r="C13399" t="str">
            <v>Lycopene</v>
          </cell>
        </row>
        <row r="13400">
          <cell r="A13400" t="str">
            <v>mag1819Z_c</v>
          </cell>
          <cell r="B13400" t="str">
            <v>mag1819Z</v>
          </cell>
          <cell r="C13400" t="str">
            <v>1-monoacylglycerol (18:1(9Z))</v>
          </cell>
        </row>
        <row r="13401">
          <cell r="A13401" t="str">
            <v>meglyxyl_c</v>
          </cell>
          <cell r="B13401" t="str">
            <v>meglyxyl</v>
          </cell>
          <cell r="C13401" t="str">
            <v>Monoethylglycinexylidide</v>
          </cell>
        </row>
        <row r="13402">
          <cell r="A13402" t="str">
            <v>methf_h</v>
          </cell>
          <cell r="B13402" t="str">
            <v>methf</v>
          </cell>
          <cell r="C13402" t="str">
            <v>5,10-Methenyltetrahydrofolate</v>
          </cell>
        </row>
        <row r="13403">
          <cell r="A13403" t="str">
            <v>mfor_h</v>
          </cell>
          <cell r="B13403" t="str">
            <v>mfor</v>
          </cell>
          <cell r="C13403" t="str">
            <v>Methyl formate</v>
          </cell>
        </row>
        <row r="13404">
          <cell r="A13404" t="str">
            <v>mg2_h</v>
          </cell>
          <cell r="B13404" t="str">
            <v>mg2</v>
          </cell>
          <cell r="C13404" t="str">
            <v>Magnesium</v>
          </cell>
        </row>
        <row r="13405">
          <cell r="A13405" t="str">
            <v>mgdg1819Z1637Z10Z13Z_h</v>
          </cell>
          <cell r="B13405" t="str">
            <v>mgdg1819Z1637Z10Z13Z</v>
          </cell>
          <cell r="C13405" t="str">
            <v>Monogalactosyldiacylglycerol (1-(9Z)-octadecenoyl,2-(7Z,10Z,13Z)-hexadecatrienoyl, 18:1(9Z)/16:3(7Z,10Z,13Z))</v>
          </cell>
        </row>
        <row r="13406">
          <cell r="A13406" t="str">
            <v>mgdg1829Z12Z1617Z_h</v>
          </cell>
          <cell r="B13406" t="str">
            <v>mgdg1829Z12Z1617Z</v>
          </cell>
          <cell r="C13406" t="str">
            <v>Monogalactosyldiacylglycerol (1-(9Z,12Z)-octadecadienoyl,2-(7Z)-hexadecenoyl, 18:2(9Z,12Z)/16:1(7Z))</v>
          </cell>
        </row>
        <row r="13407">
          <cell r="A13407" t="str">
            <v>mi1456p_c</v>
          </cell>
          <cell r="B13407" t="str">
            <v>mi1456p</v>
          </cell>
          <cell r="C13407" t="str">
            <v>1D myo Inositol 1 4 5 6 tetrakisphosphate C6H8O18P4</v>
          </cell>
        </row>
        <row r="13408">
          <cell r="A13408" t="str">
            <v>mm_m</v>
          </cell>
          <cell r="B13408" t="str">
            <v>mm</v>
          </cell>
          <cell r="C13408" t="str">
            <v>Methylmalonate</v>
          </cell>
        </row>
        <row r="13409">
          <cell r="A13409" t="str">
            <v>2m6phol_h</v>
          </cell>
          <cell r="B13409" t="str">
            <v>2m6phol</v>
          </cell>
          <cell r="C13409" t="str">
            <v>2-Methyl-6-phytylquinol</v>
          </cell>
        </row>
        <row r="13410">
          <cell r="A13410" t="str">
            <v>mthgxl_x</v>
          </cell>
          <cell r="B13410" t="str">
            <v>mthgxl</v>
          </cell>
          <cell r="C13410" t="str">
            <v>Methylglyoxal</v>
          </cell>
        </row>
        <row r="13411">
          <cell r="A13411" t="str">
            <v>nadh_f</v>
          </cell>
          <cell r="B13411" t="str">
            <v>nadh</v>
          </cell>
          <cell r="C13411" t="str">
            <v>Nicotinamide adenine dinucleotide - reduced</v>
          </cell>
        </row>
        <row r="13412">
          <cell r="A13412" t="str">
            <v>nadh_h</v>
          </cell>
          <cell r="B13412" t="str">
            <v>nadh</v>
          </cell>
          <cell r="C13412" t="str">
            <v>Nicotinamide adenine dinucleotide - reduced</v>
          </cell>
        </row>
        <row r="13413">
          <cell r="A13413" t="str">
            <v>nadp_s</v>
          </cell>
          <cell r="B13413" t="str">
            <v>nadp</v>
          </cell>
          <cell r="C13413" t="str">
            <v>Nicotinamide adenine dinucleotide phosphate</v>
          </cell>
        </row>
        <row r="13414">
          <cell r="A13414" t="str">
            <v>nadp_u</v>
          </cell>
          <cell r="B13414" t="str">
            <v>nadp</v>
          </cell>
          <cell r="C13414" t="str">
            <v>Nicotinamide adenine dinucleotide phosphate</v>
          </cell>
        </row>
        <row r="13415">
          <cell r="A13415" t="str">
            <v>neoxan_u</v>
          </cell>
          <cell r="B13415" t="str">
            <v>neoxan</v>
          </cell>
          <cell r="C13415" t="str">
            <v>Neoxanthin</v>
          </cell>
        </row>
        <row r="13416">
          <cell r="A13416" t="str">
            <v>no2_h</v>
          </cell>
          <cell r="B13416" t="str">
            <v>no2</v>
          </cell>
          <cell r="C13416" t="str">
            <v>Nitrite</v>
          </cell>
        </row>
        <row r="13417">
          <cell r="A13417" t="str">
            <v>oc2coa_m</v>
          </cell>
          <cell r="B13417" t="str">
            <v>oc2coa</v>
          </cell>
          <cell r="C13417" t="str">
            <v>Trans-Oct-2-enoyl-CoA</v>
          </cell>
        </row>
        <row r="13418">
          <cell r="A13418" t="str">
            <v>ocACP_h</v>
          </cell>
          <cell r="B13418" t="str">
            <v>ocACP</v>
          </cell>
          <cell r="C13418" t="str">
            <v>Octanoyl-ACP (n-C8:0ACP)</v>
          </cell>
        </row>
        <row r="13419">
          <cell r="A13419" t="str">
            <v>ocdce9a_h</v>
          </cell>
          <cell r="B13419" t="str">
            <v>ocdce9a</v>
          </cell>
          <cell r="C13419" t="str">
            <v>Octadecenoate (18:1(9Z))</v>
          </cell>
        </row>
        <row r="13420">
          <cell r="A13420" t="str">
            <v>oxa_m</v>
          </cell>
          <cell r="B13420" t="str">
            <v>oxa</v>
          </cell>
          <cell r="C13420" t="str">
            <v>Oxalate</v>
          </cell>
        </row>
        <row r="13421">
          <cell r="A13421" t="str">
            <v>pa_c</v>
          </cell>
          <cell r="B13421" t="str">
            <v>pa</v>
          </cell>
          <cell r="C13421" t="str">
            <v>Pinolenic acid (18:3(5Z,9Z,12Z))</v>
          </cell>
        </row>
        <row r="13422">
          <cell r="A13422" t="str">
            <v>pa160_h</v>
          </cell>
          <cell r="B13422" t="str">
            <v>pa160</v>
          </cell>
          <cell r="C13422" t="str">
            <v>1,2-dihexadecanoyl-sn-glycerol 3-phosphate</v>
          </cell>
        </row>
        <row r="13423">
          <cell r="A13423" t="str">
            <v>pa1801819Z_c</v>
          </cell>
          <cell r="B13423" t="str">
            <v>pa1801819Z</v>
          </cell>
          <cell r="C13423" t="str">
            <v>1-octadecanoyl,2-(9Z)-octadecenoyl-sn-glycerol 3-phosphate</v>
          </cell>
        </row>
        <row r="13424">
          <cell r="A13424" t="str">
            <v>pa1801835Z9Z12Z_c</v>
          </cell>
          <cell r="B13424" t="str">
            <v>pa1801835Z9Z12Z</v>
          </cell>
          <cell r="C13424" t="str">
            <v>1-octadecanoyl,2-(5Z,9Z,12Z)-octadecatrienoyl-sn-glycerol 3-phosphate</v>
          </cell>
        </row>
        <row r="13425">
          <cell r="A13425" t="str">
            <v>pa1801845Z9Z12Z15Z_c</v>
          </cell>
          <cell r="B13425" t="str">
            <v>pa1801845Z9Z12Z15Z</v>
          </cell>
          <cell r="C13425" t="str">
            <v>1-octadecanoyl,2-(5Z,9Z,12Z,15Z)-octadecatetraenoyl-sn-glycerol 3-phosphate</v>
          </cell>
        </row>
        <row r="13426">
          <cell r="A13426" t="str">
            <v>pa18111Z160_c</v>
          </cell>
          <cell r="B13426" t="str">
            <v>pa18111Z160</v>
          </cell>
          <cell r="C13426" t="str">
            <v>1-(11Z)-octadecenoyl,2-hexadecanoyl-sn-glycerol 3-phosphate</v>
          </cell>
        </row>
        <row r="13427">
          <cell r="A13427" t="str">
            <v>pa18111Z1829Z12Z_c</v>
          </cell>
          <cell r="B13427" t="str">
            <v>pa18111Z1829Z12Z</v>
          </cell>
          <cell r="C13427" t="str">
            <v>1-(11Z)-octadecenoyl,2-(9Z,12Z)-octadecadienoyl-sn-glycerol 3-phosphate</v>
          </cell>
        </row>
        <row r="13428">
          <cell r="A13428" t="str">
            <v>pa1819Z1829Z12Z_c</v>
          </cell>
          <cell r="B13428" t="str">
            <v>pa1819Z1829Z12Z</v>
          </cell>
          <cell r="C13428" t="str">
            <v>1-(9Z)-octadecenoyl,2-(9Z,12Z)-octadecadienoyl-sn-glycerol 3-phosphate</v>
          </cell>
        </row>
        <row r="13429">
          <cell r="A13429" t="str">
            <v>pail18111Z160_e</v>
          </cell>
          <cell r="B13429" t="str">
            <v>pail18111Z160</v>
          </cell>
          <cell r="C13429" t="str">
            <v>1-Phosphatidyl-D-myo-inositol (1-(11Z)-octadecenoyl,2-hexadecanoyl, 18:1(11Z)/16:0)</v>
          </cell>
        </row>
        <row r="13430">
          <cell r="A13430" t="str">
            <v>palmACP_h</v>
          </cell>
          <cell r="B13430" t="str">
            <v>palmACP</v>
          </cell>
          <cell r="C13430" t="str">
            <v>Palmitoyl-ACP (n-C16:0ACP)</v>
          </cell>
        </row>
        <row r="13431">
          <cell r="A13431" t="str">
            <v>pant__R_n</v>
          </cell>
          <cell r="B13431" t="str">
            <v>pant__R</v>
          </cell>
          <cell r="C13431" t="str">
            <v>(R)-Pantoate</v>
          </cell>
        </row>
        <row r="13432">
          <cell r="A13432" t="str">
            <v>paps_h</v>
          </cell>
          <cell r="B13432" t="str">
            <v>paps</v>
          </cell>
          <cell r="C13432" t="str">
            <v>3'-Phosphoadenylyl sulfate</v>
          </cell>
        </row>
        <row r="13433">
          <cell r="A13433" t="str">
            <v>paps_m</v>
          </cell>
          <cell r="B13433" t="str">
            <v>paps</v>
          </cell>
          <cell r="C13433" t="str">
            <v>3'-Phosphoadenylyl sulfate</v>
          </cell>
        </row>
        <row r="13434">
          <cell r="A13434" t="str">
            <v>pchlda_h</v>
          </cell>
          <cell r="B13434" t="str">
            <v>pchlda</v>
          </cell>
          <cell r="C13434" t="str">
            <v>Protochlorophyllide a</v>
          </cell>
        </row>
        <row r="13435">
          <cell r="A13435" t="str">
            <v>pe1801835Z9Z12Z_c</v>
          </cell>
          <cell r="B13435" t="str">
            <v>pe1801835Z9Z12Z</v>
          </cell>
          <cell r="C13435" t="str">
            <v>Phosphatidylethanolamine (18:0/18:3(5Z,9Z,12Z))</v>
          </cell>
        </row>
        <row r="13436">
          <cell r="A13436" t="str">
            <v>pe18111Z1829Z12Z_e</v>
          </cell>
          <cell r="B13436" t="str">
            <v>pe18111Z1829Z12Z</v>
          </cell>
          <cell r="C13436" t="str">
            <v>Phosphatidylethanolamine (18:1(11Z)/18:2(9Z,12Z))</v>
          </cell>
        </row>
        <row r="13437">
          <cell r="A13437" t="str">
            <v>pe18111Z1835Z9Z12Z_e</v>
          </cell>
          <cell r="B13437" t="str">
            <v>pe18111Z1835Z9Z12Z</v>
          </cell>
          <cell r="C13437" t="str">
            <v>Phosphatidylethanolamine (18:1(11Z)/18:3(5Z,9Z,12Z))</v>
          </cell>
        </row>
        <row r="13438">
          <cell r="A13438" t="str">
            <v>pe18111Z1845Z9Z12Z15Z_e</v>
          </cell>
          <cell r="B13438" t="str">
            <v>pe18111Z1845Z9Z12Z15Z</v>
          </cell>
          <cell r="C13438" t="str">
            <v>Phosphatidylethanolamine (18:1(11Z)/18:4(5Z,9Z,12Z,15Z))</v>
          </cell>
        </row>
        <row r="13439">
          <cell r="A13439" t="str">
            <v>pe1819Z1845Z9Z12Z15Z_c</v>
          </cell>
          <cell r="B13439" t="str">
            <v>pe1819Z1845Z9Z12Z15Z</v>
          </cell>
          <cell r="C13439" t="str">
            <v>Phosphatidylethanolamine (18:1(9Z)/18:4(5Z,9Z,12Z,15Z))</v>
          </cell>
        </row>
        <row r="13440">
          <cell r="A13440" t="str">
            <v>pe1829Z12Z1835Z9Z12Z_c</v>
          </cell>
          <cell r="B13440" t="str">
            <v>pe1829Z12Z1835Z9Z12Z</v>
          </cell>
          <cell r="C13440" t="str">
            <v>Phosphatidylethanolamine (18:2(9Z,12Z)/18:3(5Z,9Z,12Z))</v>
          </cell>
        </row>
        <row r="13441">
          <cell r="A13441" t="str">
            <v>pep_f</v>
          </cell>
          <cell r="B13441" t="str">
            <v>pep</v>
          </cell>
          <cell r="C13441" t="str">
            <v>Phosphoenolpyruvate</v>
          </cell>
        </row>
        <row r="13442">
          <cell r="A13442" t="str">
            <v>pep_h</v>
          </cell>
          <cell r="B13442" t="str">
            <v>pep</v>
          </cell>
          <cell r="C13442" t="str">
            <v>Phosphoenolpyruvate</v>
          </cell>
        </row>
        <row r="13443">
          <cell r="A13443" t="str">
            <v>pg18111Z160_c</v>
          </cell>
          <cell r="B13443" t="str">
            <v>pg18111Z160</v>
          </cell>
          <cell r="C13443" t="str">
            <v>Phosphatidylglycerol (1-(11Z)-octadecenoyl,2-hexadecanoyl, 18:1(11Z)/16:0)</v>
          </cell>
        </row>
        <row r="13444">
          <cell r="A13444" t="str">
            <v>pg1819Z160_c</v>
          </cell>
          <cell r="B13444" t="str">
            <v>pg1819Z160</v>
          </cell>
          <cell r="C13444" t="str">
            <v>Phosphatidylglycerol (1-(9Z)-octadecenoyl,2-hexadecanoyl, 18:1(9Z)/16:0)</v>
          </cell>
        </row>
        <row r="13445">
          <cell r="A13445" t="str">
            <v>pg1829Z12Z160_h</v>
          </cell>
          <cell r="B13445" t="str">
            <v>pg1829Z12Z160</v>
          </cell>
          <cell r="C13445" t="str">
            <v>Phosphatidylglycerol (1-(9Z,12Z)-octadecadienoyl,2-hexadecanoyl, 18:2(9Z,12Z)/16:0)</v>
          </cell>
        </row>
        <row r="13446">
          <cell r="A13446" t="str">
            <v>pgp18111Z160_e</v>
          </cell>
          <cell r="B13446" t="str">
            <v>pgp18111Z160</v>
          </cell>
          <cell r="C13446" t="str">
            <v>Phosphatidylglycerophosphate (1-(11Z)-octadecenoyl,2-hexadecanoyl, 18:1(11Z)/16:0)</v>
          </cell>
        </row>
        <row r="13447">
          <cell r="A13447" t="str">
            <v>pgp1819Z160_h</v>
          </cell>
          <cell r="B13447" t="str">
            <v>pgp1819Z160</v>
          </cell>
          <cell r="C13447" t="str">
            <v>Phosphatidylglycerophosphate (1-(9Z)-octadecenoyl,2-hexadecanoyl, 18:1(9Z)/16:0)</v>
          </cell>
        </row>
        <row r="13448">
          <cell r="A13448" t="str">
            <v>phom_h</v>
          </cell>
          <cell r="B13448" t="str">
            <v>phom</v>
          </cell>
          <cell r="C13448" t="str">
            <v>O-Phospho-L-homoserine</v>
          </cell>
        </row>
        <row r="13449">
          <cell r="A13449" t="str">
            <v>photon298_c</v>
          </cell>
          <cell r="B13449" t="str">
            <v>photon298</v>
          </cell>
          <cell r="C13449" t="str">
            <v>Photon (281 to 306 nm, UVB)</v>
          </cell>
        </row>
        <row r="13450">
          <cell r="A13450" t="str">
            <v>photon438_u</v>
          </cell>
          <cell r="B13450" t="str">
            <v>photon438</v>
          </cell>
          <cell r="C13450" t="str">
            <v>Photon (378 to 482 nm, violet/blue)</v>
          </cell>
        </row>
        <row r="13451">
          <cell r="A13451" t="str">
            <v>photon450_h</v>
          </cell>
          <cell r="B13451" t="str">
            <v>photon450</v>
          </cell>
          <cell r="C13451" t="str">
            <v>Photon (417 to 472 nm, indigo/blue)</v>
          </cell>
        </row>
        <row r="13452">
          <cell r="A13452" t="str">
            <v>photon680_u</v>
          </cell>
          <cell r="B13452" t="str">
            <v>photon680</v>
          </cell>
          <cell r="C13452" t="str">
            <v>Photon (662 to 691 nm, red)</v>
          </cell>
        </row>
        <row r="13453">
          <cell r="A13453" t="str">
            <v>phphtna_u</v>
          </cell>
          <cell r="B13453" t="str">
            <v>phphtna</v>
          </cell>
          <cell r="C13453" t="str">
            <v>Pheophytin a</v>
          </cell>
        </row>
        <row r="13454">
          <cell r="A13454" t="str">
            <v>pmtcoa_h</v>
          </cell>
          <cell r="B13454" t="str">
            <v>pmtcoa</v>
          </cell>
          <cell r="C13454" t="str">
            <v>Palmitoyl-CoA (n-C16:0CoA)</v>
          </cell>
        </row>
        <row r="13455">
          <cell r="A13455" t="str">
            <v>pphn_h</v>
          </cell>
          <cell r="B13455" t="str">
            <v>pphn</v>
          </cell>
          <cell r="C13455" t="str">
            <v>Prephenate</v>
          </cell>
        </row>
        <row r="13456">
          <cell r="A13456" t="str">
            <v>prfp_h</v>
          </cell>
          <cell r="B13456" t="str">
            <v>prfp</v>
          </cell>
          <cell r="C13456" t="str">
            <v>1-(5-Phosphoribosyl)-5-[(5-phosphoribosylamino)methylideneamino]imidazole-4-carboxamide</v>
          </cell>
        </row>
        <row r="13457">
          <cell r="A13457" t="str">
            <v>prpncoa_n</v>
          </cell>
          <cell r="B13457" t="str">
            <v>prpncoa</v>
          </cell>
          <cell r="C13457" t="str">
            <v>Propenoyl-CoA</v>
          </cell>
        </row>
        <row r="13458">
          <cell r="A13458" t="str">
            <v>psqldp_c</v>
          </cell>
          <cell r="B13458" t="str">
            <v>psqldp</v>
          </cell>
          <cell r="C13458" t="str">
            <v>Presqualene diphosphate</v>
          </cell>
        </row>
        <row r="13459">
          <cell r="A13459" t="str">
            <v>ptrc_h</v>
          </cell>
          <cell r="B13459" t="str">
            <v>ptrc</v>
          </cell>
          <cell r="C13459" t="str">
            <v>Putrescine</v>
          </cell>
        </row>
        <row r="13460">
          <cell r="A13460" t="str">
            <v>pyr_f</v>
          </cell>
          <cell r="B13460" t="str">
            <v>pyr</v>
          </cell>
          <cell r="C13460" t="str">
            <v>Pyruvate</v>
          </cell>
        </row>
        <row r="13461">
          <cell r="A13461" t="str">
            <v>pyr_h</v>
          </cell>
          <cell r="B13461" t="str">
            <v>pyr</v>
          </cell>
          <cell r="C13461" t="str">
            <v>Pyruvate</v>
          </cell>
        </row>
        <row r="13462">
          <cell r="A13462" t="str">
            <v>retinal_s</v>
          </cell>
          <cell r="B13462" t="str">
            <v>retinal</v>
          </cell>
          <cell r="C13462" t="str">
            <v>All-trans-Retinal</v>
          </cell>
        </row>
        <row r="13463">
          <cell r="A13463" t="str">
            <v>retinol_s</v>
          </cell>
          <cell r="B13463" t="str">
            <v>retinol</v>
          </cell>
          <cell r="C13463" t="str">
            <v>All-trans-Retinol</v>
          </cell>
        </row>
        <row r="13464">
          <cell r="A13464" t="str">
            <v>sbt__D_h</v>
          </cell>
          <cell r="B13464" t="str">
            <v>sbt__D</v>
          </cell>
          <cell r="C13464" t="str">
            <v>D-Sorbitol</v>
          </cell>
        </row>
        <row r="13465">
          <cell r="A13465" t="str">
            <v>selcyst_h</v>
          </cell>
          <cell r="B13465" t="str">
            <v>selcyst</v>
          </cell>
          <cell r="C13465" t="str">
            <v>Selenocystathionine</v>
          </cell>
        </row>
        <row r="13466">
          <cell r="A13466" t="str">
            <v>seln_h</v>
          </cell>
          <cell r="B13466" t="str">
            <v>seln</v>
          </cell>
          <cell r="C13466" t="str">
            <v>Selenide</v>
          </cell>
        </row>
        <row r="13467">
          <cell r="A13467" t="str">
            <v>seln_m</v>
          </cell>
          <cell r="B13467" t="str">
            <v>seln</v>
          </cell>
          <cell r="C13467" t="str">
            <v>Selenide</v>
          </cell>
        </row>
        <row r="13468">
          <cell r="A13468" t="str">
            <v>ser__L_h</v>
          </cell>
          <cell r="B13468" t="str">
            <v>ser__L</v>
          </cell>
          <cell r="C13468" t="str">
            <v>L-Serine</v>
          </cell>
        </row>
        <row r="13469">
          <cell r="A13469" t="str">
            <v>sheme_h</v>
          </cell>
          <cell r="B13469" t="str">
            <v>sheme</v>
          </cell>
          <cell r="C13469" t="str">
            <v>Siroheme C42H36FeN4O16</v>
          </cell>
        </row>
        <row r="13470">
          <cell r="A13470" t="str">
            <v>spmd_h</v>
          </cell>
          <cell r="B13470" t="str">
            <v>spmd</v>
          </cell>
          <cell r="C13470" t="str">
            <v>Spermidine</v>
          </cell>
        </row>
        <row r="13471">
          <cell r="A13471" t="str">
            <v>spmd_m</v>
          </cell>
          <cell r="B13471" t="str">
            <v>spmd</v>
          </cell>
          <cell r="C13471" t="str">
            <v>Spermidine</v>
          </cell>
        </row>
        <row r="13472">
          <cell r="A13472" t="str">
            <v>sqdg160_h</v>
          </cell>
          <cell r="B13472" t="str">
            <v>sqdg160</v>
          </cell>
          <cell r="C13472" t="str">
            <v>Sulfoquinovosyldiacylglycerol (n-C16 0)</v>
          </cell>
        </row>
        <row r="13473">
          <cell r="A13473" t="str">
            <v>sqdg18111Z160_h</v>
          </cell>
          <cell r="B13473" t="str">
            <v>sqdg18111Z160</v>
          </cell>
          <cell r="C13473" t="str">
            <v>Sulfoquinovosyldiacylglycerol (1-(11Z)-octadecenoyl,2-hexadecanoyl, 18:1(11Z)/16:0)</v>
          </cell>
        </row>
        <row r="13474">
          <cell r="A13474" t="str">
            <v>stys_h</v>
          </cell>
          <cell r="B13474" t="str">
            <v>stys</v>
          </cell>
          <cell r="C13474" t="str">
            <v>Stachyose</v>
          </cell>
        </row>
        <row r="13475">
          <cell r="A13475" t="str">
            <v>suchms_h</v>
          </cell>
          <cell r="B13475" t="str">
            <v>suchms</v>
          </cell>
          <cell r="C13475" t="str">
            <v>O-Succinyl-L-homoserine</v>
          </cell>
        </row>
        <row r="13476">
          <cell r="A13476" t="str">
            <v>t3c11vaceACP_h</v>
          </cell>
          <cell r="B13476" t="str">
            <v>t3c11vaceACP</v>
          </cell>
          <cell r="C13476" t="str">
            <v>Trans-3-cis-11-vacceoyl-[acyl-carrier protein]</v>
          </cell>
        </row>
        <row r="13477">
          <cell r="A13477" t="str">
            <v>tag16018111Z180_c</v>
          </cell>
          <cell r="B13477" t="str">
            <v>tag16018111Z180</v>
          </cell>
          <cell r="C13477" t="str">
            <v>Triacylglycerol (16:0/18:1(11Z)/18:0)</v>
          </cell>
        </row>
        <row r="13478">
          <cell r="A13478" t="str">
            <v>tag16018111Z1819Z_c</v>
          </cell>
          <cell r="B13478" t="str">
            <v>tag16018111Z1819Z</v>
          </cell>
          <cell r="C13478" t="str">
            <v>Triacylglycerol (16:0/18:1(11Z)/18:1(9Z))</v>
          </cell>
        </row>
        <row r="13479">
          <cell r="A13479" t="str">
            <v>tag16018111Z1835Z9Z12Z_c</v>
          </cell>
          <cell r="B13479" t="str">
            <v>tag16018111Z1835Z9Z12Z</v>
          </cell>
          <cell r="C13479" t="str">
            <v>Triacylglycerol (16:0/18:1(11Z)/18:3(5Z,9Z,12Z))</v>
          </cell>
        </row>
        <row r="13480">
          <cell r="A13480" t="str">
            <v>tag1801819Z160_c</v>
          </cell>
          <cell r="B13480" t="str">
            <v>tag1801819Z160</v>
          </cell>
          <cell r="C13480" t="str">
            <v>Triacylglycerol (18:0/18:1(9Z)/16:0)</v>
          </cell>
        </row>
        <row r="13481">
          <cell r="A13481" t="str">
            <v>tag18111Z18111Z180_c</v>
          </cell>
          <cell r="B13481" t="str">
            <v>tag18111Z18111Z180</v>
          </cell>
          <cell r="C13481" t="str">
            <v>Triacylglycerol (18:1(11Z)/18:1(11Z)/18:0)</v>
          </cell>
        </row>
        <row r="13482">
          <cell r="A13482" t="str">
            <v>tag18111Z1819Z1835Z9Z12Z_c</v>
          </cell>
          <cell r="B13482" t="str">
            <v>tag18111Z1819Z1835Z9Z12Z</v>
          </cell>
          <cell r="C13482" t="str">
            <v>Triacylglycerol (18:1(11Z)/18:1(9Z)/18:3(5Z,9Z,12Z))</v>
          </cell>
        </row>
        <row r="13483">
          <cell r="A13483" t="str">
            <v>tag1819Z18111Z18111Z_c</v>
          </cell>
          <cell r="B13483" t="str">
            <v>tag1819Z18111Z18111Z</v>
          </cell>
          <cell r="C13483" t="str">
            <v>Triacylglycerol (18:1(9Z)/18:1(11Z)/18:1(11Z))</v>
          </cell>
        </row>
        <row r="13484">
          <cell r="A13484" t="str">
            <v>tag1819Z1819Z18111Z_c</v>
          </cell>
          <cell r="B13484" t="str">
            <v>tag1819Z1819Z18111Z</v>
          </cell>
          <cell r="C13484" t="str">
            <v>Triacylglycerol (18:1(9Z)/18:1(9Z)/18:1(11Z))</v>
          </cell>
        </row>
        <row r="13485">
          <cell r="A13485" t="str">
            <v>tag1819Z1819Z1845Z9Z12Z15Z_c</v>
          </cell>
          <cell r="B13485" t="str">
            <v>tag1819Z1819Z1845Z9Z12Z15Z</v>
          </cell>
          <cell r="C13485" t="str">
            <v>Triacylglycerol (18:1(9Z)/18:1(9Z)/18:4(5Z,9Z,12Z,15Z))</v>
          </cell>
        </row>
        <row r="13486">
          <cell r="A13486" t="str">
            <v>td2coa_m</v>
          </cell>
          <cell r="B13486" t="str">
            <v>td2coa</v>
          </cell>
          <cell r="C13486" t="str">
            <v>Trans-Tetradec-2-enoyl-CoA</v>
          </cell>
        </row>
        <row r="13487">
          <cell r="A13487" t="str">
            <v>tega_e</v>
          </cell>
          <cell r="B13487" t="str">
            <v>tega</v>
          </cell>
          <cell r="C13487" t="str">
            <v>Tegafur</v>
          </cell>
        </row>
        <row r="13488">
          <cell r="A13488" t="str">
            <v>toctd2eACP_h</v>
          </cell>
          <cell r="B13488" t="str">
            <v>toctd2eACP</v>
          </cell>
          <cell r="C13488" t="str">
            <v>Trans-octadec-2-enoyl-[acyl-carrier protein]</v>
          </cell>
        </row>
        <row r="13489">
          <cell r="A13489" t="str">
            <v>trdox_h</v>
          </cell>
          <cell r="B13489" t="str">
            <v>trdox</v>
          </cell>
          <cell r="C13489" t="str">
            <v>Oxidized thioredoxin</v>
          </cell>
        </row>
        <row r="13490">
          <cell r="A13490" t="str">
            <v>trdrd_h</v>
          </cell>
          <cell r="B13490" t="str">
            <v>trdrd</v>
          </cell>
          <cell r="C13490" t="str">
            <v>Reduced thioredoxin</v>
          </cell>
        </row>
        <row r="13491">
          <cell r="A13491" t="str">
            <v>trnagly_m</v>
          </cell>
          <cell r="B13491" t="str">
            <v>trnagly</v>
          </cell>
          <cell r="C13491" t="str">
            <v>TRNA(Gly)</v>
          </cell>
        </row>
        <row r="13492">
          <cell r="A13492" t="str">
            <v>tyr_Lso4_c</v>
          </cell>
          <cell r="B13492" t="str">
            <v>tyr_Lso4</v>
          </cell>
          <cell r="C13492" t="str">
            <v>Protein L-tyrosine sulfate</v>
          </cell>
        </row>
        <row r="13493">
          <cell r="A13493" t="str">
            <v>udp_h</v>
          </cell>
          <cell r="B13493" t="str">
            <v>udp</v>
          </cell>
          <cell r="C13493" t="str">
            <v>UDP C9H11N2O12P2</v>
          </cell>
        </row>
        <row r="13494">
          <cell r="A13494" t="str">
            <v>udparab_c</v>
          </cell>
          <cell r="B13494" t="str">
            <v>udparab</v>
          </cell>
          <cell r="C13494" t="str">
            <v>UDP-L-arabinose</v>
          </cell>
        </row>
        <row r="13495">
          <cell r="A13495" t="str">
            <v>udpg_h</v>
          </cell>
          <cell r="B13495" t="str">
            <v>udpg</v>
          </cell>
          <cell r="C13495" t="str">
            <v>UDPglucose</v>
          </cell>
        </row>
        <row r="13496">
          <cell r="A13496" t="str">
            <v>uppg1_h</v>
          </cell>
          <cell r="B13496" t="str">
            <v>uppg1</v>
          </cell>
          <cell r="C13496" t="str">
            <v>Uroporphyrinogen I</v>
          </cell>
        </row>
        <row r="13497">
          <cell r="A13497" t="str">
            <v>uppg3_h</v>
          </cell>
          <cell r="B13497" t="str">
            <v>uppg3</v>
          </cell>
          <cell r="C13497" t="str">
            <v>Uroporphyrinogen III</v>
          </cell>
        </row>
        <row r="13498">
          <cell r="A13498" t="str">
            <v>whlnlc_h</v>
          </cell>
          <cell r="B13498" t="str">
            <v>whlnlc</v>
          </cell>
          <cell r="C13498" t="str">
            <v>Omega hydroxy linoleate (18:2(9Z,12Z))</v>
          </cell>
        </row>
        <row r="13499">
          <cell r="A13499" t="str">
            <v>whodce9a_h</v>
          </cell>
          <cell r="B13499" t="str">
            <v>whodce9a</v>
          </cell>
          <cell r="C13499" t="str">
            <v>Omega hydroxy octadecenoate (18:1(9Z))</v>
          </cell>
        </row>
        <row r="13500">
          <cell r="A13500" t="str">
            <v>whttdca_h</v>
          </cell>
          <cell r="B13500" t="str">
            <v>whttdca</v>
          </cell>
          <cell r="C13500" t="str">
            <v>Omega hydroxy tetradecanoate (n-C14:0)</v>
          </cell>
        </row>
        <row r="13501">
          <cell r="A13501" t="str">
            <v>xmp_m</v>
          </cell>
          <cell r="B13501" t="str">
            <v>xmp</v>
          </cell>
          <cell r="C13501" t="str">
            <v>Xanthosine 5'-phosphate</v>
          </cell>
        </row>
        <row r="13502">
          <cell r="A13502" t="str">
            <v>zeax_u</v>
          </cell>
          <cell r="B13502" t="str">
            <v>zeax</v>
          </cell>
          <cell r="C13502" t="str">
            <v>Zeaxanthin</v>
          </cell>
        </row>
        <row r="13503">
          <cell r="A13503" t="str">
            <v>1ag3p_BS_c</v>
          </cell>
          <cell r="B13503" t="str">
            <v>1ag3p_BS</v>
          </cell>
          <cell r="C13503" t="str">
            <v>1 Acyl sn glycerol 3 phsophate C1868H3636O700P100</v>
          </cell>
        </row>
        <row r="13504">
          <cell r="A13504" t="str">
            <v>23ccmp_c</v>
          </cell>
          <cell r="B13504" t="str">
            <v>23ccmp</v>
          </cell>
          <cell r="C13504" t="str">
            <v>2',3'-Cyclic CMP</v>
          </cell>
        </row>
        <row r="13505">
          <cell r="A13505" t="str">
            <v>23cgmp_c</v>
          </cell>
          <cell r="B13505" t="str">
            <v>23cgmp</v>
          </cell>
          <cell r="C13505" t="str">
            <v>2',3'-Cyclic GMP</v>
          </cell>
        </row>
        <row r="13506">
          <cell r="A13506" t="str">
            <v>25dop_c</v>
          </cell>
          <cell r="B13506" t="str">
            <v>25dop</v>
          </cell>
          <cell r="C13506" t="str">
            <v>2 5 Dioxopentanoate C5H5O4</v>
          </cell>
        </row>
        <row r="13507">
          <cell r="A13507" t="str">
            <v>26dapime_c</v>
          </cell>
          <cell r="B13507" t="str">
            <v>26dapime</v>
          </cell>
          <cell r="C13507" t="str">
            <v>N6 Acetyl LL 2 6 diaminopimelate C9H15N2O5</v>
          </cell>
        </row>
        <row r="13508">
          <cell r="A13508" t="str">
            <v>2hbut_c</v>
          </cell>
          <cell r="B13508" t="str">
            <v>2hbut</v>
          </cell>
          <cell r="C13508" t="str">
            <v>2 Hydroxybutyrate C4H7O3</v>
          </cell>
        </row>
        <row r="13509">
          <cell r="A13509" t="str">
            <v>3gmp_c</v>
          </cell>
          <cell r="B13509" t="str">
            <v>3gmp</v>
          </cell>
          <cell r="C13509" t="str">
            <v>Guanosine 3  phosphate C10H12N5O8P</v>
          </cell>
        </row>
        <row r="13510">
          <cell r="A13510" t="str">
            <v>46dh25dohxn_c</v>
          </cell>
          <cell r="B13510" t="str">
            <v>46dh25dohxn</v>
          </cell>
          <cell r="C13510" t="str">
            <v xml:space="preserve"> 4S  4 6 Dihydroxy 2 5 dioxohexanoate C6H7O6</v>
          </cell>
        </row>
        <row r="13511">
          <cell r="A13511" t="str">
            <v>5d4dglcr_c</v>
          </cell>
          <cell r="B13511" t="str">
            <v>5d4dglcr</v>
          </cell>
          <cell r="C13511" t="str">
            <v>5 Dehydro 4 deoxy D glucarate C6H6O7</v>
          </cell>
        </row>
        <row r="13512">
          <cell r="A13512" t="str">
            <v>5dh4dglcn_c</v>
          </cell>
          <cell r="B13512" t="str">
            <v>5dh4dglcn</v>
          </cell>
          <cell r="C13512" t="str">
            <v>5 Dehydro 4 deoxy D glucuronate C6H7O6</v>
          </cell>
        </row>
        <row r="13513">
          <cell r="A13513" t="str">
            <v>acamoxm_c</v>
          </cell>
          <cell r="B13513" t="str">
            <v>acamoxm</v>
          </cell>
          <cell r="C13513" t="str">
            <v>N Acetyl L 2 amino 6 oxopimelate C9H11NO6</v>
          </cell>
        </row>
        <row r="13514">
          <cell r="A13514" t="str">
            <v>ala_L_asn__L_c</v>
          </cell>
          <cell r="B13514" t="str">
            <v>ala_L_asn__L</v>
          </cell>
          <cell r="C13514" t="str">
            <v>Ala Asn C7H13N3O4</v>
          </cell>
        </row>
        <row r="13515">
          <cell r="A13515" t="str">
            <v>ala_L_asp__L_e</v>
          </cell>
          <cell r="B13515" t="str">
            <v>ala_L_asp__L</v>
          </cell>
          <cell r="C13515" t="str">
            <v>Ala L asp L C7H11N2O5</v>
          </cell>
        </row>
        <row r="13516">
          <cell r="A13516" t="str">
            <v>ala_L_his__L_c</v>
          </cell>
          <cell r="B13516" t="str">
            <v>ala_L_his__L</v>
          </cell>
          <cell r="C13516" t="str">
            <v>Ala His C9H14N4O3</v>
          </cell>
        </row>
        <row r="13517">
          <cell r="A13517" t="str">
            <v>ala_L_leu__L_e</v>
          </cell>
          <cell r="B13517" t="str">
            <v>ala_L_leu__L</v>
          </cell>
          <cell r="C13517" t="str">
            <v>Ala Leu C9H18N2O3</v>
          </cell>
        </row>
        <row r="13518">
          <cell r="A13518" t="str">
            <v>ala_L_tyr__L_c</v>
          </cell>
          <cell r="B13518" t="str">
            <v>ala_L_tyr__L</v>
          </cell>
          <cell r="C13518" t="str">
            <v>Ala Tyr C12H16N2O4</v>
          </cell>
        </row>
        <row r="13519">
          <cell r="A13519" t="str">
            <v>amacald_c</v>
          </cell>
          <cell r="B13519" t="str">
            <v>amacald</v>
          </cell>
          <cell r="C13519" t="str">
            <v>Aminoacetaldehyde C2H5NO</v>
          </cell>
        </row>
        <row r="13520">
          <cell r="A13520" t="str">
            <v>amylase_e</v>
          </cell>
          <cell r="B13520" t="str">
            <v>amylase</v>
          </cell>
          <cell r="C13520" t="str">
            <v>Mature Bacillus subtilis amylase C3040H4569N861O981S11</v>
          </cell>
        </row>
        <row r="13521">
          <cell r="A13521" t="str">
            <v>argp_c</v>
          </cell>
          <cell r="B13521" t="str">
            <v>argp</v>
          </cell>
          <cell r="C13521" t="str">
            <v>L Arginine phosphate C6H14N4O5P</v>
          </cell>
        </row>
        <row r="13522">
          <cell r="A13522" t="str">
            <v>arsna_c</v>
          </cell>
          <cell r="B13522" t="str">
            <v>arsna</v>
          </cell>
          <cell r="C13522" t="str">
            <v>Arsenate AsHO4</v>
          </cell>
        </row>
        <row r="13523">
          <cell r="A13523" t="str">
            <v>arsni2_e</v>
          </cell>
          <cell r="B13523" t="str">
            <v>arsni2</v>
          </cell>
          <cell r="C13523" t="str">
            <v>Arsenite AsH3O3</v>
          </cell>
        </row>
        <row r="13524">
          <cell r="A13524" t="str">
            <v>bilea_e</v>
          </cell>
          <cell r="B13524" t="str">
            <v>bilea</v>
          </cell>
          <cell r="C13524" t="str">
            <v>Bile acid C24H39O5</v>
          </cell>
        </row>
        <row r="13525">
          <cell r="A13525" t="str">
            <v>buts_e</v>
          </cell>
          <cell r="B13525" t="str">
            <v>buts</v>
          </cell>
          <cell r="C13525" t="str">
            <v>Butanesulfonate C4H9O3S</v>
          </cell>
        </row>
        <row r="13526">
          <cell r="A13526" t="str">
            <v>cdlp_BS_c</v>
          </cell>
          <cell r="B13526" t="str">
            <v>cdlp_BS</v>
          </cell>
          <cell r="C13526" t="str">
            <v>Cardiolipin  B subtilis  C7172H13744O1700P200</v>
          </cell>
        </row>
        <row r="13527">
          <cell r="A13527" t="str">
            <v>d12dg_BS_c</v>
          </cell>
          <cell r="B13527" t="str">
            <v>d12dg_BS</v>
          </cell>
          <cell r="C13527" t="str">
            <v>Diglucosyl 1 2 diacylglycerol C4636H8672O1500</v>
          </cell>
        </row>
        <row r="13528">
          <cell r="A13528" t="str">
            <v>dextrin_e</v>
          </cell>
          <cell r="B13528" t="str">
            <v>dextrin</v>
          </cell>
          <cell r="C13528" t="str">
            <v>Dextrin C12H20O10</v>
          </cell>
        </row>
        <row r="13529">
          <cell r="A13529" t="str">
            <v>diasprm_c</v>
          </cell>
          <cell r="B13529" t="str">
            <v>diasprm</v>
          </cell>
          <cell r="C13529" t="str">
            <v>N1 N12 Diacetylspermine C14H32N4O2</v>
          </cell>
        </row>
        <row r="13530">
          <cell r="A13530" t="str">
            <v>djenk_c</v>
          </cell>
          <cell r="B13530" t="str">
            <v>djenk</v>
          </cell>
          <cell r="C13530" t="str">
            <v>Djenkolate C7H14N2O4S2</v>
          </cell>
        </row>
        <row r="13531">
          <cell r="A13531" t="str">
            <v>dtpcudcpp_c</v>
          </cell>
          <cell r="B13531" t="str">
            <v>dtpcudcpp</v>
          </cell>
          <cell r="C13531" t="str">
            <v>Di trans poly cis Undecaprenyl diphosphate C55H89O7P2</v>
          </cell>
        </row>
        <row r="13532">
          <cell r="A13532" t="str">
            <v>ectoine_e</v>
          </cell>
          <cell r="B13532" t="str">
            <v>ectoine</v>
          </cell>
          <cell r="C13532" t="str">
            <v>Ectoine C6H12N2O2</v>
          </cell>
        </row>
        <row r="13533">
          <cell r="A13533" t="str">
            <v>eths_c</v>
          </cell>
          <cell r="B13533" t="str">
            <v>eths</v>
          </cell>
          <cell r="C13533" t="str">
            <v>Ethanesulfonate C2H5O3S</v>
          </cell>
        </row>
        <row r="13534">
          <cell r="A13534" t="str">
            <v>fa10coa_c</v>
          </cell>
          <cell r="B13534" t="str">
            <v>fa10coa</v>
          </cell>
          <cell r="C13534" t="str">
            <v>Anteiso C171 CoA C38H62N7O17P3S1</v>
          </cell>
        </row>
        <row r="13535">
          <cell r="A13535" t="str">
            <v>fa5coa_c</v>
          </cell>
          <cell r="B13535" t="str">
            <v>fa5coa</v>
          </cell>
          <cell r="C13535" t="str">
            <v>Iso C161 CoA C37H60N7O17P3S1</v>
          </cell>
        </row>
        <row r="13536">
          <cell r="A13536" t="str">
            <v>fa6coa_c</v>
          </cell>
          <cell r="B13536" t="str">
            <v>fa6coa</v>
          </cell>
          <cell r="C13536" t="str">
            <v>Iso C160 CoA C37H62N7O17P3S1</v>
          </cell>
        </row>
        <row r="13537">
          <cell r="A13537" t="str">
            <v>ficytcc_c</v>
          </cell>
          <cell r="B13537" t="str">
            <v>ficytcc</v>
          </cell>
          <cell r="C13537" t="str">
            <v>Ferricytochrome c C42H50FeN8O6S2</v>
          </cell>
        </row>
        <row r="13538">
          <cell r="A13538" t="str">
            <v>focytcc_c</v>
          </cell>
          <cell r="B13538" t="str">
            <v>focytcc</v>
          </cell>
          <cell r="C13538" t="str">
            <v>Ferrocytochrome c C42H50FeN8O6S2</v>
          </cell>
        </row>
        <row r="13539">
          <cell r="A13539" t="str">
            <v>glcn__D_c</v>
          </cell>
          <cell r="B13539" t="str">
            <v>glcn__D</v>
          </cell>
          <cell r="C13539" t="str">
            <v>D Gluconate C6H11O7</v>
          </cell>
        </row>
        <row r="13540">
          <cell r="A13540" t="str">
            <v>gly_asp__L_c</v>
          </cell>
          <cell r="B13540" t="str">
            <v>gly_asp__L</v>
          </cell>
          <cell r="C13540" t="str">
            <v>Gly asp L C6H9N2O5</v>
          </cell>
        </row>
        <row r="13541">
          <cell r="A13541" t="str">
            <v>gly_met__L_e</v>
          </cell>
          <cell r="B13541" t="str">
            <v>gly_met__L</v>
          </cell>
          <cell r="C13541" t="str">
            <v>Gly Met C7H14N2O3S</v>
          </cell>
        </row>
        <row r="13542">
          <cell r="A13542" t="str">
            <v>gly_pro__L_c</v>
          </cell>
          <cell r="B13542" t="str">
            <v>gly_pro__L</v>
          </cell>
          <cell r="C13542" t="str">
            <v>Gly pro L C7H12N2O3</v>
          </cell>
        </row>
        <row r="13543">
          <cell r="A13543" t="str">
            <v>glygly_c</v>
          </cell>
          <cell r="B13543" t="str">
            <v>glygly</v>
          </cell>
          <cell r="C13543" t="str">
            <v>Glycylglycine C4H8N2O3</v>
          </cell>
        </row>
        <row r="13544">
          <cell r="A13544" t="str">
            <v>gtca1_45_BS_c</v>
          </cell>
          <cell r="B13544" t="str">
            <v>gtca1_45_BS</v>
          </cell>
          <cell r="C13544" t="str">
            <v>Glycerol teichoic acid  n45   unlinked  unsubstituted C151H297N2O238P46</v>
          </cell>
        </row>
        <row r="13545">
          <cell r="A13545" t="str">
            <v>hpa_c</v>
          </cell>
          <cell r="B13545" t="str">
            <v>hpa</v>
          </cell>
          <cell r="C13545" t="str">
            <v>Heptanoate C7H13O2</v>
          </cell>
        </row>
        <row r="13546">
          <cell r="A13546" t="str">
            <v>istnt_c</v>
          </cell>
          <cell r="B13546" t="str">
            <v>istnt</v>
          </cell>
          <cell r="C13546" t="str">
            <v>Isethionate C2H5O4S</v>
          </cell>
        </row>
        <row r="13547">
          <cell r="A13547" t="str">
            <v>lipo2_24_BS_c</v>
          </cell>
          <cell r="B13547" t="str">
            <v>lipo2_24_BS</v>
          </cell>
          <cell r="C13547" t="str">
            <v>Lipoteichoic acid  n24   linked  N acetyl D glucosamine C31036H54272N2400O25500P2400</v>
          </cell>
        </row>
        <row r="13548">
          <cell r="A13548" t="str">
            <v>lipt_c</v>
          </cell>
          <cell r="B13548" t="str">
            <v>lipt</v>
          </cell>
          <cell r="C13548" t="str">
            <v>Lipoate C8H13O2S2</v>
          </cell>
        </row>
        <row r="13549">
          <cell r="A13549" t="str">
            <v>madg_e</v>
          </cell>
          <cell r="B13549" t="str">
            <v>madg</v>
          </cell>
          <cell r="C13549" t="str">
            <v>Alpha Methyl D glucoside C7H14O6</v>
          </cell>
        </row>
        <row r="13550">
          <cell r="A13550" t="str">
            <v>mbdg_e</v>
          </cell>
          <cell r="B13550" t="str">
            <v>mbdg</v>
          </cell>
          <cell r="C13550" t="str">
            <v>Beta Methylglucoside C7H14O6</v>
          </cell>
        </row>
        <row r="13551">
          <cell r="A13551" t="str">
            <v>met_L_ala__L_c</v>
          </cell>
          <cell r="B13551" t="str">
            <v>met_L_ala__L</v>
          </cell>
          <cell r="C13551" t="str">
            <v>Met L ala L C8H16N2O3S</v>
          </cell>
        </row>
        <row r="13552">
          <cell r="A13552" t="str">
            <v>met_L_phe__L_c</v>
          </cell>
          <cell r="B13552" t="str">
            <v>met_L_phe__L</v>
          </cell>
          <cell r="C13552" t="str">
            <v>Met Phe C14H20N2O3S</v>
          </cell>
        </row>
        <row r="13553">
          <cell r="A13553" t="str">
            <v>metox__R_e</v>
          </cell>
          <cell r="B13553" t="str">
            <v>metox__R</v>
          </cell>
          <cell r="C13553" t="str">
            <v>L methionine R oxide C5H11NO3S</v>
          </cell>
        </row>
        <row r="13554">
          <cell r="A13554" t="str">
            <v>metox_e</v>
          </cell>
          <cell r="B13554" t="str">
            <v>metox</v>
          </cell>
          <cell r="C13554" t="str">
            <v>L Methionine S oxide C5H11NO3S</v>
          </cell>
        </row>
        <row r="13555">
          <cell r="A13555" t="str">
            <v>mops_e</v>
          </cell>
          <cell r="B13555" t="str">
            <v>mops</v>
          </cell>
          <cell r="C13555" t="str">
            <v>MOPS C7H14NO4S</v>
          </cell>
        </row>
        <row r="13556">
          <cell r="A13556" t="str">
            <v>pglyp_BS_c</v>
          </cell>
          <cell r="B13556" t="str">
            <v>pglyp_BS</v>
          </cell>
          <cell r="C13556" t="str">
            <v>Phosphatidylglycerophosphate  B subtilis  C3736H7172O1300P200</v>
          </cell>
        </row>
        <row r="13557">
          <cell r="A13557" t="str">
            <v>psetha_BS_c</v>
          </cell>
          <cell r="B13557" t="str">
            <v>psetha_BS</v>
          </cell>
          <cell r="C13557" t="str">
            <v>Phosphatidylethanolamine  B subtilis  C3636H7172N100O800P100</v>
          </cell>
        </row>
        <row r="13558">
          <cell r="A13558" t="str">
            <v>pta_c</v>
          </cell>
          <cell r="B13558" t="str">
            <v>pta</v>
          </cell>
          <cell r="C13558" t="str">
            <v>Pentanoate</v>
          </cell>
        </row>
        <row r="13559">
          <cell r="A13559" t="str">
            <v>ser_L_his__L_c</v>
          </cell>
          <cell r="B13559" t="str">
            <v>ser_L_his__L</v>
          </cell>
          <cell r="C13559" t="str">
            <v>Ser His C9H14N4O4</v>
          </cell>
        </row>
        <row r="13560">
          <cell r="A13560" t="str">
            <v>ser_L_met__L_c</v>
          </cell>
          <cell r="B13560" t="str">
            <v>ser_L_met__L</v>
          </cell>
          <cell r="C13560" t="str">
            <v>Ser Met C8H16N2O4S</v>
          </cell>
        </row>
        <row r="13561">
          <cell r="A13561" t="str">
            <v>srch_c</v>
          </cell>
          <cell r="B13561" t="str">
            <v>srch</v>
          </cell>
          <cell r="C13561" t="str">
            <v>Sirohydrochlorin C42H38N4O16</v>
          </cell>
        </row>
        <row r="13562">
          <cell r="A13562" t="str">
            <v>sula_e</v>
          </cell>
          <cell r="B13562" t="str">
            <v>sula</v>
          </cell>
          <cell r="C13562" t="str">
            <v>Sulfoacetate C2H2O5S</v>
          </cell>
        </row>
        <row r="13563">
          <cell r="A13563" t="str">
            <v>t12dg_BS_c</v>
          </cell>
          <cell r="B13563" t="str">
            <v>t12dg_BS</v>
          </cell>
          <cell r="C13563" t="str">
            <v>Triglucosyl 1 2 diacylglycerol C5236H9672O2000</v>
          </cell>
        </row>
        <row r="13564">
          <cell r="A13564" t="str">
            <v>tcam_BS_c</v>
          </cell>
          <cell r="B13564" t="str">
            <v>tcam_BS</v>
          </cell>
          <cell r="C13564" t="str">
            <v>Minor teichoic acid  acetylgalactosamine glucose phosphate  n30  C420H750N30O420P30</v>
          </cell>
        </row>
        <row r="13565">
          <cell r="A13565" t="str">
            <v>teich_45_BS_c</v>
          </cell>
          <cell r="B13565" t="str">
            <v>teich_45_BS</v>
          </cell>
          <cell r="C13565" t="str">
            <v>Teichuronic acid  GlcA  GalNac  45 repeating unit  C630H945N45O630P45</v>
          </cell>
        </row>
        <row r="13566">
          <cell r="A13566" t="str">
            <v>thr_L_gln__L_c</v>
          </cell>
          <cell r="B13566" t="str">
            <v>thr_L_gln__L</v>
          </cell>
          <cell r="C13566" t="str">
            <v>Thr Gln C9H17N3O5</v>
          </cell>
        </row>
        <row r="13567">
          <cell r="A13567" t="str">
            <v>thr_L_leu__L_c</v>
          </cell>
          <cell r="B13567" t="str">
            <v>thr_L_leu__L</v>
          </cell>
          <cell r="C13567" t="str">
            <v>Thr Leu C10H20N2O4</v>
          </cell>
        </row>
        <row r="13568">
          <cell r="A13568" t="str">
            <v>thr_L_met__L_c</v>
          </cell>
          <cell r="B13568" t="str">
            <v>thr_L_met__L</v>
          </cell>
          <cell r="C13568" t="str">
            <v>Thr Met C9H18N2O4S</v>
          </cell>
        </row>
        <row r="13569">
          <cell r="A13569" t="str">
            <v>thr_L_thr__L_c</v>
          </cell>
          <cell r="B13569" t="str">
            <v>thr_L_thr__L</v>
          </cell>
          <cell r="C13569" t="str">
            <v>Thr Thr C8H16N2O5</v>
          </cell>
        </row>
        <row r="13570">
          <cell r="A13570" t="str">
            <v>tmp_e</v>
          </cell>
          <cell r="B13570" t="str">
            <v>tmp</v>
          </cell>
          <cell r="C13570" t="str">
            <v>Trimetaphosphate P3O9</v>
          </cell>
        </row>
        <row r="13571">
          <cell r="A13571" t="str">
            <v>ahandrostan_r</v>
          </cell>
          <cell r="B13571" t="str">
            <v>ahandrostan</v>
          </cell>
          <cell r="C13571" t="str">
            <v>3alpha-Hydroxy-5beta-androstan-17-one</v>
          </cell>
        </row>
        <row r="13572">
          <cell r="A13572" t="str">
            <v>bdg2hc_c</v>
          </cell>
          <cell r="B13572" t="str">
            <v>bdg2hc</v>
          </cell>
          <cell r="C13572" t="str">
            <v>Cis-beta-D-Glucosyl-2-hydroxycinnamate</v>
          </cell>
        </row>
        <row r="13573">
          <cell r="A13573" t="str">
            <v>estrones_r</v>
          </cell>
          <cell r="B13573" t="str">
            <v>estrones</v>
          </cell>
          <cell r="C13573" t="str">
            <v>Estrone 3-sulfate</v>
          </cell>
        </row>
        <row r="13574">
          <cell r="A13574" t="str">
            <v>galfucgalacglcgalgluside_hs_g</v>
          </cell>
          <cell r="B13574" t="str">
            <v>galfucgalacglcgalgluside_hs</v>
          </cell>
          <cell r="C13574" t="str">
            <v>Type IB glycolipid</v>
          </cell>
        </row>
        <row r="13575">
          <cell r="A13575" t="str">
            <v>prgnlones_r</v>
          </cell>
          <cell r="B13575" t="str">
            <v>prgnlones</v>
          </cell>
          <cell r="C13575" t="str">
            <v>Pregnenolone sulfate</v>
          </cell>
        </row>
        <row r="13576">
          <cell r="A13576" t="str">
            <v>alpha_hs_18_2_c</v>
          </cell>
          <cell r="B13576" t="str">
            <v>alpha_hs_18_2</v>
          </cell>
          <cell r="C13576" t="str">
            <v>Alpha hs 18 2[c]</v>
          </cell>
        </row>
        <row r="13577">
          <cell r="A13577" t="str">
            <v>pail34p_hs_18_2_18_2_c</v>
          </cell>
          <cell r="B13577" t="str">
            <v>pail34p_hs_18_2_18_2</v>
          </cell>
          <cell r="C13577" t="str">
            <v>Pail34p hs 18 2 18 2[c]</v>
          </cell>
        </row>
        <row r="13578">
          <cell r="A13578" t="str">
            <v>pail_hs_18_2_18_2_c</v>
          </cell>
          <cell r="B13578" t="str">
            <v>pail_hs_18_2_18_2</v>
          </cell>
          <cell r="C13578" t="str">
            <v>Pail hs 18 2 18 2[c]</v>
          </cell>
        </row>
        <row r="13579">
          <cell r="A13579" t="str">
            <v>dag_hs_18_1_20_4_c</v>
          </cell>
          <cell r="B13579" t="str">
            <v>dag_hs_18_1_20_4</v>
          </cell>
          <cell r="C13579" t="str">
            <v>Dag hs 18 1 20 4[c]</v>
          </cell>
        </row>
        <row r="13580">
          <cell r="A13580" t="str">
            <v>pail4p_hs_18_1_20_4_c</v>
          </cell>
          <cell r="B13580" t="str">
            <v>pail4p_hs_18_1_20_4</v>
          </cell>
          <cell r="C13580" t="str">
            <v>Pail4p hs 18 1 20 4[c]</v>
          </cell>
        </row>
        <row r="13581">
          <cell r="A13581" t="str">
            <v>lpchol_hs_18_1_c</v>
          </cell>
          <cell r="B13581" t="str">
            <v>lpchol_hs_18_1</v>
          </cell>
          <cell r="C13581" t="str">
            <v>Lysophosphatidylcholine (homo sapiens, C18:1)</v>
          </cell>
        </row>
        <row r="13582">
          <cell r="A13582" t="str">
            <v>pail45p_hs_18_1_18_2_c</v>
          </cell>
          <cell r="B13582" t="str">
            <v>pail45p_hs_18_1_18_2</v>
          </cell>
          <cell r="C13582" t="str">
            <v>Phosphatidylinositol 4,5-bisphosphate (homo sapiens, C18:1, C18:2)</v>
          </cell>
        </row>
        <row r="13583">
          <cell r="A13583" t="str">
            <v>dag_hs_18_1_18_2_c</v>
          </cell>
          <cell r="B13583" t="str">
            <v>dag_hs_18_1_18_2</v>
          </cell>
          <cell r="C13583" t="str">
            <v>Diacylglycerol (homo sapiens, C18:1, C18:2)</v>
          </cell>
        </row>
        <row r="13584">
          <cell r="A13584" t="str">
            <v>pail345p_hs_18_1_18_2_c</v>
          </cell>
          <cell r="B13584" t="str">
            <v>pail345p_hs_18_1_18_2</v>
          </cell>
          <cell r="C13584" t="str">
            <v>Pail345p hs 18 1 18 2[c]</v>
          </cell>
        </row>
        <row r="13585">
          <cell r="A13585" t="str">
            <v>pchol_hs_18_1_18_2_c</v>
          </cell>
          <cell r="B13585" t="str">
            <v>pchol_hs_18_1_18_2</v>
          </cell>
          <cell r="C13585" t="str">
            <v>Phosphatidylcholine (homo sapiens, C18:1, C18:2)</v>
          </cell>
        </row>
        <row r="13586">
          <cell r="A13586" t="str">
            <v>pe_hs_18_1_18_2_c</v>
          </cell>
          <cell r="B13586" t="str">
            <v>pe_hs_18_1_18_2</v>
          </cell>
          <cell r="C13586" t="str">
            <v>Phosphatidylethanolamine (homo sapiens, C18:1, C18:2)</v>
          </cell>
        </row>
        <row r="13587">
          <cell r="A13587" t="str">
            <v>pail45p_hs_18_1_18_1_c</v>
          </cell>
          <cell r="B13587" t="str">
            <v>pail45p_hs_18_1_18_1</v>
          </cell>
          <cell r="C13587" t="str">
            <v>Phosphatidylinositol 4,5-bisphosphate (homo sapiens, C18:1, C18:1)</v>
          </cell>
        </row>
        <row r="13588">
          <cell r="A13588" t="str">
            <v>pail4p_hs_18_1_18_1_c</v>
          </cell>
          <cell r="B13588" t="str">
            <v>pail4p_hs_18_1_18_1</v>
          </cell>
          <cell r="C13588" t="str">
            <v>1-Phosphatidyl-1D-myo-inositol 4-phosphate (homo sapiens, C18:1, C18:1)</v>
          </cell>
        </row>
        <row r="13589">
          <cell r="A13589" t="str">
            <v>dag_hs_18_0_20_4_c</v>
          </cell>
          <cell r="B13589" t="str">
            <v>dag_hs_18_0_20_4</v>
          </cell>
          <cell r="C13589" t="str">
            <v>Diacylglycerol (homo sapiens, C18:0, C20:4) cytosol</v>
          </cell>
        </row>
        <row r="13590">
          <cell r="A13590" t="str">
            <v>pail34p_hs_18_0_20_4_c</v>
          </cell>
          <cell r="B13590" t="str">
            <v>pail34p_hs_18_0_20_4</v>
          </cell>
          <cell r="C13590" t="str">
            <v>Pail34p hs 18 0 20 4[c]</v>
          </cell>
        </row>
        <row r="13591">
          <cell r="A13591" t="str">
            <v>pchol_hs_18_0_20_4_c</v>
          </cell>
          <cell r="B13591" t="str">
            <v>pchol_hs_18_0_20_4</v>
          </cell>
          <cell r="C13591" t="str">
            <v>Phosphatidylcholine (homo sapiens, C18:0, C20:4) cytosol</v>
          </cell>
        </row>
        <row r="13592">
          <cell r="A13592" t="str">
            <v>pe_hs_18_0_20_4_c</v>
          </cell>
          <cell r="B13592" t="str">
            <v>pe_hs_18_0_20_4</v>
          </cell>
          <cell r="C13592" t="str">
            <v>Phosphatidylethanolamine (homo sapiens, C18:0, C20:4) cytosol</v>
          </cell>
        </row>
        <row r="13593">
          <cell r="A13593" t="str">
            <v>alpha_hs_18_0_c</v>
          </cell>
          <cell r="B13593" t="str">
            <v>alpha_hs_18_0</v>
          </cell>
          <cell r="C13593" t="str">
            <v>Alpha hs 18 0[c]</v>
          </cell>
        </row>
        <row r="13594">
          <cell r="A13594" t="str">
            <v>pail34p_hs_18_0_18_2_c</v>
          </cell>
          <cell r="B13594" t="str">
            <v>pail34p_hs_18_0_18_2</v>
          </cell>
          <cell r="C13594" t="str">
            <v>Pail34p hs 18 0 18 2[c]</v>
          </cell>
        </row>
        <row r="13595">
          <cell r="A13595" t="str">
            <v>pe_hs_18_0_18_2_c</v>
          </cell>
          <cell r="B13595" t="str">
            <v>pe_hs_18_0_18_2</v>
          </cell>
          <cell r="C13595" t="str">
            <v>Pe hs 18 0 18 2[c]</v>
          </cell>
        </row>
        <row r="13596">
          <cell r="A13596" t="str">
            <v>dag_hs_18_0_18_1_c</v>
          </cell>
          <cell r="B13596" t="str">
            <v>dag_hs_18_0_18_1</v>
          </cell>
          <cell r="C13596" t="str">
            <v>Dag hs 18 0 18 1[c]</v>
          </cell>
        </row>
        <row r="13597">
          <cell r="A13597" t="str">
            <v>pail34p_hs_18_0_18_1_c</v>
          </cell>
          <cell r="B13597" t="str">
            <v>pail34p_hs_18_0_18_1</v>
          </cell>
          <cell r="C13597" t="str">
            <v>Pail34p hs 18 0 18 1[c]</v>
          </cell>
        </row>
        <row r="13598">
          <cell r="A13598" t="str">
            <v>pa_hs_18_0_18_1_c</v>
          </cell>
          <cell r="B13598" t="str">
            <v>pa_hs_18_0_18_1</v>
          </cell>
          <cell r="C13598" t="str">
            <v>Pa hs 18 0 18 1[c]</v>
          </cell>
        </row>
        <row r="13599">
          <cell r="A13599" t="str">
            <v>pchol_hs_18_0_18_1_c</v>
          </cell>
          <cell r="B13599" t="str">
            <v>pchol_hs_18_0_18_1</v>
          </cell>
          <cell r="C13599" t="str">
            <v>Pchol hs 18 0 18 1[c]</v>
          </cell>
        </row>
        <row r="13600">
          <cell r="A13600" t="str">
            <v>pail345p_hs_18_0_18_0_c</v>
          </cell>
          <cell r="B13600" t="str">
            <v>pail345p_hs_18_0_18_0</v>
          </cell>
          <cell r="C13600" t="str">
            <v>Pail345p hs 18 0 18 0[c]</v>
          </cell>
        </row>
        <row r="13601">
          <cell r="A13601" t="str">
            <v>pail4p_hs_18_0_18_0_c</v>
          </cell>
          <cell r="B13601" t="str">
            <v>pail4p_hs_18_0_18_0</v>
          </cell>
          <cell r="C13601" t="str">
            <v>Pail4p hs 18 0 18 0[c]</v>
          </cell>
        </row>
        <row r="13602">
          <cell r="A13602" t="str">
            <v>dag_hs_16_0_20_4_c</v>
          </cell>
          <cell r="B13602" t="str">
            <v>dag_hs_16_0_20_4</v>
          </cell>
          <cell r="C13602" t="str">
            <v>Dag hs 16 0 20 4[c]</v>
          </cell>
        </row>
        <row r="13603">
          <cell r="A13603" t="str">
            <v>pail45p_hs_16_0_20_4_c</v>
          </cell>
          <cell r="B13603" t="str">
            <v>pail45p_hs_16_0_20_4</v>
          </cell>
          <cell r="C13603" t="str">
            <v>Pail45p hs 16 0 20 4[c]</v>
          </cell>
        </row>
        <row r="13604">
          <cell r="A13604" t="str">
            <v>cdpdag_hs_16_0_20_4_c</v>
          </cell>
          <cell r="B13604" t="str">
            <v>cdpdag_hs_16_0_20_4</v>
          </cell>
          <cell r="C13604" t="str">
            <v>Cdpdag hs 16 0 20 4[c]</v>
          </cell>
        </row>
        <row r="13605">
          <cell r="A13605" t="str">
            <v>lpchol_hs_16_0_c</v>
          </cell>
          <cell r="B13605" t="str">
            <v>lpchol_hs_16_0</v>
          </cell>
          <cell r="C13605" t="str">
            <v>Lysophosphatidylcholine (homo sapiens, C16:0) cytosol</v>
          </cell>
        </row>
        <row r="13606">
          <cell r="A13606" t="str">
            <v>pe_hs_16_0_20_4_c</v>
          </cell>
          <cell r="B13606" t="str">
            <v>pe_hs_16_0_20_4</v>
          </cell>
          <cell r="C13606" t="str">
            <v>Pe hs 16 0 20 4[c]</v>
          </cell>
        </row>
        <row r="13607">
          <cell r="A13607" t="str">
            <v>dag_hs_16_0_18_2_c</v>
          </cell>
          <cell r="B13607" t="str">
            <v>dag_hs_16_0_18_2</v>
          </cell>
          <cell r="C13607" t="str">
            <v>Diacylglycerol (homo sapiens, C16:0, C18:2)</v>
          </cell>
        </row>
        <row r="13608">
          <cell r="A13608" t="str">
            <v>pail34p_hs_16_0_18_2_c</v>
          </cell>
          <cell r="B13608" t="str">
            <v>pail34p_hs_16_0_18_2</v>
          </cell>
          <cell r="C13608" t="str">
            <v>Pail34p hs 16 0 18 2[c]</v>
          </cell>
        </row>
        <row r="13609">
          <cell r="A13609" t="str">
            <v>pail4p_hs_16_0_18_2_c</v>
          </cell>
          <cell r="B13609" t="str">
            <v>pail4p_hs_16_0_18_2</v>
          </cell>
          <cell r="C13609" t="str">
            <v>1-Phosphatidyl-1D-myo-inositol 4-phosphate (homo sapiens, C16:0, C18:2)</v>
          </cell>
        </row>
        <row r="13610">
          <cell r="A13610" t="str">
            <v>pe_hs_16_0_18_2_c</v>
          </cell>
          <cell r="B13610" t="str">
            <v>pe_hs_16_0_18_2</v>
          </cell>
          <cell r="C13610" t="str">
            <v>Phosphatidylethanolamine (homo sapiens, C16:0, C18:2)</v>
          </cell>
        </row>
        <row r="13611">
          <cell r="A13611" t="str">
            <v>pail4p_hs_16_0_18_1_c</v>
          </cell>
          <cell r="B13611" t="str">
            <v>pail4p_hs_16_0_18_1</v>
          </cell>
          <cell r="C13611" t="str">
            <v>1-Phosphatidyl-1D-myo-inositol 4-phosphate (homo sapiens, C16:0, C18:1)</v>
          </cell>
        </row>
        <row r="13612">
          <cell r="A13612" t="str">
            <v>pail_hs_16_0_18_1_c</v>
          </cell>
          <cell r="B13612" t="str">
            <v>pail_hs_16_0_18_1</v>
          </cell>
          <cell r="C13612" t="str">
            <v>Phosphatidylinositol (homo sapiens, C16:0, C18:1)</v>
          </cell>
        </row>
        <row r="13613">
          <cell r="A13613" t="str">
            <v>cdpdag_hs_16_0_18_1_c</v>
          </cell>
          <cell r="B13613" t="str">
            <v>cdpdag_hs_16_0_18_1</v>
          </cell>
          <cell r="C13613" t="str">
            <v>CDP diacylglycerol (homo sapiens, C16:0, C18:1)</v>
          </cell>
        </row>
        <row r="13614">
          <cell r="A13614" t="str">
            <v>pchol_hs_16_0_18_1_c</v>
          </cell>
          <cell r="B13614" t="str">
            <v>pchol_hs_16_0_18_1</v>
          </cell>
          <cell r="C13614" t="str">
            <v>Phosphatidylcholine (homo sapiens, C16:0, C18:1) cytosol</v>
          </cell>
        </row>
        <row r="13615">
          <cell r="A13615" t="str">
            <v>txb2_c</v>
          </cell>
          <cell r="B13615" t="str">
            <v>txb2</v>
          </cell>
          <cell r="C13615" t="str">
            <v>Thromboxane B2 cytosol</v>
          </cell>
        </row>
        <row r="13616">
          <cell r="A13616" t="str">
            <v>pail45p_hs_20_4_20_4_c</v>
          </cell>
          <cell r="B13616" t="str">
            <v>pail45p_hs_20_4_20_4</v>
          </cell>
          <cell r="C13616" t="str">
            <v>Pail45p hs 20 4 20 4[c]</v>
          </cell>
        </row>
        <row r="13617">
          <cell r="A13617" t="str">
            <v>pail34p_hs_20_4_20_4_c</v>
          </cell>
          <cell r="B13617" t="str">
            <v>pail34p_hs_20_4_20_4</v>
          </cell>
          <cell r="C13617" t="str">
            <v>Pail34p hs 20 4 20 4[c]</v>
          </cell>
        </row>
        <row r="13618">
          <cell r="A13618" t="str">
            <v>pail4p_hs_20_4_20_4_c</v>
          </cell>
          <cell r="B13618" t="str">
            <v>pail4p_hs_20_4_20_4</v>
          </cell>
          <cell r="C13618" t="str">
            <v>Pail4p hs 20 4 20 4[c]</v>
          </cell>
        </row>
        <row r="13619">
          <cell r="A13619" t="str">
            <v>cdpdag_hs_20_4_20_4_c</v>
          </cell>
          <cell r="B13619" t="str">
            <v>cdpdag_hs_20_4_20_4</v>
          </cell>
          <cell r="C13619" t="str">
            <v>Cdpdag hs 20 4 20 4[c]</v>
          </cell>
        </row>
        <row r="13620">
          <cell r="A13620" t="str">
            <v>lpchol_hs_20_4_c</v>
          </cell>
          <cell r="B13620" t="str">
            <v>lpchol_hs_20_4</v>
          </cell>
          <cell r="C13620" t="str">
            <v>Lpchol hs 20 4[c]</v>
          </cell>
        </row>
        <row r="13621">
          <cell r="A13621" t="str">
            <v>pail45p_hs_18_2_20_4_c</v>
          </cell>
          <cell r="B13621" t="str">
            <v>pail45p_hs_18_2_20_4</v>
          </cell>
          <cell r="C13621" t="str">
            <v>Pail45p hs 18 2 20 4[c]</v>
          </cell>
        </row>
        <row r="13622">
          <cell r="A13622" t="str">
            <v>pchol_hs_18_2_20_4_c</v>
          </cell>
          <cell r="B13622" t="str">
            <v>pchol_hs_18_2_20_4</v>
          </cell>
          <cell r="C13622" t="str">
            <v>Pchol hs 18 2 20 4[c]</v>
          </cell>
        </row>
        <row r="13623">
          <cell r="A13623" t="str">
            <v>ps_hs_16_0_18_0_c</v>
          </cell>
          <cell r="B13623" t="str">
            <v>ps_hs_16_0_18_0</v>
          </cell>
          <cell r="C13623" t="str">
            <v>Ps hs 16 0 18 0[c]</v>
          </cell>
        </row>
        <row r="13624">
          <cell r="A13624" t="str">
            <v>pail345p_hs_16_0_16_0_c</v>
          </cell>
          <cell r="B13624" t="str">
            <v>pail345p_hs_16_0_16_0</v>
          </cell>
          <cell r="C13624" t="str">
            <v>Pail345p hs 16 0 16 0[c]</v>
          </cell>
        </row>
        <row r="13625">
          <cell r="A13625" t="str">
            <v>pail34p_hs_16_0_16_0_c</v>
          </cell>
          <cell r="B13625" t="str">
            <v>pail34p_hs_16_0_16_0</v>
          </cell>
          <cell r="C13625" t="str">
            <v>Pail34p hs 16 0 16 0[c]</v>
          </cell>
        </row>
        <row r="13626">
          <cell r="A13626" t="str">
            <v>pail4p_hs_16_0_16_0_c</v>
          </cell>
          <cell r="B13626" t="str">
            <v>pail4p_hs_16_0_16_0</v>
          </cell>
          <cell r="C13626" t="str">
            <v>1-Phosphatidyl-1D-myo-inositol 4-phosphate (homo sapiens, C16:0, C16:0)</v>
          </cell>
        </row>
        <row r="13627">
          <cell r="A13627" t="str">
            <v>bandmt_c</v>
          </cell>
          <cell r="B13627" t="str">
            <v>bandmt</v>
          </cell>
          <cell r="C13627" t="str">
            <v>Band membrane protein (methylated, universal, erythrocyte -&gt; 2.1,3,4.1)</v>
          </cell>
        </row>
        <row r="13628">
          <cell r="A13628" t="str">
            <v>cdpdag_hs_18_2_18_1_c</v>
          </cell>
          <cell r="B13628" t="str">
            <v>cdpdag_hs_18_2_18_1</v>
          </cell>
          <cell r="C13628" t="str">
            <v>CDP diacylglycerol (homo sapiens, C18:2, C18:1)</v>
          </cell>
        </row>
        <row r="13629">
          <cell r="A13629" t="str">
            <v>dag_hs_18_2_18_1_c</v>
          </cell>
          <cell r="B13629" t="str">
            <v>dag_hs_18_2_18_1</v>
          </cell>
          <cell r="C13629" t="str">
            <v>Diacylglycerol (homo sapiens, C18:2, C18:1)</v>
          </cell>
        </row>
        <row r="13630">
          <cell r="A13630" t="str">
            <v>pail45p_hs_18_2_16_0_c</v>
          </cell>
          <cell r="B13630" t="str">
            <v>pail45p_hs_18_2_16_0</v>
          </cell>
          <cell r="C13630" t="str">
            <v>Phosphatidylinositol 4,5-bisphosphate (homo sapiens, C18:2, C16:0)</v>
          </cell>
        </row>
        <row r="13631">
          <cell r="A13631" t="str">
            <v>pchol_hs_18_2_16_0_c</v>
          </cell>
          <cell r="B13631" t="str">
            <v>pchol_hs_18_2_16_0</v>
          </cell>
          <cell r="C13631" t="str">
            <v>Phosphatidylcholine (homo sapiens, C18:2, C16:0)</v>
          </cell>
        </row>
        <row r="13632">
          <cell r="A13632" t="str">
            <v>3moxtyr_e</v>
          </cell>
          <cell r="B13632" t="str">
            <v>3moxtyr</v>
          </cell>
          <cell r="C13632" t="str">
            <v>3-Methoxytyramine</v>
          </cell>
        </row>
        <row r="13633">
          <cell r="A13633" t="str">
            <v>15HPET_n</v>
          </cell>
          <cell r="B13633" t="str">
            <v>15HPET</v>
          </cell>
          <cell r="C13633" t="str">
            <v>15-Hydroperoxyeicosatetraenoic acid</v>
          </cell>
        </row>
        <row r="13634">
          <cell r="A13634" t="str">
            <v>1a25dhvitd3_n</v>
          </cell>
          <cell r="B13634" t="str">
            <v>1a25dhvitd3</v>
          </cell>
          <cell r="C13634" t="str">
            <v>1-alpha,25-Dihydroxyvitamin D3</v>
          </cell>
        </row>
        <row r="13635">
          <cell r="A13635" t="str">
            <v>2hog_m</v>
          </cell>
          <cell r="B13635" t="str">
            <v>2hog</v>
          </cell>
          <cell r="C13635" t="str">
            <v>2-Hydroxyglutarate</v>
          </cell>
        </row>
        <row r="13636">
          <cell r="A13636" t="str">
            <v>34hpp_e</v>
          </cell>
          <cell r="B13636" t="str">
            <v>34hpp</v>
          </cell>
          <cell r="C13636" t="str">
            <v>3-(4-Hydroxyphenyl)pyruvate</v>
          </cell>
        </row>
        <row r="13637">
          <cell r="A13637" t="str">
            <v>3bcrn_c</v>
          </cell>
          <cell r="B13637" t="str">
            <v>3bcrn</v>
          </cell>
          <cell r="C13637" t="str">
            <v>3-hydroxy butyryl carnitine</v>
          </cell>
        </row>
        <row r="13638">
          <cell r="A13638" t="str">
            <v>3hexdcoa_c</v>
          </cell>
          <cell r="B13638" t="str">
            <v>3hexdcoa</v>
          </cell>
          <cell r="C13638" t="str">
            <v>3-hydroxyhexadecanoylcoa</v>
          </cell>
        </row>
        <row r="13639">
          <cell r="A13639" t="str">
            <v>3hpp_m</v>
          </cell>
          <cell r="B13639" t="str">
            <v>3hpp</v>
          </cell>
          <cell r="C13639" t="str">
            <v>3-Hydroxypropanoate</v>
          </cell>
        </row>
        <row r="13640">
          <cell r="A13640" t="str">
            <v>3m4hpga_m</v>
          </cell>
          <cell r="B13640" t="str">
            <v>3m4hpga</v>
          </cell>
          <cell r="C13640" t="str">
            <v>3-Methoxy-4-hydroxyphenylglycolaldehyde</v>
          </cell>
        </row>
        <row r="13641">
          <cell r="A13641" t="str">
            <v>3mox4hoxm_m</v>
          </cell>
          <cell r="B13641" t="str">
            <v>3mox4hoxm</v>
          </cell>
          <cell r="C13641" t="str">
            <v>3-Methoxy-4-hydroxymandelate</v>
          </cell>
        </row>
        <row r="13642">
          <cell r="A13642" t="str">
            <v>3ohodcoa_l</v>
          </cell>
          <cell r="B13642" t="str">
            <v>3ohodcoa</v>
          </cell>
          <cell r="C13642" t="str">
            <v>3-Oxooctadecanoyl-CoA</v>
          </cell>
        </row>
        <row r="13643">
          <cell r="A13643" t="str">
            <v>3tdcrn_e</v>
          </cell>
          <cell r="B13643" t="str">
            <v>3tdcrn</v>
          </cell>
          <cell r="C13643" t="str">
            <v>3-hydroxy-tetradecanoyl carnitine</v>
          </cell>
        </row>
        <row r="13644">
          <cell r="A13644" t="str">
            <v>4ppcys_m</v>
          </cell>
          <cell r="B13644" t="str">
            <v>4ppcys</v>
          </cell>
          <cell r="C13644" t="str">
            <v>N-((R)-4-Phosphopantothenoyl)-L-cysteine</v>
          </cell>
        </row>
        <row r="13645">
          <cell r="A13645" t="str">
            <v>5adtststerone_m</v>
          </cell>
          <cell r="B13645" t="str">
            <v>5adtststerone</v>
          </cell>
          <cell r="C13645" t="str">
            <v>5alpha-Dihydrotestosterone</v>
          </cell>
        </row>
        <row r="13646">
          <cell r="A13646" t="str">
            <v>C01747_g</v>
          </cell>
          <cell r="B13646" t="str">
            <v>C01747</v>
          </cell>
          <cell r="C13646" t="str">
            <v>Psychosine(1+); Galactosylsphingosine</v>
          </cell>
        </row>
        <row r="13647">
          <cell r="A13647" t="str">
            <v>C02528_c</v>
          </cell>
          <cell r="B13647" t="str">
            <v>C02528</v>
          </cell>
          <cell r="C13647" t="str">
            <v>Chenodeoxycholate</v>
          </cell>
        </row>
        <row r="13648">
          <cell r="A13648" t="str">
            <v>C02528_r</v>
          </cell>
          <cell r="B13648" t="str">
            <v>C02528</v>
          </cell>
          <cell r="C13648" t="str">
            <v>Chenodeoxycholate</v>
          </cell>
        </row>
        <row r="13649">
          <cell r="A13649" t="str">
            <v>C02528_x</v>
          </cell>
          <cell r="B13649" t="str">
            <v>C02528</v>
          </cell>
          <cell r="C13649" t="str">
            <v>Chenodeoxycholate</v>
          </cell>
        </row>
        <row r="13650">
          <cell r="A13650" t="str">
            <v>C03577_x</v>
          </cell>
          <cell r="B13650" t="str">
            <v>C03577</v>
          </cell>
          <cell r="C13650" t="str">
            <v>20-hydroxy-leukotriene E4(1-)</v>
          </cell>
        </row>
        <row r="13651">
          <cell r="A13651" t="str">
            <v>C03958_e</v>
          </cell>
          <cell r="B13651" t="str">
            <v>C03958</v>
          </cell>
          <cell r="C13651" t="str">
            <v>Thyrotropin releasing hormone</v>
          </cell>
        </row>
        <row r="13652">
          <cell r="A13652" t="str">
            <v>C04308_c</v>
          </cell>
          <cell r="B13652" t="str">
            <v>C04308</v>
          </cell>
          <cell r="C13652" t="str">
            <v>Phosphatidyl-N-dimethylethanolamine</v>
          </cell>
        </row>
        <row r="13653">
          <cell r="A13653" t="str">
            <v>C04308_r</v>
          </cell>
          <cell r="B13653" t="str">
            <v>C04308</v>
          </cell>
          <cell r="C13653" t="str">
            <v>Phosphatidyl-N-dimethylethanolamine</v>
          </cell>
        </row>
        <row r="13654">
          <cell r="A13654" t="str">
            <v>C04805_m</v>
          </cell>
          <cell r="B13654" t="str">
            <v>C04805</v>
          </cell>
          <cell r="C13654" t="str">
            <v>5(S)-HETE</v>
          </cell>
        </row>
        <row r="13655">
          <cell r="A13655" t="str">
            <v>C04849_c</v>
          </cell>
          <cell r="B13655" t="str">
            <v>C04849</v>
          </cell>
          <cell r="C13655" t="str">
            <v>(5Z,9E,14Z)-(8xi,11R,12S)-11,12-epoxy-8-hydroxyicosa-5,9,14-trienoate</v>
          </cell>
        </row>
        <row r="13656">
          <cell r="A13656" t="str">
            <v>C04849_r</v>
          </cell>
          <cell r="B13656" t="str">
            <v>C04849</v>
          </cell>
          <cell r="C13656" t="str">
            <v>(5Z,9E,14Z)-(8xi,11R,12S)-11,12-epoxy-8-hydroxyicosa-5,9,14-trienoate</v>
          </cell>
        </row>
        <row r="13657">
          <cell r="A13657" t="str">
            <v>C04849_x</v>
          </cell>
          <cell r="B13657" t="str">
            <v>C04849</v>
          </cell>
          <cell r="C13657" t="str">
            <v>(5Z,9E,14Z)-(8xi,11R,12S)-11,12-epoxy-8-hydroxyicosa-5,9,14-trienoate</v>
          </cell>
        </row>
        <row r="13658">
          <cell r="A13658" t="str">
            <v>C06199_g</v>
          </cell>
          <cell r="B13658" t="str">
            <v>C06199</v>
          </cell>
          <cell r="C13658" t="str">
            <v>Hordenine</v>
          </cell>
        </row>
        <row r="13659">
          <cell r="A13659" t="str">
            <v>C06314_c</v>
          </cell>
          <cell r="B13659" t="str">
            <v>C06314</v>
          </cell>
          <cell r="C13659" t="str">
            <v>Lipoxin A4(1-)</v>
          </cell>
        </row>
        <row r="13660">
          <cell r="A13660" t="str">
            <v>C06314_r</v>
          </cell>
          <cell r="B13660" t="str">
            <v>C06314</v>
          </cell>
          <cell r="C13660" t="str">
            <v>Lipoxin A4(1-)</v>
          </cell>
        </row>
        <row r="13661">
          <cell r="A13661" t="str">
            <v>C06314_x</v>
          </cell>
          <cell r="B13661" t="str">
            <v>C06314</v>
          </cell>
          <cell r="C13661" t="str">
            <v>Lipoxin A4(1-)</v>
          </cell>
        </row>
        <row r="13662">
          <cell r="A13662" t="str">
            <v>C07486_c</v>
          </cell>
          <cell r="B13662" t="str">
            <v>C07486</v>
          </cell>
          <cell r="C13662" t="str">
            <v>Nordazepam</v>
          </cell>
        </row>
        <row r="13663">
          <cell r="A13663" t="str">
            <v>C08276_c</v>
          </cell>
          <cell r="B13663" t="str">
            <v>C08276</v>
          </cell>
          <cell r="C13663" t="str">
            <v>3-(methylthio)propionate</v>
          </cell>
        </row>
        <row r="13664">
          <cell r="A13664" t="str">
            <v>C11821_c</v>
          </cell>
          <cell r="B13664" t="str">
            <v>C11821</v>
          </cell>
          <cell r="C13664" t="str">
            <v>5-Hydroxyisourate</v>
          </cell>
        </row>
        <row r="13665">
          <cell r="A13665" t="str">
            <v>C11821_x</v>
          </cell>
          <cell r="B13665" t="str">
            <v>C11821</v>
          </cell>
          <cell r="C13665" t="str">
            <v>5-Hydroxyisourate</v>
          </cell>
        </row>
        <row r="13666">
          <cell r="A13666" t="str">
            <v>C13856_g</v>
          </cell>
          <cell r="B13666" t="str">
            <v>C13856</v>
          </cell>
          <cell r="C13666" t="str">
            <v>2-Arachidonoylglycerol</v>
          </cell>
        </row>
        <row r="13667">
          <cell r="A13667" t="str">
            <v>CE0074_e</v>
          </cell>
          <cell r="B13667" t="str">
            <v>CE0074</v>
          </cell>
          <cell r="C13667" t="str">
            <v>Alloxan</v>
          </cell>
        </row>
        <row r="13668">
          <cell r="A13668" t="str">
            <v>CE0233_c</v>
          </cell>
          <cell r="B13668" t="str">
            <v>CE0233</v>
          </cell>
          <cell r="C13668" t="str">
            <v>5beta-cholestane-3alpha,7alpha,27-triol</v>
          </cell>
        </row>
        <row r="13669">
          <cell r="A13669" t="str">
            <v>CE0347_c</v>
          </cell>
          <cell r="B13669" t="str">
            <v>CE0347</v>
          </cell>
          <cell r="C13669" t="str">
            <v>12-hydroxyeicosatetraenoate</v>
          </cell>
        </row>
        <row r="13670">
          <cell r="A13670" t="str">
            <v>CE0347_r</v>
          </cell>
          <cell r="B13670" t="str">
            <v>CE0347</v>
          </cell>
          <cell r="C13670" t="str">
            <v>12-hydroxyeicosatetraenoate</v>
          </cell>
        </row>
        <row r="13671">
          <cell r="A13671" t="str">
            <v>CE0955_r</v>
          </cell>
          <cell r="B13671" t="str">
            <v>CE0955</v>
          </cell>
          <cell r="C13671" t="str">
            <v>6-oxo-prostaglandin F1alpha</v>
          </cell>
        </row>
        <row r="13672">
          <cell r="A13672" t="str">
            <v>CE1102_c</v>
          </cell>
          <cell r="B13672" t="str">
            <v>CE1102</v>
          </cell>
          <cell r="C13672" t="str">
            <v>Cis-(3S)-hydroxytetradec-7-enoyl-CoA</v>
          </cell>
        </row>
        <row r="13673">
          <cell r="A13673" t="str">
            <v>CE1297_c</v>
          </cell>
          <cell r="B13673" t="str">
            <v>CE1297</v>
          </cell>
          <cell r="C13673" t="str">
            <v>8-dehydrocholesterol; 3beta-Cholesta-5,8-dien-3-ol</v>
          </cell>
        </row>
        <row r="13674">
          <cell r="A13674" t="str">
            <v>CE1589_c</v>
          </cell>
          <cell r="B13674" t="str">
            <v>CE1589</v>
          </cell>
          <cell r="C13674" t="str">
            <v>Deoxycholoyl-CoA</v>
          </cell>
        </row>
        <row r="13675">
          <cell r="A13675" t="str">
            <v>CE1589_r</v>
          </cell>
          <cell r="B13675" t="str">
            <v>CE1589</v>
          </cell>
          <cell r="C13675" t="str">
            <v>Deoxycholoyl-CoA</v>
          </cell>
        </row>
        <row r="13676">
          <cell r="A13676" t="str">
            <v>CE1589_x</v>
          </cell>
          <cell r="B13676" t="str">
            <v>CE1589</v>
          </cell>
          <cell r="C13676" t="str">
            <v>Deoxycholoyl-CoA</v>
          </cell>
        </row>
        <row r="13677">
          <cell r="A13677" t="str">
            <v>CE1918_c</v>
          </cell>
          <cell r="B13677" t="str">
            <v>CE1918</v>
          </cell>
          <cell r="C13677" t="str">
            <v>5-hydroxytryptophol</v>
          </cell>
        </row>
        <row r="13678">
          <cell r="A13678" t="str">
            <v>CE1925_r</v>
          </cell>
          <cell r="B13678" t="str">
            <v>CE1925</v>
          </cell>
          <cell r="C13678" t="str">
            <v>3'-carboxy-alpha-chromanol</v>
          </cell>
        </row>
        <row r="13679">
          <cell r="A13679" t="str">
            <v>CE1926_r</v>
          </cell>
          <cell r="B13679" t="str">
            <v>CE1926</v>
          </cell>
          <cell r="C13679" t="str">
            <v>Gama-carboxyethyl-hydroxychroman</v>
          </cell>
        </row>
        <row r="13680">
          <cell r="A13680" t="str">
            <v>CE1940_c</v>
          </cell>
          <cell r="B13680" t="str">
            <v>CE1940</v>
          </cell>
          <cell r="C13680" t="str">
            <v>Spermidine monoaldehyde 2</v>
          </cell>
        </row>
        <row r="13681">
          <cell r="A13681" t="str">
            <v>CE1940_x</v>
          </cell>
          <cell r="B13681" t="str">
            <v>CE1940</v>
          </cell>
          <cell r="C13681" t="str">
            <v>Spermidine monoaldehyde 2</v>
          </cell>
        </row>
        <row r="13682">
          <cell r="A13682" t="str">
            <v>CE1943_c</v>
          </cell>
          <cell r="B13682" t="str">
            <v>CE1943</v>
          </cell>
          <cell r="C13682" t="str">
            <v>Spermidine dialdehyde</v>
          </cell>
        </row>
        <row r="13683">
          <cell r="A13683" t="str">
            <v>CE1943_x</v>
          </cell>
          <cell r="B13683" t="str">
            <v>CE1943</v>
          </cell>
          <cell r="C13683" t="str">
            <v>Spermidine dialdehyde</v>
          </cell>
        </row>
        <row r="13684">
          <cell r="A13684" t="str">
            <v>CE1944_c</v>
          </cell>
          <cell r="B13684" t="str">
            <v>CE1944</v>
          </cell>
          <cell r="C13684" t="str">
            <v>1-pyrrolinium</v>
          </cell>
        </row>
        <row r="13685">
          <cell r="A13685" t="str">
            <v>CE2011_l</v>
          </cell>
          <cell r="B13685" t="str">
            <v>CE2011</v>
          </cell>
          <cell r="C13685" t="str">
            <v>Hypothiocyanite</v>
          </cell>
        </row>
        <row r="13686">
          <cell r="A13686" t="str">
            <v>CE2011_m</v>
          </cell>
          <cell r="B13686" t="str">
            <v>CE2011</v>
          </cell>
          <cell r="C13686" t="str">
            <v>Hypothiocyanite</v>
          </cell>
        </row>
        <row r="13687">
          <cell r="A13687" t="str">
            <v>CE2020_m</v>
          </cell>
          <cell r="B13687" t="str">
            <v>CE2020</v>
          </cell>
          <cell r="C13687" t="str">
            <v>N-arachidonoylglycinate</v>
          </cell>
        </row>
        <row r="13688">
          <cell r="A13688" t="str">
            <v>CE2047_c</v>
          </cell>
          <cell r="B13688" t="str">
            <v>CE2047</v>
          </cell>
          <cell r="C13688" t="str">
            <v>9,10-hydroxyoctadec-12(Z)-enoate</v>
          </cell>
        </row>
        <row r="13689">
          <cell r="A13689" t="str">
            <v>CE2047_r</v>
          </cell>
          <cell r="B13689" t="str">
            <v>CE2047</v>
          </cell>
          <cell r="C13689" t="str">
            <v>9,10-hydroxyoctadec-12(Z)-enoate</v>
          </cell>
        </row>
        <row r="13690">
          <cell r="A13690" t="str">
            <v>CE2049_c</v>
          </cell>
          <cell r="B13690" t="str">
            <v>CE2049</v>
          </cell>
          <cell r="C13690" t="str">
            <v>12,13-hydroxyoctadec-9(Z)-enoate</v>
          </cell>
        </row>
        <row r="13691">
          <cell r="A13691" t="str">
            <v>CE2049_r</v>
          </cell>
          <cell r="B13691" t="str">
            <v>CE2049</v>
          </cell>
          <cell r="C13691" t="str">
            <v>12,13-hydroxyoctadec-9(Z)-enoate</v>
          </cell>
        </row>
        <row r="13692">
          <cell r="A13692" t="str">
            <v>CE2056_c</v>
          </cell>
          <cell r="B13692" t="str">
            <v>CE2056</v>
          </cell>
          <cell r="C13692" t="str">
            <v>20-dihydroxyleukotriene B4</v>
          </cell>
        </row>
        <row r="13693">
          <cell r="A13693" t="str">
            <v>CE2056_r</v>
          </cell>
          <cell r="B13693" t="str">
            <v>CE2056</v>
          </cell>
          <cell r="C13693" t="str">
            <v>20-dihydroxyleukotriene B4</v>
          </cell>
        </row>
        <row r="13694">
          <cell r="A13694" t="str">
            <v>CE2072_c</v>
          </cell>
          <cell r="B13694" t="str">
            <v>CE2072</v>
          </cell>
          <cell r="C13694" t="str">
            <v>Putreanine</v>
          </cell>
        </row>
        <row r="13695">
          <cell r="A13695" t="str">
            <v>CE2095_c</v>
          </cell>
          <cell r="B13695" t="str">
            <v>CE2095</v>
          </cell>
          <cell r="C13695" t="str">
            <v>3-hydroxykynurenine-O-beta-D-glucoside</v>
          </cell>
        </row>
        <row r="13696">
          <cell r="A13696" t="str">
            <v>CE2183_c</v>
          </cell>
          <cell r="B13696" t="str">
            <v>CE2183</v>
          </cell>
          <cell r="C13696" t="str">
            <v>2-hydroxy-3-methoxy-17beta-estradiol</v>
          </cell>
        </row>
        <row r="13697">
          <cell r="A13697" t="str">
            <v>CE2203_c</v>
          </cell>
          <cell r="B13697" t="str">
            <v>CE2203</v>
          </cell>
          <cell r="C13697" t="str">
            <v>25-hydroxyvitamin D3-26,23-lactol</v>
          </cell>
        </row>
        <row r="13698">
          <cell r="A13698" t="str">
            <v>CE2209_c</v>
          </cell>
          <cell r="B13698" t="str">
            <v>CE2209</v>
          </cell>
          <cell r="C13698" t="str">
            <v>5alpha-androstane-3alpha,17beta-diol</v>
          </cell>
        </row>
        <row r="13699">
          <cell r="A13699" t="str">
            <v>CE2245_c</v>
          </cell>
          <cell r="B13699" t="str">
            <v>CE2245</v>
          </cell>
          <cell r="C13699" t="str">
            <v>Trans-tetracos-2-enoyl-CoA</v>
          </cell>
        </row>
        <row r="13700">
          <cell r="A13700" t="str">
            <v>CE2248_c</v>
          </cell>
          <cell r="B13700" t="str">
            <v>CE2248</v>
          </cell>
          <cell r="C13700" t="str">
            <v>3-hydroxyoctadecanoyl-CoA(4-)</v>
          </cell>
        </row>
        <row r="13701">
          <cell r="A13701" t="str">
            <v>CE2248_r</v>
          </cell>
          <cell r="B13701" t="str">
            <v>CE2248</v>
          </cell>
          <cell r="C13701" t="str">
            <v>3-hydroxyoctadecanoyl-CoA(4-)</v>
          </cell>
        </row>
        <row r="13702">
          <cell r="A13702" t="str">
            <v>CE2250_e</v>
          </cell>
          <cell r="B13702" t="str">
            <v>CE2250</v>
          </cell>
          <cell r="C13702" t="str">
            <v>3-oxodocosanoyl-CoA(4-)</v>
          </cell>
        </row>
        <row r="13703">
          <cell r="A13703" t="str">
            <v>CE2313_r</v>
          </cell>
          <cell r="B13703" t="str">
            <v>CE2313</v>
          </cell>
          <cell r="C13703" t="str">
            <v>4,4-dimethylcholesta-8(9),14-dien-3beta-ol</v>
          </cell>
        </row>
        <row r="13704">
          <cell r="A13704" t="str">
            <v>CE2345_m</v>
          </cell>
          <cell r="B13704" t="str">
            <v>CE2345</v>
          </cell>
          <cell r="C13704" t="str">
            <v>7alpha-hydroxy-3-oxo-4-cholestenoic acid anion</v>
          </cell>
        </row>
        <row r="13705">
          <cell r="A13705" t="str">
            <v>CE2414_c</v>
          </cell>
          <cell r="B13705" t="str">
            <v>CE2414</v>
          </cell>
          <cell r="C13705" t="str">
            <v>(3S,7R,11R)-phytanate</v>
          </cell>
        </row>
        <row r="13706">
          <cell r="A13706" t="str">
            <v>CE2422_c</v>
          </cell>
          <cell r="B13706" t="str">
            <v>CE2422</v>
          </cell>
          <cell r="C13706" t="str">
            <v>3-oxo-cis,cis-7,10-hexadecadienoyl-CoA</v>
          </cell>
        </row>
        <row r="13707">
          <cell r="A13707" t="str">
            <v>CE2446_x</v>
          </cell>
          <cell r="B13707" t="str">
            <v>CE2446</v>
          </cell>
          <cell r="C13707" t="str">
            <v>6E-12-epi-leukotriene B4</v>
          </cell>
        </row>
        <row r="13708">
          <cell r="A13708" t="str">
            <v>CE2565_n</v>
          </cell>
          <cell r="B13708" t="str">
            <v>CE2565</v>
          </cell>
          <cell r="C13708" t="str">
            <v>15(R)-Hydroxy-(5Z,8Z,11Z,13E)-eicosatetraenoate</v>
          </cell>
        </row>
        <row r="13709">
          <cell r="A13709" t="str">
            <v>CE2566_c</v>
          </cell>
          <cell r="B13709" t="str">
            <v>CE2566</v>
          </cell>
          <cell r="C13709" t="str">
            <v>5(S),6(S)-epoxy-15(R)-hydroxyeicosatetraenoate</v>
          </cell>
        </row>
        <row r="13710">
          <cell r="A13710" t="str">
            <v>CE2566_r</v>
          </cell>
          <cell r="B13710" t="str">
            <v>CE2566</v>
          </cell>
          <cell r="C13710" t="str">
            <v>5(S),6(S)-epoxy-15(R)-hydroxyeicosatetraenoate</v>
          </cell>
        </row>
        <row r="13711">
          <cell r="A13711" t="str">
            <v>CE2566_x</v>
          </cell>
          <cell r="B13711" t="str">
            <v>CE2566</v>
          </cell>
          <cell r="C13711" t="str">
            <v>5(S),6(S)-epoxy-15(R)-hydroxyeicosatetraenoate</v>
          </cell>
        </row>
        <row r="13712">
          <cell r="A13712" t="str">
            <v>CE2567_n</v>
          </cell>
          <cell r="B13712" t="str">
            <v>CE2567</v>
          </cell>
          <cell r="C13712" t="str">
            <v>5(S),6(S)-epoxy-15(S)-hydroxy-7E,9E,11Z,13E-eicosatetraenoic acid anion; 5(S),6(S)-epoxy-15(S)-HETE</v>
          </cell>
        </row>
        <row r="13713">
          <cell r="A13713" t="str">
            <v>CE2751_c</v>
          </cell>
          <cell r="B13713" t="str">
            <v>CE2751</v>
          </cell>
          <cell r="C13713" t="str">
            <v>Dynorphin A (1-5)</v>
          </cell>
        </row>
        <row r="13714">
          <cell r="A13714" t="str">
            <v>CE2754_r</v>
          </cell>
          <cell r="B13714" t="str">
            <v>CE2754</v>
          </cell>
          <cell r="C13714" t="str">
            <v>3,3',5' - triiodothyronine</v>
          </cell>
        </row>
        <row r="13715">
          <cell r="A13715" t="str">
            <v>CE2858_c</v>
          </cell>
          <cell r="B13715" t="str">
            <v>CE2858</v>
          </cell>
          <cell r="C13715" t="str">
            <v>Dynorphin A 1-8</v>
          </cell>
        </row>
        <row r="13716">
          <cell r="A13716" t="str">
            <v>CE2862_m</v>
          </cell>
          <cell r="B13716" t="str">
            <v>CE2862</v>
          </cell>
          <cell r="C13716" t="str">
            <v>Neurotensin 1-10; Pglu-Leu-Tyr-Glu-Asn-Lys-Pro-Arg-Arg-Pro</v>
          </cell>
        </row>
        <row r="13717">
          <cell r="A13717" t="str">
            <v>CE2866_c</v>
          </cell>
          <cell r="B13717" t="str">
            <v>CE2866</v>
          </cell>
          <cell r="C13717" t="str">
            <v>3,3'-diiodo-L-thyronine</v>
          </cell>
        </row>
        <row r="13718">
          <cell r="A13718" t="str">
            <v>CE2866_r</v>
          </cell>
          <cell r="B13718" t="str">
            <v>CE2866</v>
          </cell>
          <cell r="C13718" t="str">
            <v>3,3'-diiodo-L-thyronine</v>
          </cell>
        </row>
        <row r="13719">
          <cell r="A13719" t="str">
            <v>CE2870_c</v>
          </cell>
          <cell r="B13719" t="str">
            <v>CE2870</v>
          </cell>
          <cell r="C13719" t="str">
            <v>3,3'-diiodo-L-thyronine 4'-O-sulfate</v>
          </cell>
        </row>
        <row r="13720">
          <cell r="A13720" t="str">
            <v>CE2872_r</v>
          </cell>
          <cell r="B13720" t="str">
            <v>CE2872</v>
          </cell>
          <cell r="C13720" t="str">
            <v>3',5'-diiodo-L-thyronine</v>
          </cell>
        </row>
        <row r="13721">
          <cell r="A13721" t="str">
            <v>CE2878_r</v>
          </cell>
          <cell r="B13721" t="str">
            <v>CE2878</v>
          </cell>
          <cell r="C13721" t="str">
            <v>3,3',5'-triiodo-L-thyronine-beta-D-glucuronoside</v>
          </cell>
        </row>
        <row r="13722">
          <cell r="A13722" t="str">
            <v>CE2879_r</v>
          </cell>
          <cell r="B13722" t="str">
            <v>CE2879</v>
          </cell>
          <cell r="C13722" t="str">
            <v>3,5,3'-triiodo-L-thyronine-beta-D-glucuronoside</v>
          </cell>
        </row>
        <row r="13723">
          <cell r="A13723" t="str">
            <v>CE2881_r</v>
          </cell>
          <cell r="B13723" t="str">
            <v>CE2881</v>
          </cell>
          <cell r="C13723" t="str">
            <v>3,5,3',5'-tetraiodothyroacetate</v>
          </cell>
        </row>
        <row r="13724">
          <cell r="A13724" t="str">
            <v>CE2887_r</v>
          </cell>
          <cell r="B13724" t="str">
            <v>CE2887</v>
          </cell>
          <cell r="C13724" t="str">
            <v>3,5,3'-triiodothyroacetate-beta-D-glucuronoside</v>
          </cell>
        </row>
        <row r="13725">
          <cell r="A13725" t="str">
            <v>CE2888_r</v>
          </cell>
          <cell r="B13725" t="str">
            <v>CE2888</v>
          </cell>
          <cell r="C13725" t="str">
            <v>3',5'-diiodothyroacetate-beta-D-glucuronoside</v>
          </cell>
        </row>
        <row r="13726">
          <cell r="A13726" t="str">
            <v>CE2915_c</v>
          </cell>
          <cell r="B13726" t="str">
            <v>CE2915</v>
          </cell>
          <cell r="C13726" t="str">
            <v>Beta-casomorphin</v>
          </cell>
        </row>
        <row r="13727">
          <cell r="A13727" t="str">
            <v>CE2916_e</v>
          </cell>
          <cell r="B13727" t="str">
            <v>CE2916</v>
          </cell>
          <cell r="C13727" t="str">
            <v>Neocasomorphin</v>
          </cell>
        </row>
        <row r="13728">
          <cell r="A13728" t="str">
            <v>CE2917_c</v>
          </cell>
          <cell r="B13728" t="str">
            <v>CE2917</v>
          </cell>
          <cell r="C13728" t="str">
            <v>Apelin-13</v>
          </cell>
        </row>
        <row r="13729">
          <cell r="A13729" t="str">
            <v>CE2963_c</v>
          </cell>
          <cell r="B13729" t="str">
            <v>CE2963</v>
          </cell>
          <cell r="C13729" t="str">
            <v>5,6-epoxy-13-cis-retinoate</v>
          </cell>
        </row>
        <row r="13730">
          <cell r="A13730" t="str">
            <v>CE3038_m</v>
          </cell>
          <cell r="B13730" t="str">
            <v>CE3038</v>
          </cell>
          <cell r="C13730" t="str">
            <v>3beta,7alpha-dihydroxy-5-cholestenoate</v>
          </cell>
        </row>
        <row r="13731">
          <cell r="A13731" t="str">
            <v>CE3087_c</v>
          </cell>
          <cell r="B13731" t="str">
            <v>CE3087</v>
          </cell>
          <cell r="C13731" t="str">
            <v>Beta-carboline</v>
          </cell>
        </row>
        <row r="13732">
          <cell r="A13732" t="str">
            <v>CE3136_c</v>
          </cell>
          <cell r="B13732" t="str">
            <v>CE3136</v>
          </cell>
          <cell r="C13732" t="str">
            <v>9-cis-4-oxo-13,14-dihydro-retinoate</v>
          </cell>
        </row>
        <row r="13733">
          <cell r="A13733" t="str">
            <v>CE4633_n</v>
          </cell>
          <cell r="B13733" t="str">
            <v>CE4633</v>
          </cell>
          <cell r="C13733" t="str">
            <v>Hypochlorous acid</v>
          </cell>
        </row>
        <row r="13734">
          <cell r="A13734" t="str">
            <v>CE4722_c</v>
          </cell>
          <cell r="B13734" t="str">
            <v>CE4722</v>
          </cell>
          <cell r="C13734" t="str">
            <v>Beta-casomorphin (1-6)</v>
          </cell>
        </row>
        <row r="13735">
          <cell r="A13735" t="str">
            <v>CE4724_c</v>
          </cell>
          <cell r="B13735" t="str">
            <v>CE4724</v>
          </cell>
          <cell r="C13735" t="str">
            <v>Apelin (1-12)</v>
          </cell>
        </row>
        <row r="13736">
          <cell r="A13736" t="str">
            <v>CE4753_c</v>
          </cell>
          <cell r="B13736" t="str">
            <v>CE4753</v>
          </cell>
          <cell r="C13736" t="str">
            <v>Dynorphin B (10-13)</v>
          </cell>
        </row>
        <row r="13737">
          <cell r="A13737" t="str">
            <v>CE4816_c</v>
          </cell>
          <cell r="B13737" t="str">
            <v>CE4816</v>
          </cell>
          <cell r="C13737" t="str">
            <v>2-trans-9,12,15,18,21-all-cis-tetracosahexaenoyl-CoA</v>
          </cell>
        </row>
        <row r="13738">
          <cell r="A13738" t="str">
            <v>CE4820_c</v>
          </cell>
          <cell r="B13738" t="str">
            <v>CE4820</v>
          </cell>
          <cell r="C13738" t="str">
            <v>3-oxo-all-cis-6,9,12,15,18-tetracosapentaenoyl-CoA</v>
          </cell>
        </row>
        <row r="13739">
          <cell r="A13739" t="str">
            <v>CE4831_c</v>
          </cell>
          <cell r="B13739" t="str">
            <v>CE4831</v>
          </cell>
          <cell r="C13739" t="str">
            <v>3(S)-hydroxy-docosa-7,10,13,16-all-cis-tetraenoyl-CoA</v>
          </cell>
        </row>
        <row r="13740">
          <cell r="A13740" t="str">
            <v>CE4833_c</v>
          </cell>
          <cell r="B13740" t="str">
            <v>CE4833</v>
          </cell>
          <cell r="C13740" t="str">
            <v>3-oxo-docosa-7,10,13,16-all-cis-tetraenoyl-CoA</v>
          </cell>
        </row>
        <row r="13741">
          <cell r="A13741" t="str">
            <v>CE4845_c</v>
          </cell>
          <cell r="B13741" t="str">
            <v>CE4845</v>
          </cell>
          <cell r="C13741" t="str">
            <v>3-oxo-docosa-cis,cis,cis-10,13,16-trienoyl-CoA</v>
          </cell>
        </row>
        <row r="13742">
          <cell r="A13742" t="str">
            <v>CE4848_c</v>
          </cell>
          <cell r="B13742" t="str">
            <v>CE4848</v>
          </cell>
          <cell r="C13742" t="str">
            <v>3(S)-hydroxy-docosa-10,13,16,19-all-cis-tetraenoyl-CoA</v>
          </cell>
        </row>
        <row r="13743">
          <cell r="A13743" t="str">
            <v>CE4851_c</v>
          </cell>
          <cell r="B13743" t="str">
            <v>CE4851</v>
          </cell>
          <cell r="C13743" t="str">
            <v>3-oxo-tetracosa-12,15,18,21-all-cis-tetraenoyl-CoA</v>
          </cell>
        </row>
        <row r="13744">
          <cell r="A13744" t="str">
            <v>CE4852_c</v>
          </cell>
          <cell r="B13744" t="str">
            <v>CE4852</v>
          </cell>
          <cell r="C13744" t="str">
            <v>Trans,cis,cis,cis,cis-2,10,13,16,19-docosapentaenoyl-CoA</v>
          </cell>
        </row>
        <row r="13745">
          <cell r="A13745" t="str">
            <v>CE4874_m</v>
          </cell>
          <cell r="B13745" t="str">
            <v>CE4874</v>
          </cell>
          <cell r="C13745" t="str">
            <v>5beta-cholestane-3alpha,7alpha,12alpha,27,27-pentaol</v>
          </cell>
        </row>
        <row r="13746">
          <cell r="A13746" t="str">
            <v>CE4876_c</v>
          </cell>
          <cell r="B13746" t="str">
            <v>CE4876</v>
          </cell>
          <cell r="C13746" t="str">
            <v>Delta12-Prostaglandin J2</v>
          </cell>
        </row>
        <row r="13747">
          <cell r="A13747" t="str">
            <v>CE4876_r</v>
          </cell>
          <cell r="B13747" t="str">
            <v>CE4876</v>
          </cell>
          <cell r="C13747" t="str">
            <v>Delta12-Prostaglandin J2</v>
          </cell>
        </row>
        <row r="13748">
          <cell r="A13748" t="str">
            <v>CE4881_n</v>
          </cell>
          <cell r="B13748" t="str">
            <v>CE4881</v>
          </cell>
          <cell r="C13748" t="str">
            <v>Nitryl chloride</v>
          </cell>
        </row>
        <row r="13749">
          <cell r="A13749" t="str">
            <v>CE4888_c</v>
          </cell>
          <cell r="B13749" t="str">
            <v>CE4888</v>
          </cell>
          <cell r="C13749" t="str">
            <v>Dopaminochrome</v>
          </cell>
        </row>
        <row r="13750">
          <cell r="A13750" t="str">
            <v>CE4888_x</v>
          </cell>
          <cell r="B13750" t="str">
            <v>CE4888</v>
          </cell>
          <cell r="C13750" t="str">
            <v>Dopaminochrome</v>
          </cell>
        </row>
        <row r="13751">
          <cell r="A13751" t="str">
            <v>CE4898_c</v>
          </cell>
          <cell r="B13751" t="str">
            <v>CE4898</v>
          </cell>
          <cell r="C13751" t="str">
            <v>13'-carboxy-gama-tocopherol</v>
          </cell>
        </row>
        <row r="13752">
          <cell r="A13752" t="str">
            <v>CE4898_r</v>
          </cell>
          <cell r="B13752" t="str">
            <v>CE4898</v>
          </cell>
          <cell r="C13752" t="str">
            <v>13'-carboxy-gama-tocopherol</v>
          </cell>
        </row>
        <row r="13753">
          <cell r="A13753" t="str">
            <v>CE4987_c</v>
          </cell>
          <cell r="B13753" t="str">
            <v>CE4987</v>
          </cell>
          <cell r="C13753" t="str">
            <v>10,11-dihydro-leukotriene B4</v>
          </cell>
        </row>
        <row r="13754">
          <cell r="A13754" t="str">
            <v>CE5016_c</v>
          </cell>
          <cell r="B13754" t="str">
            <v>CE5016</v>
          </cell>
          <cell r="C13754" t="str">
            <v>13,14-dihydroxy-retinol</v>
          </cell>
        </row>
        <row r="13755">
          <cell r="A13755" t="str">
            <v>CE5021_c</v>
          </cell>
          <cell r="B13755" t="str">
            <v>CE5021</v>
          </cell>
          <cell r="C13755" t="str">
            <v>Alpha-tocopheryl hydroquinone</v>
          </cell>
        </row>
        <row r="13756">
          <cell r="A13756" t="str">
            <v>CE5022_c</v>
          </cell>
          <cell r="B13756" t="str">
            <v>CE5022</v>
          </cell>
          <cell r="C13756" t="str">
            <v>Alpha-tocopheryl quinone</v>
          </cell>
        </row>
        <row r="13757">
          <cell r="A13757" t="str">
            <v>CE5138_c</v>
          </cell>
          <cell r="B13757" t="str">
            <v>CE5138</v>
          </cell>
          <cell r="C13757" t="str">
            <v>12-oxo-20-hydroxy-leukotriene B4</v>
          </cell>
        </row>
        <row r="13758">
          <cell r="A13758" t="str">
            <v>CE5138_r</v>
          </cell>
          <cell r="B13758" t="str">
            <v>CE5138</v>
          </cell>
          <cell r="C13758" t="str">
            <v>12-oxo-20-hydroxy-leukotriene B4</v>
          </cell>
        </row>
        <row r="13759">
          <cell r="A13759" t="str">
            <v>CE5151_c</v>
          </cell>
          <cell r="B13759" t="str">
            <v>CE5151</v>
          </cell>
          <cell r="C13759" t="str">
            <v>11-cis-eicosenoyl-CoA</v>
          </cell>
        </row>
        <row r="13760">
          <cell r="A13760" t="str">
            <v>CE5151_r</v>
          </cell>
          <cell r="B13760" t="str">
            <v>CE5151</v>
          </cell>
          <cell r="C13760" t="str">
            <v>11-cis-eicosenoyl-CoA</v>
          </cell>
        </row>
        <row r="13761">
          <cell r="A13761" t="str">
            <v>CE5152_c</v>
          </cell>
          <cell r="B13761" t="str">
            <v>CE5152</v>
          </cell>
          <cell r="C13761" t="str">
            <v>3-oxo-13cis-docosenoyl-CoA</v>
          </cell>
        </row>
        <row r="13762">
          <cell r="A13762" t="str">
            <v>CE5152_r</v>
          </cell>
          <cell r="B13762" t="str">
            <v>CE5152</v>
          </cell>
          <cell r="C13762" t="str">
            <v>3-oxo-13cis-docosenoyl-CoA</v>
          </cell>
        </row>
        <row r="13763">
          <cell r="A13763" t="str">
            <v>CE5154_c</v>
          </cell>
          <cell r="B13763" t="str">
            <v>CE5154</v>
          </cell>
          <cell r="C13763" t="str">
            <v>Trans,cis-2,13-docosadienoyl-CoA</v>
          </cell>
        </row>
        <row r="13764">
          <cell r="A13764" t="str">
            <v>CE5154_r</v>
          </cell>
          <cell r="B13764" t="str">
            <v>CE5154</v>
          </cell>
          <cell r="C13764" t="str">
            <v>Trans,cis-2,13-docosadienoyl-CoA</v>
          </cell>
        </row>
        <row r="13765">
          <cell r="A13765" t="str">
            <v>CE5162_c</v>
          </cell>
          <cell r="B13765" t="str">
            <v>CE5162</v>
          </cell>
          <cell r="C13765" t="str">
            <v>Trans,cis-2,9-octadecadienoyl-CoA</v>
          </cell>
        </row>
        <row r="13766">
          <cell r="A13766" t="str">
            <v>CE5162_r</v>
          </cell>
          <cell r="B13766" t="str">
            <v>CE5162</v>
          </cell>
          <cell r="C13766" t="str">
            <v>Trans,cis-2,9-octadecadienoyl-CoA</v>
          </cell>
        </row>
        <row r="13767">
          <cell r="A13767" t="str">
            <v>CE5179_c</v>
          </cell>
          <cell r="B13767" t="str">
            <v>CE5179</v>
          </cell>
          <cell r="C13767" t="str">
            <v>6,7-dihydro-5-oxo-leukotriene B4</v>
          </cell>
        </row>
        <row r="13768">
          <cell r="A13768" t="str">
            <v>CE5179_r</v>
          </cell>
          <cell r="B13768" t="str">
            <v>CE5179</v>
          </cell>
          <cell r="C13768" t="str">
            <v>6,7-dihydro-5-oxo-leukotriene B4</v>
          </cell>
        </row>
        <row r="13769">
          <cell r="A13769" t="str">
            <v>CE5240_m</v>
          </cell>
          <cell r="B13769" t="str">
            <v>CE5240</v>
          </cell>
          <cell r="C13769" t="str">
            <v>2-hydroxyestrone-4-S-glutathione</v>
          </cell>
        </row>
        <row r="13770">
          <cell r="A13770" t="str">
            <v>CE5242_c</v>
          </cell>
          <cell r="B13770" t="str">
            <v>CE5242</v>
          </cell>
          <cell r="C13770" t="str">
            <v>2-hydroxyestrone-1-S-glutathione</v>
          </cell>
        </row>
        <row r="13771">
          <cell r="A13771" t="str">
            <v>CE5242_r</v>
          </cell>
          <cell r="B13771" t="str">
            <v>CE5242</v>
          </cell>
          <cell r="C13771" t="str">
            <v>2-hydroxyestrone-1-S-glutathione</v>
          </cell>
        </row>
        <row r="13772">
          <cell r="A13772" t="str">
            <v>CE5242_x</v>
          </cell>
          <cell r="B13772" t="str">
            <v>CE5242</v>
          </cell>
          <cell r="C13772" t="str">
            <v>2-hydroxyestrone-1-S-glutathione</v>
          </cell>
        </row>
        <row r="13773">
          <cell r="A13773" t="str">
            <v>CE5243_m</v>
          </cell>
          <cell r="B13773" t="str">
            <v>CE5243</v>
          </cell>
          <cell r="C13773" t="str">
            <v>4-hydroxy-17beta-estradiol-2-S-glutathione</v>
          </cell>
        </row>
        <row r="13774">
          <cell r="A13774" t="str">
            <v>CE5244_c</v>
          </cell>
          <cell r="B13774" t="str">
            <v>CE5244</v>
          </cell>
          <cell r="C13774" t="str">
            <v>4-hydroxyestrone-2-S-glutathione</v>
          </cell>
        </row>
        <row r="13775">
          <cell r="A13775" t="str">
            <v>CE5244_r</v>
          </cell>
          <cell r="B13775" t="str">
            <v>CE5244</v>
          </cell>
          <cell r="C13775" t="str">
            <v>4-hydroxyestrone-2-S-glutathione</v>
          </cell>
        </row>
        <row r="13776">
          <cell r="A13776" t="str">
            <v>CE5244_x</v>
          </cell>
          <cell r="B13776" t="str">
            <v>CE5244</v>
          </cell>
          <cell r="C13776" t="str">
            <v>4-hydroxyestrone-2-S-glutathione</v>
          </cell>
        </row>
        <row r="13777">
          <cell r="A13777" t="str">
            <v>CE5250_c</v>
          </cell>
          <cell r="B13777" t="str">
            <v>CE5250</v>
          </cell>
          <cell r="C13777" t="str">
            <v>17beta-estradiol-2,3-quinone</v>
          </cell>
        </row>
        <row r="13778">
          <cell r="A13778" t="str">
            <v>CE5250_r</v>
          </cell>
          <cell r="B13778" t="str">
            <v>CE5250</v>
          </cell>
          <cell r="C13778" t="str">
            <v>17beta-estradiol-2,3-quinone</v>
          </cell>
        </row>
        <row r="13779">
          <cell r="A13779" t="str">
            <v>CE5250_x</v>
          </cell>
          <cell r="B13779" t="str">
            <v>CE5250</v>
          </cell>
          <cell r="C13779" t="str">
            <v>17beta-estradiol-2,3-quinone</v>
          </cell>
        </row>
        <row r="13780">
          <cell r="A13780" t="str">
            <v>CE5331_c</v>
          </cell>
          <cell r="B13780" t="str">
            <v>CE5331</v>
          </cell>
          <cell r="C13780" t="str">
            <v>3,5-dioxo-12(S)-hydroxy-eicosa-8E,10E,14Z-trienoyl-CoA</v>
          </cell>
        </row>
        <row r="13781">
          <cell r="A13781" t="str">
            <v>CE5331_x</v>
          </cell>
          <cell r="B13781" t="str">
            <v>CE5331</v>
          </cell>
          <cell r="C13781" t="str">
            <v>3,5-dioxo-12(S)-hydroxy-eicosa-8E,10E,14Z-trienoyl-CoA</v>
          </cell>
        </row>
        <row r="13782">
          <cell r="A13782" t="str">
            <v>CE5337_m</v>
          </cell>
          <cell r="B13782" t="str">
            <v>CE5337</v>
          </cell>
          <cell r="C13782" t="str">
            <v>3-oxo-10(S)-hydroxy-octadeca-6E,8E,12Z-trienoyl-CoA</v>
          </cell>
        </row>
        <row r="13783">
          <cell r="A13783" t="str">
            <v>CE5345_c</v>
          </cell>
          <cell r="B13783" t="str">
            <v>CE5345</v>
          </cell>
          <cell r="C13783" t="str">
            <v>3,5-dioxo-12(R)-hydroxy-eicosa-8E,10E,14Z-trienoyl-CoA</v>
          </cell>
        </row>
        <row r="13784">
          <cell r="A13784" t="str">
            <v>CE5345_x</v>
          </cell>
          <cell r="B13784" t="str">
            <v>CE5345</v>
          </cell>
          <cell r="C13784" t="str">
            <v>3,5-dioxo-12(R)-hydroxy-eicosa-8E,10E,14Z-trienoyl-CoA</v>
          </cell>
        </row>
        <row r="13785">
          <cell r="A13785" t="str">
            <v>CE5348_m</v>
          </cell>
          <cell r="B13785" t="str">
            <v>CE5348</v>
          </cell>
          <cell r="C13785" t="str">
            <v>5-oxo-12(R)-hydroxy-eicosa-8E,10E,14Z-trienoyl-CoA</v>
          </cell>
        </row>
        <row r="13786">
          <cell r="A13786" t="str">
            <v>CE5456_c</v>
          </cell>
          <cell r="B13786" t="str">
            <v>CE5456</v>
          </cell>
          <cell r="C13786" t="str">
            <v>(R)-2-hydroxy-4-methylpentanoate</v>
          </cell>
        </row>
        <row r="13787">
          <cell r="A13787" t="str">
            <v>CE5542_c</v>
          </cell>
          <cell r="B13787" t="str">
            <v>CE5542</v>
          </cell>
          <cell r="C13787" t="str">
            <v>Noradrenochrome o-semiquinone</v>
          </cell>
        </row>
        <row r="13788">
          <cell r="A13788" t="str">
            <v>CE5544_c</v>
          </cell>
          <cell r="B13788" t="str">
            <v>CE5544</v>
          </cell>
          <cell r="C13788" t="str">
            <v>5-S-glutathionyl-dopachrome hydroquinone</v>
          </cell>
        </row>
        <row r="13789">
          <cell r="A13789" t="str">
            <v>CE5544_x</v>
          </cell>
          <cell r="B13789" t="str">
            <v>CE5544</v>
          </cell>
          <cell r="C13789" t="str">
            <v>5-S-glutathionyl-dopachrome hydroquinone</v>
          </cell>
        </row>
        <row r="13790">
          <cell r="A13790" t="str">
            <v>CE5545_c</v>
          </cell>
          <cell r="B13790" t="str">
            <v>CE5545</v>
          </cell>
          <cell r="C13790" t="str">
            <v>5-S-glutathionyl-aminochrome reduced</v>
          </cell>
        </row>
        <row r="13791">
          <cell r="A13791" t="str">
            <v>CE5545_x</v>
          </cell>
          <cell r="B13791" t="str">
            <v>CE5545</v>
          </cell>
          <cell r="C13791" t="str">
            <v>5-S-glutathionyl-aminochrome reduced</v>
          </cell>
        </row>
        <row r="13792">
          <cell r="A13792" t="str">
            <v>CE5594_c</v>
          </cell>
          <cell r="B13792" t="str">
            <v>CE5594</v>
          </cell>
          <cell r="C13792" t="str">
            <v>9,13-cis-retinoate</v>
          </cell>
        </row>
        <row r="13793">
          <cell r="A13793" t="str">
            <v>CE5629_c</v>
          </cell>
          <cell r="B13793" t="str">
            <v>CE5629</v>
          </cell>
          <cell r="C13793" t="str">
            <v>1,2-dehydrosalsolinol</v>
          </cell>
        </row>
        <row r="13794">
          <cell r="A13794" t="str">
            <v>CE5653_c</v>
          </cell>
          <cell r="B13794" t="str">
            <v>CE5653</v>
          </cell>
          <cell r="C13794" t="str">
            <v>4-oxo-9-cis-retinoate</v>
          </cell>
        </row>
        <row r="13795">
          <cell r="A13795" t="str">
            <v>CE5653_r</v>
          </cell>
          <cell r="B13795" t="str">
            <v>CE5653</v>
          </cell>
          <cell r="C13795" t="str">
            <v>4-oxo-9-cis-retinoate</v>
          </cell>
        </row>
        <row r="13796">
          <cell r="A13796" t="str">
            <v>CE5654_c</v>
          </cell>
          <cell r="B13796" t="str">
            <v>CE5654</v>
          </cell>
          <cell r="C13796" t="str">
            <v>4-oxo-13-cis-retinoate</v>
          </cell>
        </row>
        <row r="13797">
          <cell r="A13797" t="str">
            <v>CE5654_r</v>
          </cell>
          <cell r="B13797" t="str">
            <v>CE5654</v>
          </cell>
          <cell r="C13797" t="str">
            <v>4-oxo-13-cis-retinoate</v>
          </cell>
        </row>
        <row r="13798">
          <cell r="A13798" t="str">
            <v>CE5662_c</v>
          </cell>
          <cell r="B13798" t="str">
            <v>CE5662</v>
          </cell>
          <cell r="C13798" t="str">
            <v>13,14-dihydro-15-oxo-lipoxin A4</v>
          </cell>
        </row>
        <row r="13799">
          <cell r="A13799" t="str">
            <v>CE5727_c</v>
          </cell>
          <cell r="B13799" t="str">
            <v>CE5727</v>
          </cell>
          <cell r="C13799" t="str">
            <v>Prostaglandin PGE2 3-glyceryl ester</v>
          </cell>
        </row>
        <row r="13800">
          <cell r="A13800" t="str">
            <v>CE5730_c</v>
          </cell>
          <cell r="B13800" t="str">
            <v>CE5730</v>
          </cell>
          <cell r="C13800" t="str">
            <v>Prostaglandin PGB2 glyceryl ester</v>
          </cell>
        </row>
        <row r="13801">
          <cell r="A13801" t="str">
            <v>CE5776_c</v>
          </cell>
          <cell r="B13801" t="str">
            <v>CE5776</v>
          </cell>
          <cell r="C13801" t="str">
            <v>Iso-A2E(11'-cis)</v>
          </cell>
        </row>
        <row r="13802">
          <cell r="A13802" t="str">
            <v>CE5786_c</v>
          </cell>
          <cell r="B13802" t="str">
            <v>CE5786</v>
          </cell>
          <cell r="C13802" t="str">
            <v>Kinetensin; Ile-Ala-Arg-Arg-His-Pro-Tyr-Phe-Leu</v>
          </cell>
        </row>
        <row r="13803">
          <cell r="A13803" t="str">
            <v>CE5795_l</v>
          </cell>
          <cell r="B13803" t="str">
            <v>CE5795</v>
          </cell>
          <cell r="C13803" t="str">
            <v>Neuromedin B (1-3)</v>
          </cell>
        </row>
        <row r="13804">
          <cell r="A13804" t="str">
            <v>CE5796_l</v>
          </cell>
          <cell r="B13804" t="str">
            <v>CE5796</v>
          </cell>
          <cell r="C13804" t="str">
            <v>Neuromedin B (4-10)</v>
          </cell>
        </row>
        <row r="13805">
          <cell r="A13805" t="str">
            <v>CE5837_c</v>
          </cell>
          <cell r="B13805" t="str">
            <v>CE5837</v>
          </cell>
          <cell r="C13805" t="str">
            <v>7,8-epoxy-8alpha-hydroperoxytocopherone</v>
          </cell>
        </row>
        <row r="13806">
          <cell r="A13806" t="str">
            <v>CE5853_r</v>
          </cell>
          <cell r="B13806" t="str">
            <v>CE5853</v>
          </cell>
          <cell r="C13806" t="str">
            <v>Alpha-CEHC-glucuronide</v>
          </cell>
        </row>
        <row r="13807">
          <cell r="A13807" t="str">
            <v>CE5854_l</v>
          </cell>
          <cell r="B13807" t="str">
            <v>CE5854</v>
          </cell>
          <cell r="C13807" t="str">
            <v>Gama-CEHC-glucuronide</v>
          </cell>
        </row>
        <row r="13808">
          <cell r="A13808" t="str">
            <v>CE5868_c</v>
          </cell>
          <cell r="B13808" t="str">
            <v>CE5868</v>
          </cell>
          <cell r="C13808" t="str">
            <v>N-acetyl-seryl-aspartate</v>
          </cell>
        </row>
        <row r="13809">
          <cell r="A13809" t="str">
            <v>CE5944_m</v>
          </cell>
          <cell r="B13809" t="str">
            <v>CE5944</v>
          </cell>
          <cell r="C13809" t="str">
            <v>10,11-dihydro-12-oxo-LTB4</v>
          </cell>
        </row>
        <row r="13810">
          <cell r="A13810" t="str">
            <v>CE5966_c</v>
          </cell>
          <cell r="B13810" t="str">
            <v>CE5966</v>
          </cell>
          <cell r="C13810" t="str">
            <v>3-oxo-5(S),12(R)-dihydroxy-eicosa-8-trans-6,14-cis-trienoyl-CoA</v>
          </cell>
        </row>
        <row r="13811">
          <cell r="A13811" t="str">
            <v>CE5966_x</v>
          </cell>
          <cell r="B13811" t="str">
            <v>CE5966</v>
          </cell>
          <cell r="C13811" t="str">
            <v>3-oxo-5(S),12(R)-dihydroxy-eicosa-8-trans-6,14-cis-trienoyl-CoA</v>
          </cell>
        </row>
        <row r="13812">
          <cell r="A13812" t="str">
            <v>CE5967_c</v>
          </cell>
          <cell r="B13812" t="str">
            <v>CE5967</v>
          </cell>
          <cell r="C13812" t="str">
            <v>3(S),10(R)-OH-octadeca-6-trans-4,12-cis-trienoyl-CoA</v>
          </cell>
        </row>
        <row r="13813">
          <cell r="A13813" t="str">
            <v>CE5967_x</v>
          </cell>
          <cell r="B13813" t="str">
            <v>CE5967</v>
          </cell>
          <cell r="C13813" t="str">
            <v>3(S),10(R)-OH-octadeca-6-trans-4,12-cis-trienoyl-CoA</v>
          </cell>
        </row>
        <row r="13814">
          <cell r="A13814" t="str">
            <v>CE5969_m</v>
          </cell>
          <cell r="B13814" t="str">
            <v>CE5969</v>
          </cell>
          <cell r="C13814" t="str">
            <v>10,11-dihydro-LTB4-CoA</v>
          </cell>
        </row>
        <row r="13815">
          <cell r="A13815" t="str">
            <v>CE5970_m</v>
          </cell>
          <cell r="B13815" t="str">
            <v>CE5970</v>
          </cell>
          <cell r="C13815" t="str">
            <v>5(S),12(R)-dihydroxy-eicosa-2,8-trans-6,14-cis-tetraenoyl-CoA</v>
          </cell>
        </row>
        <row r="13816">
          <cell r="A13816" t="str">
            <v>CE5971_m</v>
          </cell>
          <cell r="B13816" t="str">
            <v>CE5971</v>
          </cell>
          <cell r="C13816" t="str">
            <v>3(S),5(S),12(R)-trihydroxy-eicosa-8-trans-6,14-cis-trienoyl-CoA</v>
          </cell>
        </row>
        <row r="13817">
          <cell r="A13817" t="str">
            <v>CE6183_c</v>
          </cell>
          <cell r="B13817" t="str">
            <v>CE6183</v>
          </cell>
          <cell r="C13817" t="str">
            <v>18,20-dioxo-20-CoA-leukotriene B4</v>
          </cell>
        </row>
        <row r="13818">
          <cell r="A13818" t="str">
            <v>CE6183_x</v>
          </cell>
          <cell r="B13818" t="str">
            <v>CE6183</v>
          </cell>
          <cell r="C13818" t="str">
            <v>18,20-dioxo-20-CoA-leukotriene B4</v>
          </cell>
        </row>
        <row r="13819">
          <cell r="A13819" t="str">
            <v>CE6184_m</v>
          </cell>
          <cell r="B13819" t="str">
            <v>CE6184</v>
          </cell>
          <cell r="C13819" t="str">
            <v>18-CoA-18-oxo-dinorleukotriene B4</v>
          </cell>
        </row>
        <row r="13820">
          <cell r="A13820" t="str">
            <v>CE6187_m</v>
          </cell>
          <cell r="B13820" t="str">
            <v>CE6187</v>
          </cell>
          <cell r="C13820" t="str">
            <v>20-CoA-20-oxo-18R-hydroxyleucotriene B4</v>
          </cell>
        </row>
        <row r="13821">
          <cell r="A13821" t="str">
            <v>CE6189_x</v>
          </cell>
          <cell r="B13821" t="str">
            <v>CE6189</v>
          </cell>
          <cell r="C13821" t="str">
            <v>CoA-20-COOH-18-oxo-LTE4</v>
          </cell>
        </row>
        <row r="13822">
          <cell r="A13822" t="str">
            <v>CE6192_x</v>
          </cell>
          <cell r="B13822" t="str">
            <v>CE6192</v>
          </cell>
          <cell r="C13822" t="str">
            <v>18(R)-hydroxy-20-oxo-20-CoA-LTE4</v>
          </cell>
        </row>
        <row r="13823">
          <cell r="A13823" t="str">
            <v>CE6205_c</v>
          </cell>
          <cell r="B13823" t="str">
            <v>CE6205</v>
          </cell>
          <cell r="C13823" t="str">
            <v>5-methoxytryptophol</v>
          </cell>
        </row>
        <row r="13824">
          <cell r="A13824" t="str">
            <v>CE6228_x</v>
          </cell>
          <cell r="B13824" t="str">
            <v>CE6228</v>
          </cell>
          <cell r="C13824" t="str">
            <v>13E-tetranor-16-oxo-16-CoA-LTE4</v>
          </cell>
        </row>
        <row r="13825">
          <cell r="A13825" t="str">
            <v>CE6234_c</v>
          </cell>
          <cell r="B13825" t="str">
            <v>CE6234</v>
          </cell>
          <cell r="C13825" t="str">
            <v>Prostaglandin H1</v>
          </cell>
        </row>
        <row r="13826">
          <cell r="A13826" t="str">
            <v>CE6235_m</v>
          </cell>
          <cell r="B13826" t="str">
            <v>CE6235</v>
          </cell>
          <cell r="C13826" t="str">
            <v>S-(PGA2)-glutathione</v>
          </cell>
        </row>
        <row r="13827">
          <cell r="A13827" t="str">
            <v>CE6242_c</v>
          </cell>
          <cell r="B13827" t="str">
            <v>CE6242</v>
          </cell>
          <cell r="C13827" t="str">
            <v>S-(PGJ2)-glutathione</v>
          </cell>
        </row>
        <row r="13828">
          <cell r="A13828" t="str">
            <v>CE6242_r</v>
          </cell>
          <cell r="B13828" t="str">
            <v>CE6242</v>
          </cell>
          <cell r="C13828" t="str">
            <v>S-(PGJ2)-glutathione</v>
          </cell>
        </row>
        <row r="13829">
          <cell r="A13829" t="str">
            <v>CE6247_c</v>
          </cell>
          <cell r="B13829" t="str">
            <v>CE6247</v>
          </cell>
          <cell r="C13829" t="str">
            <v>5,12,20-TriHETE</v>
          </cell>
        </row>
        <row r="13830">
          <cell r="A13830" t="str">
            <v>CE6247_r</v>
          </cell>
          <cell r="B13830" t="str">
            <v>CE6247</v>
          </cell>
          <cell r="C13830" t="str">
            <v>5,12,20-TriHETE</v>
          </cell>
        </row>
        <row r="13831">
          <cell r="A13831" t="str">
            <v>CE6250_c</v>
          </cell>
          <cell r="B13831" t="str">
            <v>CE6250</v>
          </cell>
          <cell r="C13831" t="str">
            <v>Hepoxilin A3-C</v>
          </cell>
        </row>
        <row r="13832">
          <cell r="A13832" t="str">
            <v>CE6250_r</v>
          </cell>
          <cell r="B13832" t="str">
            <v>CE6250</v>
          </cell>
          <cell r="C13832" t="str">
            <v>Hepoxilin A3-C</v>
          </cell>
        </row>
        <row r="13833">
          <cell r="A13833" t="str">
            <v>CE6250_x</v>
          </cell>
          <cell r="B13833" t="str">
            <v>CE6250</v>
          </cell>
          <cell r="C13833" t="str">
            <v>Hepoxilin A3-C</v>
          </cell>
        </row>
        <row r="13834">
          <cell r="A13834" t="str">
            <v>CE6415_c</v>
          </cell>
          <cell r="B13834" t="str">
            <v>CE6415</v>
          </cell>
          <cell r="C13834" t="str">
            <v>11-HpODE</v>
          </cell>
        </row>
        <row r="13835">
          <cell r="A13835" t="str">
            <v>CE6445_c</v>
          </cell>
          <cell r="B13835" t="str">
            <v>CE6445</v>
          </cell>
          <cell r="C13835" t="str">
            <v>7-hydroperoxy-H4-neuroprostane</v>
          </cell>
        </row>
        <row r="13836">
          <cell r="A13836" t="str">
            <v>CE6446_c</v>
          </cell>
          <cell r="B13836" t="str">
            <v>CE6446</v>
          </cell>
          <cell r="C13836" t="str">
            <v>11-hydroperoxy-H4-neuroprostane</v>
          </cell>
        </row>
        <row r="13837">
          <cell r="A13837" t="str">
            <v>CE6450_c</v>
          </cell>
          <cell r="B13837" t="str">
            <v>CE6450</v>
          </cell>
          <cell r="C13837" t="str">
            <v>17-hydroperoxy-H4-neuroprostane</v>
          </cell>
        </row>
        <row r="13838">
          <cell r="A13838" t="str">
            <v>CE6452_c</v>
          </cell>
          <cell r="B13838" t="str">
            <v>CE6452</v>
          </cell>
          <cell r="C13838" t="str">
            <v>4-hydroxy-E4-neuroprostane</v>
          </cell>
        </row>
        <row r="13839">
          <cell r="A13839" t="str">
            <v>CE6453_c</v>
          </cell>
          <cell r="B13839" t="str">
            <v>CE6453</v>
          </cell>
          <cell r="C13839" t="str">
            <v>4-hydroxy-D4-neuroprostane</v>
          </cell>
        </row>
        <row r="13840">
          <cell r="A13840" t="str">
            <v>CE6455_c</v>
          </cell>
          <cell r="B13840" t="str">
            <v>CE6455</v>
          </cell>
          <cell r="C13840" t="str">
            <v>7-hydroxy-D4-neuroprostane</v>
          </cell>
        </row>
        <row r="13841">
          <cell r="A13841" t="str">
            <v>CE6456_c</v>
          </cell>
          <cell r="B13841" t="str">
            <v>CE6456</v>
          </cell>
          <cell r="C13841" t="str">
            <v>11-hydroxy-E4-neuroprostane</v>
          </cell>
        </row>
        <row r="13842">
          <cell r="A13842" t="str">
            <v>CE6466_c</v>
          </cell>
          <cell r="B13842" t="str">
            <v>CE6466</v>
          </cell>
          <cell r="C13842" t="str">
            <v>20-hydroxy-E4-neuroprostane</v>
          </cell>
        </row>
        <row r="13843">
          <cell r="A13843" t="str">
            <v>CE6508_n</v>
          </cell>
          <cell r="B13843" t="str">
            <v>CE6508</v>
          </cell>
          <cell r="C13843" t="str">
            <v>5-hydroperoxy-EPA</v>
          </cell>
        </row>
        <row r="13844">
          <cell r="A13844" t="str">
            <v>CE7074_c</v>
          </cell>
          <cell r="B13844" t="str">
            <v>CE7074</v>
          </cell>
          <cell r="C13844" t="str">
            <v>13'-hydroxy-gama-tocotrienol</v>
          </cell>
        </row>
        <row r="13845">
          <cell r="A13845" t="str">
            <v>CE7074_r</v>
          </cell>
          <cell r="B13845" t="str">
            <v>CE7074</v>
          </cell>
          <cell r="C13845" t="str">
            <v>13'-hydroxy-gama-tocotrienol</v>
          </cell>
        </row>
        <row r="13846">
          <cell r="A13846" t="str">
            <v>CE7083_c</v>
          </cell>
          <cell r="B13846" t="str">
            <v>CE7083</v>
          </cell>
          <cell r="C13846" t="str">
            <v>Leukotriene B5</v>
          </cell>
        </row>
        <row r="13847">
          <cell r="A13847" t="str">
            <v>CE7083_r</v>
          </cell>
          <cell r="B13847" t="str">
            <v>CE7083</v>
          </cell>
          <cell r="C13847" t="str">
            <v>Leukotriene B5</v>
          </cell>
        </row>
        <row r="13848">
          <cell r="A13848" t="str">
            <v>CE7091_n</v>
          </cell>
          <cell r="B13848" t="str">
            <v>CE7091</v>
          </cell>
          <cell r="C13848" t="str">
            <v>15(R)-hydroperoxy-EPE</v>
          </cell>
        </row>
        <row r="13849">
          <cell r="A13849" t="str">
            <v>CE7110_n</v>
          </cell>
          <cell r="B13849" t="str">
            <v>CE7110</v>
          </cell>
          <cell r="C13849" t="str">
            <v>5,6-epoxy,18R-HEPE</v>
          </cell>
        </row>
        <row r="13850">
          <cell r="A13850" t="str">
            <v>CE7114_c</v>
          </cell>
          <cell r="B13850" t="str">
            <v>CE7114</v>
          </cell>
          <cell r="C13850" t="str">
            <v>5,12,18R-TriHEPE</v>
          </cell>
        </row>
        <row r="13851">
          <cell r="A13851" t="str">
            <v>CE7145_c</v>
          </cell>
          <cell r="B13851" t="str">
            <v>CE7145</v>
          </cell>
          <cell r="C13851" t="str">
            <v>13'-carboxy-alpha-tocotrienol</v>
          </cell>
        </row>
        <row r="13852">
          <cell r="A13852" t="str">
            <v>CE7145_r</v>
          </cell>
          <cell r="B13852" t="str">
            <v>CE7145</v>
          </cell>
          <cell r="C13852" t="str">
            <v>13'-carboxy-alpha-tocotrienol</v>
          </cell>
        </row>
        <row r="13853">
          <cell r="A13853" t="str">
            <v>CN0010_c</v>
          </cell>
          <cell r="B13853" t="str">
            <v>CN0010</v>
          </cell>
          <cell r="C13853" t="str">
            <v>Benzo[a]pyrene-4,5-diol</v>
          </cell>
        </row>
        <row r="13854">
          <cell r="A13854" t="str">
            <v>CN0010_r</v>
          </cell>
          <cell r="B13854" t="str">
            <v>CN0010</v>
          </cell>
          <cell r="C13854" t="str">
            <v>Benzo[a]pyrene-4,5-diol</v>
          </cell>
        </row>
        <row r="13855">
          <cell r="A13855" t="str">
            <v>CN0010_x</v>
          </cell>
          <cell r="B13855" t="str">
            <v>CN0010</v>
          </cell>
          <cell r="C13855" t="str">
            <v>Benzo[a]pyrene-4,5-diol</v>
          </cell>
        </row>
        <row r="13856">
          <cell r="A13856" t="str">
            <v>CN0021_c</v>
          </cell>
          <cell r="B13856" t="str">
            <v>CN0021</v>
          </cell>
          <cell r="C13856" t="str">
            <v>7,12-Dimethylbenz[a]anthracene-3,4-oxide</v>
          </cell>
        </row>
        <row r="13857">
          <cell r="A13857" t="str">
            <v>CN0021_r</v>
          </cell>
          <cell r="B13857" t="str">
            <v>CN0021</v>
          </cell>
          <cell r="C13857" t="str">
            <v>7,12-Dimethylbenz[a]anthracene-3,4-oxide</v>
          </cell>
        </row>
        <row r="13858">
          <cell r="A13858" t="str">
            <v>CN0021_x</v>
          </cell>
          <cell r="B13858" t="str">
            <v>CN0021</v>
          </cell>
          <cell r="C13858" t="str">
            <v>7,12-Dimethylbenz[a]anthracene-3,4-oxide</v>
          </cell>
        </row>
        <row r="13859">
          <cell r="A13859" t="str">
            <v>HC00004_c</v>
          </cell>
          <cell r="B13859" t="str">
            <v>HC00004</v>
          </cell>
          <cell r="C13859" t="str">
            <v>ApoA1</v>
          </cell>
        </row>
        <row r="13860">
          <cell r="A13860" t="str">
            <v>HC00004_r</v>
          </cell>
          <cell r="B13860" t="str">
            <v>HC00004</v>
          </cell>
          <cell r="C13860" t="str">
            <v>ApoA1</v>
          </cell>
        </row>
        <row r="13861">
          <cell r="A13861" t="str">
            <v>HC00229_e</v>
          </cell>
          <cell r="B13861" t="str">
            <v>HC00229</v>
          </cell>
          <cell r="C13861" t="str">
            <v>Isomaltose</v>
          </cell>
        </row>
        <row r="13862">
          <cell r="A13862" t="str">
            <v>HC00460_c</v>
          </cell>
          <cell r="B13862" t="str">
            <v>HC00460</v>
          </cell>
          <cell r="C13862" t="str">
            <v>2,5-dihydroxybenzoate</v>
          </cell>
        </row>
        <row r="13863">
          <cell r="A13863" t="str">
            <v>HC00576_c</v>
          </cell>
          <cell r="B13863" t="str">
            <v>HC00576</v>
          </cell>
          <cell r="C13863" t="str">
            <v>Homocarnosine</v>
          </cell>
        </row>
        <row r="13864">
          <cell r="A13864" t="str">
            <v>HC00591_m</v>
          </cell>
          <cell r="B13864" t="str">
            <v>HC00591</v>
          </cell>
          <cell r="C13864" t="str">
            <v>2-oxoglutaramate</v>
          </cell>
        </row>
        <row r="13865">
          <cell r="A13865" t="str">
            <v>HC00718_c</v>
          </cell>
          <cell r="B13865" t="str">
            <v>HC00718</v>
          </cell>
          <cell r="C13865" t="str">
            <v>N-methylethanolaminium phosphate(1-)</v>
          </cell>
        </row>
        <row r="13866">
          <cell r="A13866" t="str">
            <v>HC00955_e</v>
          </cell>
          <cell r="B13866" t="str">
            <v>HC00955</v>
          </cell>
          <cell r="C13866" t="str">
            <v>L-3-Cyanoalanine</v>
          </cell>
        </row>
        <row r="13867">
          <cell r="A13867" t="str">
            <v>HC01162_c</v>
          </cell>
          <cell r="B13867" t="str">
            <v>HC01162</v>
          </cell>
          <cell r="C13867" t="str">
            <v>(2R,4S,5R,6R)-2-[({[(2R,3S,4R,5R)-5-(4-amino-2-oxo-1,2-dihydropyrimidin-1-yl)-3,4-dihydroxyoxolan-2-yl]methoxy}phosphinato)oxy]-4-hydroxy-5-(2-hydroxyacetamido)-6-[(1R,2R)-1,2,3-trihydroxypropyl]oxane-2-carboxylate</v>
          </cell>
        </row>
        <row r="13868">
          <cell r="A13868" t="str">
            <v>HC01180_c</v>
          </cell>
          <cell r="B13868" t="str">
            <v>HC01180</v>
          </cell>
          <cell r="C13868" t="str">
            <v>D-tagatofuranose 1,6-bisphosphate(4-)</v>
          </cell>
        </row>
        <row r="13869">
          <cell r="A13869" t="str">
            <v>HC01231_m</v>
          </cell>
          <cell r="B13869" t="str">
            <v>HC01231</v>
          </cell>
          <cell r="C13869" t="str">
            <v>N-[(R)-pantothenoyl]-L-cysteinate</v>
          </cell>
        </row>
        <row r="13870">
          <cell r="A13870" t="str">
            <v>HC01434_m</v>
          </cell>
          <cell r="B13870" t="str">
            <v>HC01434</v>
          </cell>
          <cell r="C13870" t="str">
            <v>Oxalatosuccinate(3-)</v>
          </cell>
        </row>
        <row r="13871">
          <cell r="A13871" t="str">
            <v>HC01441_e</v>
          </cell>
          <cell r="B13871" t="str">
            <v>HC01441</v>
          </cell>
          <cell r="C13871" t="str">
            <v>Lactose-6P</v>
          </cell>
        </row>
        <row r="13872">
          <cell r="A13872" t="str">
            <v>HC01652_c</v>
          </cell>
          <cell r="B13872" t="str">
            <v>HC01652</v>
          </cell>
          <cell r="C13872" t="str">
            <v>2,5-Diaminopyrimidine nucleoside triphosphate</v>
          </cell>
        </row>
        <row r="13873">
          <cell r="A13873" t="str">
            <v>HC01672_c</v>
          </cell>
          <cell r="B13873" t="str">
            <v>HC01672</v>
          </cell>
          <cell r="C13873" t="str">
            <v>Acetyl adenylate</v>
          </cell>
        </row>
        <row r="13874">
          <cell r="A13874" t="str">
            <v>HC01700_e</v>
          </cell>
          <cell r="B13874" t="str">
            <v>HC01700</v>
          </cell>
          <cell r="C13874" t="str">
            <v>Gamma-Glutamyl-3-aminopropiononitrile</v>
          </cell>
        </row>
        <row r="13875">
          <cell r="A13875" t="str">
            <v>HC01710_c</v>
          </cell>
          <cell r="B13875" t="str">
            <v>HC01710</v>
          </cell>
          <cell r="C13875" t="str">
            <v>2,5-Diamino-6-(5-triphosphoryl-3,4-trihydroxy-2-oxopentyl)- amino-4-oxopyrimidine</v>
          </cell>
        </row>
        <row r="13876">
          <cell r="A13876" t="str">
            <v>HC01787_c</v>
          </cell>
          <cell r="B13876" t="str">
            <v>HC01787</v>
          </cell>
          <cell r="C13876" t="str">
            <v>Lepidimoide</v>
          </cell>
        </row>
        <row r="13877">
          <cell r="A13877" t="str">
            <v>HC01797_c</v>
          </cell>
          <cell r="B13877" t="str">
            <v>HC01797</v>
          </cell>
          <cell r="C13877" t="str">
            <v>Activated methyl group</v>
          </cell>
        </row>
        <row r="13878">
          <cell r="A13878" t="str">
            <v>HC02025_r</v>
          </cell>
          <cell r="B13878" t="str">
            <v>HC02025</v>
          </cell>
          <cell r="C13878" t="str">
            <v>Cholesterol-ester-ala</v>
          </cell>
        </row>
        <row r="13879">
          <cell r="A13879" t="str">
            <v>HC02111_m</v>
          </cell>
          <cell r="B13879" t="str">
            <v>HC02111</v>
          </cell>
          <cell r="C13879" t="str">
            <v>ATP-energy</v>
          </cell>
        </row>
        <row r="13880">
          <cell r="A13880" t="str">
            <v>HC02113_c</v>
          </cell>
          <cell r="B13880" t="str">
            <v>HC02113</v>
          </cell>
          <cell r="C13880" t="str">
            <v>NADPH-redox-potential</v>
          </cell>
        </row>
        <row r="13881">
          <cell r="A13881" t="str">
            <v>HC02113_r</v>
          </cell>
          <cell r="B13881" t="str">
            <v>HC02113</v>
          </cell>
          <cell r="C13881" t="str">
            <v>NADPH-redox-potential</v>
          </cell>
        </row>
        <row r="13882">
          <cell r="A13882" t="str">
            <v>HC02113_x</v>
          </cell>
          <cell r="B13882" t="str">
            <v>HC02113</v>
          </cell>
          <cell r="C13882" t="str">
            <v>NADPH-redox-potential</v>
          </cell>
        </row>
        <row r="13883">
          <cell r="A13883" t="str">
            <v>HC02114_c</v>
          </cell>
          <cell r="B13883" t="str">
            <v>HC02114</v>
          </cell>
          <cell r="C13883" t="str">
            <v>FADH-redox-potential</v>
          </cell>
        </row>
        <row r="13884">
          <cell r="A13884" t="str">
            <v>HC02154_e</v>
          </cell>
          <cell r="B13884" t="str">
            <v>HC02154</v>
          </cell>
          <cell r="C13884" t="str">
            <v>GM4-pool</v>
          </cell>
        </row>
        <row r="13885">
          <cell r="A13885" t="str">
            <v>HC02160_e</v>
          </cell>
          <cell r="B13885" t="str">
            <v>HC02160</v>
          </cell>
          <cell r="C13885" t="str">
            <v>GM2-pool</v>
          </cell>
        </row>
        <row r="13886">
          <cell r="A13886" t="str">
            <v>HC02180_c</v>
          </cell>
          <cell r="B13886" t="str">
            <v>HC02180</v>
          </cell>
          <cell r="C13886" t="str">
            <v>Thromboxane-b2</v>
          </cell>
        </row>
        <row r="13887">
          <cell r="A13887" t="str">
            <v>HC02187_c</v>
          </cell>
          <cell r="B13887" t="str">
            <v>HC02187</v>
          </cell>
          <cell r="C13887" t="str">
            <v>Reverse-triiodthyronine</v>
          </cell>
        </row>
        <row r="13888">
          <cell r="A13888" t="str">
            <v>HC02191_e</v>
          </cell>
          <cell r="B13888" t="str">
            <v>HC02191</v>
          </cell>
          <cell r="C13888" t="str">
            <v>Lithocholate</v>
          </cell>
        </row>
        <row r="13889">
          <cell r="A13889" t="str">
            <v>HC02192_e</v>
          </cell>
          <cell r="B13889" t="str">
            <v>HC02192</v>
          </cell>
          <cell r="C13889" t="str">
            <v>Taurolithocholate</v>
          </cell>
        </row>
        <row r="13890">
          <cell r="A13890" t="str">
            <v>HC02193_e</v>
          </cell>
          <cell r="B13890" t="str">
            <v>HC02193</v>
          </cell>
          <cell r="C13890" t="str">
            <v>Glycolithocholate</v>
          </cell>
        </row>
        <row r="13891">
          <cell r="A13891" t="str">
            <v>HC02194_c</v>
          </cell>
          <cell r="B13891" t="str">
            <v>HC02194</v>
          </cell>
          <cell r="C13891" t="str">
            <v>Ursodeoxycholate</v>
          </cell>
        </row>
        <row r="13892">
          <cell r="A13892" t="str">
            <v>HC02198_e</v>
          </cell>
          <cell r="B13892" t="str">
            <v>HC02198</v>
          </cell>
          <cell r="C13892" t="str">
            <v>2-[(4R)-4-[(1S,2S,5R,7R,10R,11S,14R,15R)-2,15-dimethyl-5-(sulfonatooxy)tetracyclo[8.7.0.0^{2,7}.0^{11,15}]heptadecan-14-yl]pentanamido]ethane-1-sulfonate</v>
          </cell>
        </row>
        <row r="13893">
          <cell r="A13893" t="str">
            <v>HC02199_e</v>
          </cell>
          <cell r="B13893" t="str">
            <v>HC02199</v>
          </cell>
          <cell r="C13893" t="str">
            <v>Glutathionyl-leuc4</v>
          </cell>
        </row>
        <row r="13894">
          <cell r="A13894" t="str">
            <v>HC02200_e</v>
          </cell>
          <cell r="B13894" t="str">
            <v>HC02200</v>
          </cell>
          <cell r="C13894" t="str">
            <v>S-glutathionyl-2-4-dinitrobenzene</v>
          </cell>
        </row>
        <row r="13895">
          <cell r="A13895" t="str">
            <v>HC02202_c</v>
          </cell>
          <cell r="B13895" t="str">
            <v>HC02202</v>
          </cell>
          <cell r="C13895" t="str">
            <v>Prostaglandin A1(1-)</v>
          </cell>
        </row>
        <row r="13896">
          <cell r="A13896" t="str">
            <v>HC02202_r</v>
          </cell>
          <cell r="B13896" t="str">
            <v>HC02202</v>
          </cell>
          <cell r="C13896" t="str">
            <v>Prostaglandin A1(1-)</v>
          </cell>
        </row>
        <row r="13897">
          <cell r="A13897" t="str">
            <v>HC02203_e</v>
          </cell>
          <cell r="B13897" t="str">
            <v>HC02203</v>
          </cell>
          <cell r="C13897" t="str">
            <v>Prostaglandin A2</v>
          </cell>
        </row>
        <row r="13898">
          <cell r="A13898" t="str">
            <v>HC02204_c</v>
          </cell>
          <cell r="B13898" t="str">
            <v>HC02204</v>
          </cell>
          <cell r="C13898" t="str">
            <v>Prostaglandin-b1</v>
          </cell>
        </row>
        <row r="13899">
          <cell r="A13899" t="str">
            <v>HC02207_c</v>
          </cell>
          <cell r="B13899" t="str">
            <v>HC02207</v>
          </cell>
          <cell r="C13899" t="str">
            <v>Prostaglandin-c2</v>
          </cell>
        </row>
        <row r="13900">
          <cell r="A13900" t="str">
            <v>HC02208_e</v>
          </cell>
          <cell r="B13900" t="str">
            <v>HC02208</v>
          </cell>
          <cell r="C13900" t="str">
            <v>Prostaglandin-d1</v>
          </cell>
        </row>
        <row r="13901">
          <cell r="A13901" t="str">
            <v>HC02210_e</v>
          </cell>
          <cell r="B13901" t="str">
            <v>HC02210</v>
          </cell>
          <cell r="C13901" t="str">
            <v>Prostaglandin-d3</v>
          </cell>
        </row>
        <row r="13902">
          <cell r="A13902" t="str">
            <v>HC02216_c</v>
          </cell>
          <cell r="B13902" t="str">
            <v>HC02216</v>
          </cell>
          <cell r="C13902" t="str">
            <v>Prostaglandin-f2beta</v>
          </cell>
        </row>
        <row r="13903">
          <cell r="A13903" t="str">
            <v>HC02228_c</v>
          </cell>
          <cell r="B13903" t="str">
            <v>HC02228</v>
          </cell>
          <cell r="C13903" t="str">
            <v>Hexadecenal</v>
          </cell>
        </row>
        <row r="13904">
          <cell r="A13904" t="str">
            <v>HC10859_m</v>
          </cell>
          <cell r="B13904" t="str">
            <v>HC10859</v>
          </cell>
          <cell r="C13904" t="str">
            <v>Malonyl-Carnitin</v>
          </cell>
        </row>
        <row r="13905">
          <cell r="A13905" t="str">
            <v>N1aspmd_x</v>
          </cell>
          <cell r="B13905" t="str">
            <v>N1aspmd</v>
          </cell>
          <cell r="C13905" t="str">
            <v>N1-Acetylspermidine</v>
          </cell>
        </row>
        <row r="13906">
          <cell r="A13906" t="str">
            <v>R1coa_cho_c</v>
          </cell>
          <cell r="B13906" t="str">
            <v>R1coa_cho</v>
          </cell>
          <cell r="C13906" t="str">
            <v>R group 1 Coenzyme A</v>
          </cell>
        </row>
        <row r="13907">
          <cell r="A13907" t="str">
            <v>R1coa_cho_r</v>
          </cell>
          <cell r="B13907" t="str">
            <v>R1coa_cho</v>
          </cell>
          <cell r="C13907" t="str">
            <v>R group 1 Coenzyme A</v>
          </cell>
        </row>
        <row r="13908">
          <cell r="A13908" t="str">
            <v>ac_r</v>
          </cell>
          <cell r="B13908" t="str">
            <v>ac</v>
          </cell>
          <cell r="C13908" t="str">
            <v>Acetate</v>
          </cell>
        </row>
        <row r="13909">
          <cell r="A13909" t="str">
            <v>acgagbside_cho_c</v>
          </cell>
          <cell r="B13909" t="str">
            <v>acgagbside_cho</v>
          </cell>
          <cell r="C13909" t="str">
            <v>Alpha GalNAc globoside</v>
          </cell>
        </row>
        <row r="13910">
          <cell r="A13910" t="str">
            <v>acgalfucgalacgalfuc12gal14acglcgalgluside_cho_g</v>
          </cell>
          <cell r="B13910" t="str">
            <v>acgalfucgalacgalfuc12gal14acglcgalgluside_cho</v>
          </cell>
          <cell r="C13910" t="str">
            <v>Type IIIA glycolipid</v>
          </cell>
        </row>
        <row r="13911">
          <cell r="A13911" t="str">
            <v>acgalfucgalacgalfucgalacglcgal14acglcgalgluside_cho_g</v>
          </cell>
          <cell r="B13911" t="str">
            <v>acgalfucgalacgalfucgalacglcgal14acglcgalgluside_cho</v>
          </cell>
          <cell r="C13911" t="str">
            <v>Type IIIAb</v>
          </cell>
        </row>
        <row r="13912">
          <cell r="A13912" t="str">
            <v>acgalfucgalacglcgal14acglcgalgluside_cho_g</v>
          </cell>
          <cell r="B13912" t="str">
            <v>acgalfucgalacglcgal14acglcgalgluside_cho</v>
          </cell>
          <cell r="C13912" t="str">
            <v>(Gal)3 (GalNAc)1 (Glc)1 (GlcNAc)2 (LFuc)1 (Cer)1</v>
          </cell>
        </row>
        <row r="13913">
          <cell r="A13913" t="str">
            <v>acgbgbside_cho_l</v>
          </cell>
          <cell r="B13913" t="str">
            <v>acgbgbside_cho</v>
          </cell>
          <cell r="C13913" t="str">
            <v>Beta GalNAc globoside</v>
          </cell>
        </row>
        <row r="13914">
          <cell r="A13914" t="str">
            <v>acgpail_cho_c</v>
          </cell>
          <cell r="B13914" t="str">
            <v>acgpail_cho</v>
          </cell>
          <cell r="C13914" t="str">
            <v>6-(N-acetyl-alpha-D-glucosaminyl)-1-phosphatidyl-1D-myo-inositol(1-)</v>
          </cell>
        </row>
        <row r="13915">
          <cell r="A13915" t="str">
            <v>acn13acngalgbside_cho_g</v>
          </cell>
          <cell r="B13915" t="str">
            <v>acn13acngalgbside_cho</v>
          </cell>
          <cell r="C13915" t="str">
            <v>Sialyl (1,3) sialyl (2,6) galactosylgloboside</v>
          </cell>
        </row>
        <row r="13916">
          <cell r="A13916" t="str">
            <v>acn23acngalgbside_cho_e</v>
          </cell>
          <cell r="B13916" t="str">
            <v>acn23acngalgbside_cho</v>
          </cell>
          <cell r="C13916" t="str">
            <v>Sialyl (2,3) sialyl (2,6) galactosylgloboside</v>
          </cell>
        </row>
        <row r="13917">
          <cell r="A13917" t="str">
            <v>acnacngal14acglcgalgluside_cho_g</v>
          </cell>
          <cell r="B13917" t="str">
            <v>acnacngal14acglcgalgluside_cho</v>
          </cell>
          <cell r="C13917" t="str">
            <v>3',8'-LD1</v>
          </cell>
        </row>
        <row r="13918">
          <cell r="A13918" t="str">
            <v>acnacngalgbside_cho_g</v>
          </cell>
          <cell r="B13918" t="str">
            <v>acnacngalgbside_cho</v>
          </cell>
          <cell r="C13918" t="str">
            <v>Disialyl galactosylgloboside</v>
          </cell>
        </row>
        <row r="13919">
          <cell r="A13919" t="str">
            <v>acngalacglcgal14acglcgalgluside_cho_e</v>
          </cell>
          <cell r="B13919" t="str">
            <v>acngalacglcgal14acglcgalgluside_cho</v>
          </cell>
          <cell r="C13919" t="str">
            <v>VI3NeuAc-nLc6Cer</v>
          </cell>
        </row>
        <row r="13920">
          <cell r="A13920" t="str">
            <v>aicar_e</v>
          </cell>
          <cell r="B13920" t="str">
            <v>aicar</v>
          </cell>
          <cell r="C13920" t="str">
            <v>5-Amino-1-(5-Phospho-D-ribosyl)imidazole-4-carboxamide</v>
          </cell>
        </row>
        <row r="13921">
          <cell r="A13921" t="str">
            <v>ak2g_cho_c</v>
          </cell>
          <cell r="B13921" t="str">
            <v>ak2g_cho</v>
          </cell>
          <cell r="C13921" t="str">
            <v>1-alkyl 2-acylglycerol</v>
          </cell>
        </row>
        <row r="13922">
          <cell r="A13922" t="str">
            <v>ak2gpe_cho_c</v>
          </cell>
          <cell r="B13922" t="str">
            <v>ak2gpe_cho</v>
          </cell>
          <cell r="C13922" t="str">
            <v>1-alkyl 2-acylglycerol 3-phosphoethanolamine</v>
          </cell>
        </row>
        <row r="13923">
          <cell r="A13923" t="str">
            <v>ak2lgchol_cho_e</v>
          </cell>
          <cell r="B13923" t="str">
            <v>ak2lgchol_cho</v>
          </cell>
          <cell r="C13923" t="str">
            <v>1-alkyl 2-lysoglycerol 3-phosphocholine</v>
          </cell>
        </row>
        <row r="13924">
          <cell r="A13924" t="str">
            <v>alpa_cho_m</v>
          </cell>
          <cell r="B13924" t="str">
            <v>alpa_cho</v>
          </cell>
          <cell r="C13924" t="str">
            <v>Lysophosphatidic acid</v>
          </cell>
        </row>
        <row r="13925">
          <cell r="A13925" t="str">
            <v>andrstndn_m</v>
          </cell>
          <cell r="B13925" t="str">
            <v>andrstndn</v>
          </cell>
          <cell r="C13925" t="str">
            <v>Androst-4-ene-3,17-dione</v>
          </cell>
        </row>
        <row r="13926">
          <cell r="A13926" t="str">
            <v>anth_e</v>
          </cell>
          <cell r="B13926" t="str">
            <v>anth</v>
          </cell>
          <cell r="C13926" t="str">
            <v>Anthranilate</v>
          </cell>
        </row>
        <row r="13927">
          <cell r="A13927" t="str">
            <v>arachd_x</v>
          </cell>
          <cell r="B13927" t="str">
            <v>arachd</v>
          </cell>
          <cell r="C13927" t="str">
            <v>Arachidonic acid</v>
          </cell>
        </row>
        <row r="13928">
          <cell r="A13928" t="str">
            <v>ascb__L_r</v>
          </cell>
          <cell r="B13928" t="str">
            <v>ascb__L</v>
          </cell>
          <cell r="C13928" t="str">
            <v>L-Ascorbate</v>
          </cell>
        </row>
        <row r="13929">
          <cell r="A13929" t="str">
            <v>avite1_r</v>
          </cell>
          <cell r="B13929" t="str">
            <v>avite1</v>
          </cell>
          <cell r="C13929" t="str">
            <v>Alpha-Tocopherol</v>
          </cell>
        </row>
        <row r="13930">
          <cell r="A13930" t="str">
            <v>avite2_r</v>
          </cell>
          <cell r="B13930" t="str">
            <v>avite2</v>
          </cell>
          <cell r="C13930" t="str">
            <v>Alpha-Tocotrienol</v>
          </cell>
        </row>
        <row r="13931">
          <cell r="A13931" t="str">
            <v>c101_4Ecoa_m</v>
          </cell>
          <cell r="B13931" t="str">
            <v>c101_4Ecoa</v>
          </cell>
          <cell r="C13931" t="str">
            <v>C10:1 fatty acyl-coa, derived from C18:2</v>
          </cell>
        </row>
        <row r="13932">
          <cell r="A13932" t="str">
            <v>c101_4Zcoa_m</v>
          </cell>
          <cell r="B13932" t="str">
            <v>c101_4Zcoa</v>
          </cell>
          <cell r="C13932" t="str">
            <v>C10:1 fatty acyl-coa</v>
          </cell>
        </row>
        <row r="13933">
          <cell r="A13933" t="str">
            <v>c10dc_e</v>
          </cell>
          <cell r="B13933" t="str">
            <v>c10dc</v>
          </cell>
          <cell r="C13933" t="str">
            <v>Sebacoyl carnitine; decanedioyl carnitin</v>
          </cell>
        </row>
        <row r="13934">
          <cell r="A13934" t="str">
            <v>c121_3Zcoa_m</v>
          </cell>
          <cell r="B13934" t="str">
            <v>c121_3Zcoa</v>
          </cell>
          <cell r="C13934" t="str">
            <v>C12:1 fatty acyl-coa, derived from C18:1</v>
          </cell>
        </row>
        <row r="13935">
          <cell r="A13935" t="str">
            <v>c122_3Z_6Zcoa_m</v>
          </cell>
          <cell r="B13935" t="str">
            <v>c122_3Z_6Zcoa</v>
          </cell>
          <cell r="C13935" t="str">
            <v>C12:2 fatty acyl-coa, derived from C18:3</v>
          </cell>
        </row>
        <row r="13936">
          <cell r="A13936" t="str">
            <v>c141_5Zcoa_m</v>
          </cell>
          <cell r="B13936" t="str">
            <v>c141_5Zcoa</v>
          </cell>
          <cell r="C13936" t="str">
            <v>C14:1 fatty acyl-coa, derived from C18:1</v>
          </cell>
        </row>
        <row r="13937">
          <cell r="A13937" t="str">
            <v>c161_7Zcoa_m</v>
          </cell>
          <cell r="B13937" t="str">
            <v>c161_7Zcoa</v>
          </cell>
          <cell r="C13937" t="str">
            <v>C16:1 fatty acyl-coa, derived from C18:1</v>
          </cell>
        </row>
        <row r="13938">
          <cell r="A13938" t="str">
            <v>c161_9Ecoa_m</v>
          </cell>
          <cell r="B13938" t="str">
            <v>c161_9Ecoa</v>
          </cell>
          <cell r="C13938" t="str">
            <v>C16:1 fatty acyl-coa, derived from C18:1</v>
          </cell>
        </row>
        <row r="13939">
          <cell r="A13939" t="str">
            <v>c162_7Z_10Zcoa_m</v>
          </cell>
          <cell r="B13939" t="str">
            <v>c162_7Z_10Zcoa</v>
          </cell>
          <cell r="C13939" t="str">
            <v>C16:2 fatty acyl-coa, derived from C18:2</v>
          </cell>
        </row>
        <row r="13940">
          <cell r="A13940" t="str">
            <v>c163_4Z_7Z_10Zcoa_x</v>
          </cell>
          <cell r="B13940" t="str">
            <v>c163_4Z_7Z_10Zcoa</v>
          </cell>
          <cell r="C13940" t="str">
            <v>C16:3 fatty acyl-coa, derived from C18:3</v>
          </cell>
        </row>
        <row r="13941">
          <cell r="A13941" t="str">
            <v>c185_3Z_6Z_9Z_12Z_15Zcoa_x</v>
          </cell>
          <cell r="B13941" t="str">
            <v>c185_3Z_6Z_9Z_12Z_15Zcoa</v>
          </cell>
          <cell r="C13941" t="str">
            <v>C18:5 fatty acyl-coa, derived from C20:5</v>
          </cell>
        </row>
        <row r="13942">
          <cell r="A13942" t="str">
            <v>c4crn_c</v>
          </cell>
          <cell r="B13942" t="str">
            <v>c4crn</v>
          </cell>
          <cell r="C13942" t="str">
            <v>Butyryl carnitine</v>
          </cell>
        </row>
        <row r="13943">
          <cell r="A13943" t="str">
            <v>c4dc_e</v>
          </cell>
          <cell r="B13943" t="str">
            <v>c4dc</v>
          </cell>
          <cell r="C13943" t="str">
            <v>Succinyl carnitine</v>
          </cell>
        </row>
        <row r="13944">
          <cell r="A13944" t="str">
            <v>c51crn_c</v>
          </cell>
          <cell r="B13944" t="str">
            <v>c51crn</v>
          </cell>
          <cell r="C13944" t="str">
            <v>Tiglyl carnitine; (E)-2-methylbut-2-enoyl carnitin</v>
          </cell>
        </row>
        <row r="13945">
          <cell r="A13945" t="str">
            <v>c6coa_m</v>
          </cell>
          <cell r="B13945" t="str">
            <v>c6coa</v>
          </cell>
          <cell r="C13945" t="str">
            <v>C6:0 fatty acyl-coa</v>
          </cell>
        </row>
        <row r="13946">
          <cell r="A13946" t="str">
            <v>c70coa_m</v>
          </cell>
          <cell r="B13946" t="str">
            <v>c70coa</v>
          </cell>
          <cell r="C13946" t="str">
            <v>C7:0 fatty acyl-coa</v>
          </cell>
        </row>
        <row r="13947">
          <cell r="A13947" t="str">
            <v>c81_5Zcoa_x</v>
          </cell>
          <cell r="B13947" t="str">
            <v>c81_5Zcoa</v>
          </cell>
          <cell r="C13947" t="str">
            <v>C8:1 fatty acyl-coa, derived from C18:3</v>
          </cell>
        </row>
        <row r="13948">
          <cell r="A13948" t="str">
            <v>c8crn_m</v>
          </cell>
          <cell r="B13948" t="str">
            <v>c8crn</v>
          </cell>
          <cell r="C13948" t="str">
            <v>Octanoyl carnitine</v>
          </cell>
        </row>
        <row r="13949">
          <cell r="A13949" t="str">
            <v>c8dc_e</v>
          </cell>
          <cell r="B13949" t="str">
            <v>c8dc</v>
          </cell>
          <cell r="C13949" t="str">
            <v>Suberyl carnitine; octanedioyl carnitine</v>
          </cell>
        </row>
        <row r="13950">
          <cell r="A13950" t="str">
            <v>c90coa_m</v>
          </cell>
          <cell r="B13950" t="str">
            <v>c90coa</v>
          </cell>
          <cell r="C13950" t="str">
            <v>C9:0 fatty acyl-coa</v>
          </cell>
        </row>
        <row r="13951">
          <cell r="A13951" t="str">
            <v>ca2_r</v>
          </cell>
          <cell r="B13951" t="str">
            <v>ca2</v>
          </cell>
          <cell r="C13951" t="str">
            <v>Calcium</v>
          </cell>
        </row>
        <row r="13952">
          <cell r="A13952" t="str">
            <v>cholate_m</v>
          </cell>
          <cell r="B13952" t="str">
            <v>cholate</v>
          </cell>
          <cell r="C13952" t="str">
            <v>Cholate c</v>
          </cell>
        </row>
        <row r="13953">
          <cell r="A13953" t="str">
            <v>cholp_e</v>
          </cell>
          <cell r="B13953" t="str">
            <v>cholp</v>
          </cell>
          <cell r="C13953" t="str">
            <v>Choline phosphate C5H13NO4P</v>
          </cell>
        </row>
        <row r="13954">
          <cell r="A13954" t="str">
            <v>cl_l</v>
          </cell>
          <cell r="B13954" t="str">
            <v>cl</v>
          </cell>
          <cell r="C13954" t="str">
            <v>Chloride</v>
          </cell>
        </row>
        <row r="13955">
          <cell r="A13955" t="str">
            <v>clpn_cho_c</v>
          </cell>
          <cell r="B13955" t="str">
            <v>clpn_cho</v>
          </cell>
          <cell r="C13955" t="str">
            <v>Cardiolipin</v>
          </cell>
        </row>
        <row r="13956">
          <cell r="A13956" t="str">
            <v>crm_cho_l</v>
          </cell>
          <cell r="B13956" t="str">
            <v>crm_cho</v>
          </cell>
          <cell r="C13956" t="str">
            <v>N-acylsphingosine</v>
          </cell>
        </row>
        <row r="13957">
          <cell r="A13957" t="str">
            <v>dag_cho_c</v>
          </cell>
          <cell r="B13957" t="str">
            <v>dag_cho</v>
          </cell>
          <cell r="C13957" t="str">
            <v>Diglyceride</v>
          </cell>
        </row>
        <row r="13958">
          <cell r="A13958" t="str">
            <v>dag_cho_r</v>
          </cell>
          <cell r="B13958" t="str">
            <v>dag_cho</v>
          </cell>
          <cell r="C13958" t="str">
            <v>Diglyceride</v>
          </cell>
        </row>
        <row r="13959">
          <cell r="A13959" t="str">
            <v>dca_r</v>
          </cell>
          <cell r="B13959" t="str">
            <v>dca</v>
          </cell>
          <cell r="C13959" t="str">
            <v>Decanoate (n-C10:0)</v>
          </cell>
        </row>
        <row r="13960">
          <cell r="A13960" t="str">
            <v>dedol_c</v>
          </cell>
          <cell r="B13960" t="str">
            <v>dedol</v>
          </cell>
          <cell r="C13960" t="str">
            <v>Dehydrodolichol</v>
          </cell>
        </row>
        <row r="13961">
          <cell r="A13961" t="str">
            <v>dem2emgacpail_prot_cho_r</v>
          </cell>
          <cell r="B13961" t="str">
            <v>dem2emgacpail_prot_cho</v>
          </cell>
          <cell r="C13961" t="str">
            <v>Deacylated-(phosphoethanolaminyl-dimannosyl),(phosphoethanolaminyl)-mannosyl-glucosaminyl-acylphosphatidylinositol</v>
          </cell>
        </row>
        <row r="13962">
          <cell r="A13962" t="str">
            <v>dhcholestancoa_c</v>
          </cell>
          <cell r="B13962" t="str">
            <v>dhcholestancoa</v>
          </cell>
          <cell r="C13962" t="str">
            <v>3alpha,7alpha-Dihydroxy-5beta-cholestanoyl-CoA</v>
          </cell>
        </row>
        <row r="13963">
          <cell r="A13963" t="str">
            <v>dhdascb_m</v>
          </cell>
          <cell r="B13963" t="str">
            <v>dhdascb</v>
          </cell>
          <cell r="C13963" t="str">
            <v>Dehydroascorbate</v>
          </cell>
        </row>
        <row r="13964">
          <cell r="A13964" t="str">
            <v>digalsgalside_cho_g</v>
          </cell>
          <cell r="B13964" t="str">
            <v>digalsgalside_cho</v>
          </cell>
          <cell r="C13964" t="str">
            <v>Digalactosylceramidesulfate</v>
          </cell>
        </row>
        <row r="13965">
          <cell r="A13965" t="str">
            <v>digalside_cho_l</v>
          </cell>
          <cell r="B13965" t="str">
            <v>digalside_cho</v>
          </cell>
          <cell r="C13965" t="str">
            <v>Digalactosylceramide</v>
          </cell>
        </row>
        <row r="13966">
          <cell r="A13966" t="str">
            <v>dlnlcgcoa_r</v>
          </cell>
          <cell r="B13966" t="str">
            <v>dlnlcgcoa</v>
          </cell>
          <cell r="C13966" t="str">
            <v>Dihomo-gamma-linolenyl coenzyme A</v>
          </cell>
        </row>
        <row r="13967">
          <cell r="A13967" t="str">
            <v>docosac_e</v>
          </cell>
          <cell r="B13967" t="str">
            <v>docosac</v>
          </cell>
          <cell r="C13967" t="str">
            <v>Behenate, Docosanoate</v>
          </cell>
        </row>
        <row r="13968">
          <cell r="A13968" t="str">
            <v>docoscoa_c</v>
          </cell>
          <cell r="B13968" t="str">
            <v>docoscoa</v>
          </cell>
          <cell r="C13968" t="str">
            <v>Docosanoyl Coenzyme A</v>
          </cell>
        </row>
        <row r="13969">
          <cell r="A13969" t="str">
            <v>docoscoa_x</v>
          </cell>
          <cell r="B13969" t="str">
            <v>docoscoa</v>
          </cell>
          <cell r="C13969" t="str">
            <v>Docosanoyl Coenzyme A</v>
          </cell>
        </row>
        <row r="13970">
          <cell r="A13970" t="str">
            <v>dolglcp_c</v>
          </cell>
          <cell r="B13970" t="str">
            <v>dolglcp</v>
          </cell>
          <cell r="C13970" t="str">
            <v>Dolichyl beta-D-glucosyl phosphate</v>
          </cell>
        </row>
        <row r="13971">
          <cell r="A13971" t="str">
            <v>dolglcp_r</v>
          </cell>
          <cell r="B13971" t="str">
            <v>dolglcp</v>
          </cell>
          <cell r="C13971" t="str">
            <v>Dolichyl beta-D-glucosyl phosphate</v>
          </cell>
        </row>
        <row r="13972">
          <cell r="A13972" t="str">
            <v>dopa_x</v>
          </cell>
          <cell r="B13972" t="str">
            <v>dopa</v>
          </cell>
          <cell r="C13972" t="str">
            <v>Dopamine</v>
          </cell>
        </row>
        <row r="13973">
          <cell r="A13973" t="str">
            <v>dpcoa_e</v>
          </cell>
          <cell r="B13973" t="str">
            <v>dpcoa</v>
          </cell>
          <cell r="C13973" t="str">
            <v>Dephospho-CoA</v>
          </cell>
        </row>
        <row r="13974">
          <cell r="A13974" t="str">
            <v>dtdp_e</v>
          </cell>
          <cell r="B13974" t="str">
            <v>dtdp</v>
          </cell>
          <cell r="C13974" t="str">
            <v>DTDP C10H13N2O11P2</v>
          </cell>
        </row>
        <row r="13975">
          <cell r="A13975" t="str">
            <v>fn3m2masn_g</v>
          </cell>
          <cell r="B13975" t="str">
            <v>fn3m2masn</v>
          </cell>
          <cell r="C13975" t="str">
            <v>Fn3m2masn[g]</v>
          </cell>
        </row>
        <row r="13976">
          <cell r="A13976" t="str">
            <v>fuc132galacglcgal14acglcgalgluside_cho_g</v>
          </cell>
          <cell r="B13976" t="str">
            <v>fuc132galacglcgal14acglcgalgluside_cho</v>
          </cell>
          <cell r="C13976" t="str">
            <v>V3Fuc-nLc6Cer</v>
          </cell>
        </row>
        <row r="13977">
          <cell r="A13977" t="str">
            <v>fucacngal14acglcgalgluside_cho_g</v>
          </cell>
          <cell r="B13977" t="str">
            <v>fucacngal14acglcgalgluside_cho</v>
          </cell>
          <cell r="C13977" t="str">
            <v>IV3-a-NeuAc,III3-a-Fuc-nLc4Cer</v>
          </cell>
        </row>
        <row r="13978">
          <cell r="A13978" t="str">
            <v>fucfuc12gal14acglcgalgluside_cho_g</v>
          </cell>
          <cell r="B13978" t="str">
            <v>fucfuc12gal14acglcgalgluside_cho</v>
          </cell>
          <cell r="C13978" t="str">
            <v>Ley glycolipid</v>
          </cell>
        </row>
        <row r="13979">
          <cell r="A13979" t="str">
            <v>fucfuc132galacglcgal14acglcgalgluside_cho_e</v>
          </cell>
          <cell r="B13979" t="str">
            <v>fucfuc132galacglcgal14acglcgalgluside_cho</v>
          </cell>
          <cell r="C13979" t="str">
            <v>V3Fuc,III3Fuc-nLc6Cer</v>
          </cell>
        </row>
        <row r="13980">
          <cell r="A13980" t="str">
            <v>fucfucfucgalacglcgal14acglcgalgluside_cho_c</v>
          </cell>
          <cell r="B13980" t="str">
            <v>fucfucfucgalacglcgal14acglcgalgluside_cho</v>
          </cell>
          <cell r="C13980" t="str">
            <v>(Gal)3 (Glc)1 (GlcNAc)2 (LFuc)3 (Cer)1</v>
          </cell>
        </row>
        <row r="13981">
          <cell r="A13981" t="str">
            <v>fucfucgalacglc13galacglcgal14acglcgalgluside_cho_g</v>
          </cell>
          <cell r="B13981" t="str">
            <v>fucfucgalacglc13galacglcgal14acglcgalgluside_cho</v>
          </cell>
          <cell r="C13981" t="str">
            <v>(Gal)4 (Glc)1 (GlcNAc)3 (LFuc)2 (Cer)1</v>
          </cell>
        </row>
        <row r="13982">
          <cell r="A13982" t="str">
            <v>fucfucgalacglcgalacglcgal14acglcgalgluside_cho_g</v>
          </cell>
          <cell r="B13982" t="str">
            <v>fucfucgalacglcgalacglcgal14acglcgalgluside_cho</v>
          </cell>
          <cell r="C13982" t="str">
            <v>(Gal)4 (Glc)1 (GlcNAc)3 (LFuc)2 (Cer)1</v>
          </cell>
        </row>
        <row r="13983">
          <cell r="A13983" t="str">
            <v>fucfucgalacglcgalgluside_cho_g</v>
          </cell>
          <cell r="B13983" t="str">
            <v>fucfucgalacglcgalgluside_cho</v>
          </cell>
          <cell r="C13983" t="str">
            <v>Leb glycolipid</v>
          </cell>
        </row>
        <row r="13984">
          <cell r="A13984" t="str">
            <v>fucgalacgalfuc12gal14acglcgalgluside_cho_g</v>
          </cell>
          <cell r="B13984" t="str">
            <v>fucgalacgalfuc12gal14acglcgalgluside_cho</v>
          </cell>
          <cell r="C13984" t="str">
            <v>Type IIIH glycolipid</v>
          </cell>
        </row>
        <row r="13985">
          <cell r="A13985" t="str">
            <v>fucgalfucgalacglcgalgluside_cho_g</v>
          </cell>
          <cell r="B13985" t="str">
            <v>fucgalfucgalacglcgalgluside_cho</v>
          </cell>
          <cell r="C13985" t="str">
            <v>(Gal)3 (Glc)1 (GlcNAc)1 (LFuc)2 (Cer)1</v>
          </cell>
        </row>
        <row r="13986">
          <cell r="A13986" t="str">
            <v>fucgalgbside_cho_g</v>
          </cell>
          <cell r="B13986" t="str">
            <v>fucgalgbside_cho</v>
          </cell>
          <cell r="C13986" t="str">
            <v>Fucosyl galactosylgloboside</v>
          </cell>
        </row>
        <row r="13987">
          <cell r="A13987" t="str">
            <v>galacglc13galacglcgal14acglcgalgluside_cho_g</v>
          </cell>
          <cell r="B13987" t="str">
            <v>galacglc13galacglcgal14acglcgalgluside_cho</v>
          </cell>
          <cell r="C13987" t="str">
            <v>NLc8Cer</v>
          </cell>
        </row>
        <row r="13988">
          <cell r="A13988" t="str">
            <v>galacglcgalgbside_cho_e</v>
          </cell>
          <cell r="B13988" t="str">
            <v>galacglcgalgbside_cho</v>
          </cell>
          <cell r="C13988" t="str">
            <v>Gal-GlcNAc-Gal globoside</v>
          </cell>
        </row>
        <row r="13989">
          <cell r="A13989" t="str">
            <v>galfuc12gal14acglcgalgluside_cho_g</v>
          </cell>
          <cell r="B13989" t="str">
            <v>galfuc12gal14acglcgalgluside_cho</v>
          </cell>
          <cell r="C13989" t="str">
            <v>(Gal)3 (Glc)1 (GlcNAc)1 (LFuc)1 (Cer)1</v>
          </cell>
        </row>
        <row r="13990">
          <cell r="A13990" t="str">
            <v>galfucgalacglcgal14acglcgalgluside_cho_c</v>
          </cell>
          <cell r="B13990" t="str">
            <v>galfucgalacglcgal14acglcgalgluside_cho</v>
          </cell>
          <cell r="C13990" t="str">
            <v>(Gal)4 (Glc)1 (GlcNAc)2 (LFuc)1 (Cer)1</v>
          </cell>
        </row>
        <row r="13991">
          <cell r="A13991" t="str">
            <v>galfucgalacglcgalgluside_cho_g</v>
          </cell>
          <cell r="B13991" t="str">
            <v>galfucgalacglcgalgluside_cho</v>
          </cell>
          <cell r="C13991" t="str">
            <v>Type IB glycolipid</v>
          </cell>
        </row>
        <row r="13992">
          <cell r="A13992" t="str">
            <v>galgalfucfucgalacglcgalacglcgal14acglcgalgluside_cho_g</v>
          </cell>
          <cell r="B13992" t="str">
            <v>galgalfucfucgalacglcgalacglcgal14acglcgalgluside_cho</v>
          </cell>
          <cell r="C13992" t="str">
            <v>(Gal)6 (Glc)1 (GlcNAc)3 (LFuc)2 (Cer)1</v>
          </cell>
        </row>
        <row r="13993">
          <cell r="A13993" t="str">
            <v>galgalgalthcrm_cho_e</v>
          </cell>
          <cell r="B13993" t="str">
            <v>galgalgalthcrm_cho</v>
          </cell>
          <cell r="C13993" t="str">
            <v>Gal-Gal-Gal-Gal-Gal-Glc-Cer</v>
          </cell>
        </row>
        <row r="13994">
          <cell r="A13994" t="str">
            <v>galside_cho_e</v>
          </cell>
          <cell r="B13994" t="str">
            <v>galside_cho</v>
          </cell>
          <cell r="C13994" t="str">
            <v>D-galactosyl-N-acylsphingosine</v>
          </cell>
        </row>
        <row r="13995">
          <cell r="A13995" t="str">
            <v>gbside_cho_l</v>
          </cell>
          <cell r="B13995" t="str">
            <v>gbside_cho</v>
          </cell>
          <cell r="C13995" t="str">
            <v>Globoside</v>
          </cell>
        </row>
        <row r="13996">
          <cell r="A13996" t="str">
            <v>gd1a_cho_g</v>
          </cell>
          <cell r="B13996" t="str">
            <v>gd1a_cho</v>
          </cell>
          <cell r="C13996" t="str">
            <v>N-acetylneuraminosyl-D-galactosyl-N-acetyl-D-galactosaminyl-(N-acetylneuraminosyl)-D-galactosyl-D-glucosylceramide dianion</v>
          </cell>
        </row>
        <row r="13997">
          <cell r="A13997" t="str">
            <v>gd1b2_cho_g</v>
          </cell>
          <cell r="B13997" t="str">
            <v>gd1b2_cho</v>
          </cell>
          <cell r="C13997" t="str">
            <v>GD1beta</v>
          </cell>
        </row>
        <row r="13998">
          <cell r="A13998" t="str">
            <v>gd1c_cho_c</v>
          </cell>
          <cell r="B13998" t="str">
            <v>gd1c_cho</v>
          </cell>
          <cell r="C13998" t="str">
            <v>GD1c</v>
          </cell>
        </row>
        <row r="13999">
          <cell r="A13999" t="str">
            <v>gd3_cho_c</v>
          </cell>
          <cell r="B13999" t="str">
            <v>gd3_cho</v>
          </cell>
          <cell r="C13999" t="str">
            <v>GD3</v>
          </cell>
        </row>
        <row r="14000">
          <cell r="A14000" t="str">
            <v>gltcho_e</v>
          </cell>
          <cell r="B14000" t="str">
            <v>gltcho</v>
          </cell>
          <cell r="C14000" t="str">
            <v>Beta glucan-taurocholic acid complex</v>
          </cell>
        </row>
        <row r="14001">
          <cell r="A14001" t="str">
            <v>gluside_cho_c</v>
          </cell>
          <cell r="B14001" t="str">
            <v>gluside_cho</v>
          </cell>
          <cell r="C14001" t="str">
            <v>D-glucosyl-N-acylsphingosine</v>
          </cell>
        </row>
        <row r="14002">
          <cell r="A14002" t="str">
            <v>gluside_cho_r</v>
          </cell>
          <cell r="B14002" t="str">
            <v>gluside_cho</v>
          </cell>
          <cell r="C14002" t="str">
            <v>D-glucosyl-N-acylsphingosine</v>
          </cell>
        </row>
        <row r="14003">
          <cell r="A14003" t="str">
            <v>glyald_m</v>
          </cell>
          <cell r="B14003" t="str">
            <v>glyald</v>
          </cell>
          <cell r="C14003" t="str">
            <v>D-Glyceraldehyde</v>
          </cell>
        </row>
        <row r="14004">
          <cell r="A14004" t="str">
            <v>gm1a_cho_g</v>
          </cell>
          <cell r="B14004" t="str">
            <v>gm1a_cho</v>
          </cell>
          <cell r="C14004" t="str">
            <v>GM1alpha</v>
          </cell>
        </row>
        <row r="14005">
          <cell r="A14005" t="str">
            <v>gp1calpha_cho_e</v>
          </cell>
          <cell r="B14005" t="str">
            <v>gp1calpha_cho</v>
          </cell>
          <cell r="C14005" t="str">
            <v>GP1c alpha</v>
          </cell>
        </row>
        <row r="14006">
          <cell r="A14006" t="str">
            <v>gpail_cho_c</v>
          </cell>
          <cell r="B14006" t="str">
            <v>gpail_cho</v>
          </cell>
          <cell r="C14006" t="str">
            <v>6-(alpha-D-glucosaminyl)-1-phosphatidyl-1D-myo-inositol</v>
          </cell>
        </row>
        <row r="14007">
          <cell r="A14007" t="str">
            <v>gq1balpha_cho_g</v>
          </cell>
          <cell r="B14007" t="str">
            <v>gq1balpha_cho</v>
          </cell>
          <cell r="C14007" t="str">
            <v>GQ1balpha</v>
          </cell>
        </row>
        <row r="14008">
          <cell r="A14008" t="str">
            <v>gt1a_cho_c</v>
          </cell>
          <cell r="B14008" t="str">
            <v>gt1a_cho</v>
          </cell>
          <cell r="C14008" t="str">
            <v>GT1a</v>
          </cell>
        </row>
        <row r="14009">
          <cell r="A14009" t="str">
            <v>gt3_cho_c</v>
          </cell>
          <cell r="B14009" t="str">
            <v>gt3_cho</v>
          </cell>
          <cell r="C14009" t="str">
            <v>GT3</v>
          </cell>
        </row>
        <row r="14010">
          <cell r="A14010" t="str">
            <v>h2o2_r</v>
          </cell>
          <cell r="B14010" t="str">
            <v>h2o2</v>
          </cell>
          <cell r="C14010" t="str">
            <v>Hydrogen peroxide</v>
          </cell>
        </row>
        <row r="14011">
          <cell r="A14011" t="str">
            <v>hLkynr_m</v>
          </cell>
          <cell r="B14011" t="str">
            <v>hLkynr</v>
          </cell>
          <cell r="C14011" t="str">
            <v>3 Hydroxy L kynurenine C10H12N2O4</v>
          </cell>
        </row>
        <row r="14012">
          <cell r="A14012" t="str">
            <v>h_im</v>
          </cell>
          <cell r="B14012" t="str">
            <v>h</v>
          </cell>
          <cell r="C14012" t="str">
            <v>H+</v>
          </cell>
        </row>
        <row r="14013">
          <cell r="A14013" t="str">
            <v>hdcea_l</v>
          </cell>
          <cell r="B14013" t="str">
            <v>hdcea</v>
          </cell>
          <cell r="C14013" t="str">
            <v>Hexadecenoate (n-C16:1)</v>
          </cell>
        </row>
        <row r="14014">
          <cell r="A14014" t="str">
            <v>hdcoa_r</v>
          </cell>
          <cell r="B14014" t="str">
            <v>hdcoa</v>
          </cell>
          <cell r="C14014" t="str">
            <v>Hexadecenoyl-CoA (n-C16:1CoA)</v>
          </cell>
        </row>
        <row r="14015">
          <cell r="A14015" t="str">
            <v>hyptaur_e</v>
          </cell>
          <cell r="B14015" t="str">
            <v>hyptaur</v>
          </cell>
          <cell r="C14015" t="str">
            <v>Hypotaurine; 2-Aminoethanesulfinic acid</v>
          </cell>
        </row>
        <row r="14016">
          <cell r="A14016" t="str">
            <v>igg_hc_r</v>
          </cell>
          <cell r="B14016" t="str">
            <v>igg_hc</v>
          </cell>
          <cell r="C14016" t="str">
            <v>Igg hc[r]</v>
          </cell>
        </row>
        <row r="14017">
          <cell r="A14017" t="str">
            <v>ivcrn_c</v>
          </cell>
          <cell r="B14017" t="str">
            <v>ivcrn</v>
          </cell>
          <cell r="C14017" t="str">
            <v>Isovaleryl carnitine</v>
          </cell>
        </row>
        <row r="14018">
          <cell r="A14018" t="str">
            <v>kynate_m</v>
          </cell>
          <cell r="B14018" t="str">
            <v>kynate</v>
          </cell>
          <cell r="C14018" t="str">
            <v>4-Hydroxy-2-quinolinecarboxylic acid</v>
          </cell>
        </row>
        <row r="14019">
          <cell r="A14019" t="str">
            <v>l2n2bdl4fn4m2masn_g</v>
          </cell>
          <cell r="B14019" t="str">
            <v>l2n2bdl4fn4m2masn</v>
          </cell>
          <cell r="C14019" t="str">
            <v>L2n2bdl4fn4m2masn[g]</v>
          </cell>
        </row>
        <row r="14020">
          <cell r="A14020" t="str">
            <v>l2n2m2masn_g</v>
          </cell>
          <cell r="B14020" t="str">
            <v>l2n2m2masn</v>
          </cell>
          <cell r="C14020" t="str">
            <v>De-Fuc form of PA6</v>
          </cell>
        </row>
        <row r="14021">
          <cell r="A14021" t="str">
            <v>leugly_c</v>
          </cell>
          <cell r="B14021" t="str">
            <v>leugly</v>
          </cell>
          <cell r="C14021" t="str">
            <v>Leucylglycine</v>
          </cell>
        </row>
        <row r="14022">
          <cell r="A14022" t="str">
            <v>leuktrB4_n</v>
          </cell>
          <cell r="B14022" t="str">
            <v>leuktrB4</v>
          </cell>
          <cell r="C14022" t="str">
            <v>Leukotriene B4(1-)</v>
          </cell>
        </row>
        <row r="14023">
          <cell r="A14023" t="str">
            <v>leuktrB4wcooh_c</v>
          </cell>
          <cell r="B14023" t="str">
            <v>leuktrB4wcooh</v>
          </cell>
          <cell r="C14023" t="str">
            <v>W-carboxy leukotriene B4</v>
          </cell>
        </row>
        <row r="14024">
          <cell r="A14024" t="str">
            <v>leuktrB4wcooh_x</v>
          </cell>
          <cell r="B14024" t="str">
            <v>leuktrB4wcooh</v>
          </cell>
          <cell r="C14024" t="str">
            <v>W-carboxy leukotriene B4</v>
          </cell>
        </row>
        <row r="14025">
          <cell r="A14025" t="str">
            <v>leuktrE4_n</v>
          </cell>
          <cell r="B14025" t="str">
            <v>leuktrE4</v>
          </cell>
          <cell r="C14025" t="str">
            <v>Leukotriene E4 cytosol</v>
          </cell>
        </row>
        <row r="14026">
          <cell r="A14026" t="str">
            <v>lnbl4n4m2masn_g</v>
          </cell>
          <cell r="B14026" t="str">
            <v>lnbl4n4m2masn</v>
          </cell>
          <cell r="C14026" t="str">
            <v>Lnbl4n4m2masn[g]</v>
          </cell>
        </row>
        <row r="14027">
          <cell r="A14027" t="str">
            <v>lndl4fn4m2masn_g</v>
          </cell>
          <cell r="B14027" t="str">
            <v>lndl4fn4m2masn</v>
          </cell>
          <cell r="C14027" t="str">
            <v>Lndl4fn4m2masn[g]</v>
          </cell>
        </row>
        <row r="14028">
          <cell r="A14028" t="str">
            <v>lnlccrn_r</v>
          </cell>
          <cell r="B14028" t="str">
            <v>lnlccrn</v>
          </cell>
          <cell r="C14028" t="str">
            <v>Linoleyl carnitine</v>
          </cell>
        </row>
        <row r="14029">
          <cell r="A14029" t="str">
            <v>lnlccrn_x</v>
          </cell>
          <cell r="B14029" t="str">
            <v>lnlccrn</v>
          </cell>
          <cell r="C14029" t="str">
            <v>Linoleyl carnitine</v>
          </cell>
        </row>
        <row r="14030">
          <cell r="A14030" t="str">
            <v>lnlncg_r</v>
          </cell>
          <cell r="B14030" t="str">
            <v>lnlncg</v>
          </cell>
          <cell r="C14030" t="str">
            <v>Gamma-linolenic acid</v>
          </cell>
        </row>
        <row r="14031">
          <cell r="A14031" t="str">
            <v>lpchol_cho_c</v>
          </cell>
          <cell r="B14031" t="str">
            <v>lpchol_cho</v>
          </cell>
          <cell r="C14031" t="str">
            <v>Lysophosphatidylcholine</v>
          </cell>
        </row>
        <row r="14032">
          <cell r="A14032" t="str">
            <v>m2gacpail_cho_r</v>
          </cell>
          <cell r="B14032" t="str">
            <v>m2gacpail_cho</v>
          </cell>
          <cell r="C14032" t="str">
            <v>Dimannosyl-glucosaminyl-acylphosphatidylinositol (H3)</v>
          </cell>
        </row>
        <row r="14033">
          <cell r="A14033" t="str">
            <v>m4mpdol_c</v>
          </cell>
          <cell r="B14033" t="str">
            <v>m4mpdol</v>
          </cell>
          <cell r="C14033" t="str">
            <v>(alpha-D-Mannosyl)4-beta-D-mannosyl-diacetylchitobiosyldiphosphodolichol</v>
          </cell>
        </row>
        <row r="14034">
          <cell r="A14034" t="str">
            <v>m4mpdol_r</v>
          </cell>
          <cell r="B14034" t="str">
            <v>m4mpdol</v>
          </cell>
          <cell r="C14034" t="str">
            <v>(alpha-D-Mannosyl)4-beta-D-mannosyl-diacetylchitobiosyldiphosphodolichol</v>
          </cell>
        </row>
        <row r="14035">
          <cell r="A14035" t="str">
            <v>m8mpdol_r</v>
          </cell>
          <cell r="B14035" t="str">
            <v>m8mpdol</v>
          </cell>
          <cell r="C14035" t="str">
            <v>(alpha-D-Mannosyl)8-beta-D-mannosyl-diacetylchitobiosyldiphosphodolichol</v>
          </cell>
        </row>
        <row r="14036">
          <cell r="A14036" t="str">
            <v>mag_cho_c</v>
          </cell>
          <cell r="B14036" t="str">
            <v>mag_cho</v>
          </cell>
          <cell r="C14036" t="str">
            <v>Monoacylglycerol 2</v>
          </cell>
        </row>
        <row r="14037">
          <cell r="A14037" t="str">
            <v>malcoa_e</v>
          </cell>
          <cell r="B14037" t="str">
            <v>malcoa</v>
          </cell>
          <cell r="C14037" t="str">
            <v>Malonyl CoA C24H33N7O19P3S</v>
          </cell>
        </row>
        <row r="14038">
          <cell r="A14038" t="str">
            <v>mem2emgacpail_cho_r</v>
          </cell>
          <cell r="B14038" t="str">
            <v>mem2emgacpail_cho</v>
          </cell>
          <cell r="C14038" t="str">
            <v>({[(mannosyl),(phosphoethanolaminyl)]-dimannosyl},{phosphoethanolaminyl})-mannosyl-glucosaminyl-acylphosphatidylinositol (M4B)</v>
          </cell>
        </row>
        <row r="14039">
          <cell r="A14039" t="str">
            <v>mem2emgacpail_prot_cho_r</v>
          </cell>
          <cell r="B14039" t="str">
            <v>mem2emgacpail_prot_cho</v>
          </cell>
          <cell r="C14039" t="str">
            <v>({[(mannosyl),(phosphoethanolaminyl)]-dimannosyl},{phosphoethanolaminyl})-mannosyl-glucosaminyl-acylphosphatidylinositol-Protein (M4B)</v>
          </cell>
        </row>
        <row r="14040">
          <cell r="A14040" t="str">
            <v>n2bdl4fn4m2masn_g</v>
          </cell>
          <cell r="B14040" t="str">
            <v>n2bdl4fn4m2masn</v>
          </cell>
          <cell r="C14040" t="str">
            <v>N2bdl4fn4m2masn[g]</v>
          </cell>
        </row>
        <row r="14041">
          <cell r="A14041" t="str">
            <v>n2cdl4n4m2masn_g</v>
          </cell>
          <cell r="B14041" t="str">
            <v>n2cdl4n4m2masn</v>
          </cell>
          <cell r="C14041" t="str">
            <v>N2cdl4n4m2masn[g]</v>
          </cell>
        </row>
        <row r="14042">
          <cell r="A14042" t="str">
            <v>n3rm2masn_g</v>
          </cell>
          <cell r="B14042" t="str">
            <v>n3rm2masn</v>
          </cell>
          <cell r="C14042" t="str">
            <v>N3rm2masn[g]</v>
          </cell>
        </row>
        <row r="14043">
          <cell r="A14043" t="str">
            <v>na1_r</v>
          </cell>
          <cell r="B14043" t="str">
            <v>na1</v>
          </cell>
          <cell r="C14043" t="str">
            <v>Sodium</v>
          </cell>
        </row>
        <row r="14044">
          <cell r="A14044" t="str">
            <v>nbl4fn4m2masn_g</v>
          </cell>
          <cell r="B14044" t="str">
            <v>nbl4fn4m2masn</v>
          </cell>
          <cell r="C14044" t="str">
            <v>Nbl4fn4m2masn[g]</v>
          </cell>
        </row>
        <row r="14045">
          <cell r="A14045" t="str">
            <v>nbl4n4m2masn_g</v>
          </cell>
          <cell r="B14045" t="str">
            <v>nbl4n4m2masn</v>
          </cell>
          <cell r="C14045" t="str">
            <v>Nbl4n4m2masn[g]</v>
          </cell>
        </row>
        <row r="14046">
          <cell r="A14046" t="str">
            <v>ncl4fn4m2masn_g</v>
          </cell>
          <cell r="B14046" t="str">
            <v>ncl4fn4m2masn</v>
          </cell>
          <cell r="C14046" t="str">
            <v>Ncl4fn4m2masn[g]</v>
          </cell>
        </row>
        <row r="14047">
          <cell r="A14047" t="str">
            <v>ndl4fn4m2masn_g</v>
          </cell>
          <cell r="B14047" t="str">
            <v>ndl4fn4m2masn</v>
          </cell>
          <cell r="C14047" t="str">
            <v>Ndl4fn4m2masn[g]</v>
          </cell>
        </row>
        <row r="14048">
          <cell r="A14048" t="str">
            <v>no2_l</v>
          </cell>
          <cell r="B14048" t="str">
            <v>no2</v>
          </cell>
          <cell r="C14048" t="str">
            <v>Nitrite</v>
          </cell>
        </row>
        <row r="14049">
          <cell r="A14049" t="str">
            <v>nrvnccoa_r</v>
          </cell>
          <cell r="B14049" t="str">
            <v>nrvnccoa</v>
          </cell>
          <cell r="C14049" t="str">
            <v>Nervonyl coenzyme A</v>
          </cell>
        </row>
        <row r="14050">
          <cell r="A14050" t="str">
            <v>oagd3_cho_c</v>
          </cell>
          <cell r="B14050" t="str">
            <v>oagd3_cho</v>
          </cell>
          <cell r="C14050" t="str">
            <v>9-O-Acetylated GD3</v>
          </cell>
        </row>
        <row r="14051">
          <cell r="A14051" t="str">
            <v>oagt3_cho_c</v>
          </cell>
          <cell r="B14051" t="str">
            <v>oagt3_cho</v>
          </cell>
          <cell r="C14051" t="str">
            <v>9-O-Acetylated GT3</v>
          </cell>
        </row>
        <row r="14052">
          <cell r="A14052" t="str">
            <v>ocdececrn_c</v>
          </cell>
          <cell r="B14052" t="str">
            <v>ocdececrn</v>
          </cell>
          <cell r="C14052" t="str">
            <v>11-octadecenoyl carnitine</v>
          </cell>
        </row>
        <row r="14053">
          <cell r="A14053" t="str">
            <v>pa_cho_c</v>
          </cell>
          <cell r="B14053" t="str">
            <v>pa_cho</v>
          </cell>
          <cell r="C14053" t="str">
            <v>Phosphatidate(2-)</v>
          </cell>
        </row>
        <row r="14054">
          <cell r="A14054" t="str">
            <v>pa_cho_r</v>
          </cell>
          <cell r="B14054" t="str">
            <v>pa_cho</v>
          </cell>
          <cell r="C14054" t="str">
            <v>Phosphatidate(2-)</v>
          </cell>
        </row>
        <row r="14055">
          <cell r="A14055" t="str">
            <v>pail34p_cho_n</v>
          </cell>
          <cell r="B14055" t="str">
            <v>pail34p_cho</v>
          </cell>
          <cell r="C14055" t="str">
            <v>1-phosphatidyl-1D-myo-inositol 3,4-bisphosphate(5-)</v>
          </cell>
        </row>
        <row r="14056">
          <cell r="A14056" t="str">
            <v>pail35p_cho_g</v>
          </cell>
          <cell r="B14056" t="str">
            <v>pail35p_cho</v>
          </cell>
          <cell r="C14056" t="str">
            <v>1-phosphatidyl-1D-myo-inositol 3,5-bisphosphate(5-)</v>
          </cell>
        </row>
        <row r="14057">
          <cell r="A14057" t="str">
            <v>pail35p_cho_n</v>
          </cell>
          <cell r="B14057" t="str">
            <v>pail35p_cho</v>
          </cell>
          <cell r="C14057" t="str">
            <v>1-phosphatidyl-1D-myo-inositol 3,5-bisphosphate(5-)</v>
          </cell>
        </row>
        <row r="14058">
          <cell r="A14058" t="str">
            <v>pail3p_cho_c</v>
          </cell>
          <cell r="B14058" t="str">
            <v>pail3p_cho</v>
          </cell>
          <cell r="C14058" t="str">
            <v>1-phosphatidyl-1D-myo-inositol 3-phosphate(3-)</v>
          </cell>
        </row>
        <row r="14059">
          <cell r="A14059" t="str">
            <v>pail3p_cho_r</v>
          </cell>
          <cell r="B14059" t="str">
            <v>pail3p_cho</v>
          </cell>
          <cell r="C14059" t="str">
            <v>1-phosphatidyl-1D-myo-inositol 3-phosphate(3-)</v>
          </cell>
        </row>
        <row r="14060">
          <cell r="A14060" t="str">
            <v>pail45p_cho_g</v>
          </cell>
          <cell r="B14060" t="str">
            <v>pail45p_cho</v>
          </cell>
          <cell r="C14060" t="str">
            <v>Phosphatidylinositol 4,5-bisphosphate</v>
          </cell>
        </row>
        <row r="14061">
          <cell r="A14061" t="str">
            <v>pail45p_cho_n</v>
          </cell>
          <cell r="B14061" t="str">
            <v>pail45p_cho</v>
          </cell>
          <cell r="C14061" t="str">
            <v>Phosphatidylinositol 4,5-bisphosphate</v>
          </cell>
        </row>
        <row r="14062">
          <cell r="A14062" t="str">
            <v>pail4p_cho_n</v>
          </cell>
          <cell r="B14062" t="str">
            <v>pail4p_cho</v>
          </cell>
          <cell r="C14062" t="str">
            <v>1-phosphatidyl-1D-myo-inositol 4-phosphate(3-)</v>
          </cell>
        </row>
        <row r="14063">
          <cell r="A14063" t="str">
            <v>pail5p_cho_c</v>
          </cell>
          <cell r="B14063" t="str">
            <v>pail5p_cho</v>
          </cell>
          <cell r="C14063" t="str">
            <v>1-phosphatidyl-1D-myo-inositol 5-phosphate(3-)</v>
          </cell>
        </row>
        <row r="14064">
          <cell r="A14064" t="str">
            <v>pail5p_cho_r</v>
          </cell>
          <cell r="B14064" t="str">
            <v>pail5p_cho</v>
          </cell>
          <cell r="C14064" t="str">
            <v>1-phosphatidyl-1D-myo-inositol 5-phosphate(3-)</v>
          </cell>
        </row>
        <row r="14065">
          <cell r="A14065" t="str">
            <v>pchol_cho_m</v>
          </cell>
          <cell r="B14065" t="str">
            <v>pchol_cho</v>
          </cell>
          <cell r="C14065" t="str">
            <v>Phosphatidylcholine</v>
          </cell>
        </row>
        <row r="14066">
          <cell r="A14066" t="str">
            <v>pe_cho_e</v>
          </cell>
          <cell r="B14066" t="str">
            <v>pe_cho</v>
          </cell>
          <cell r="C14066" t="str">
            <v>Phosphatidylethanolamine</v>
          </cell>
        </row>
        <row r="14067">
          <cell r="A14067" t="str">
            <v>pect_e</v>
          </cell>
          <cell r="B14067" t="str">
            <v>pect</v>
          </cell>
          <cell r="C14067" t="str">
            <v>Pectins</v>
          </cell>
        </row>
        <row r="14068">
          <cell r="A14068" t="str">
            <v>peptide_c</v>
          </cell>
          <cell r="B14068" t="str">
            <v>peptide</v>
          </cell>
          <cell r="C14068" t="str">
            <v>TRNA charged with amino acids for peptide synthesis</v>
          </cell>
        </row>
        <row r="14069">
          <cell r="A14069" t="str">
            <v>pglyc_cho_e</v>
          </cell>
          <cell r="B14069" t="str">
            <v>pglyc_cho</v>
          </cell>
          <cell r="C14069" t="str">
            <v>Phosphatidylglycerol(1-)</v>
          </cell>
        </row>
        <row r="14070">
          <cell r="A14070" t="str">
            <v>pmtcoa_l</v>
          </cell>
          <cell r="B14070" t="str">
            <v>pmtcoa</v>
          </cell>
          <cell r="C14070" t="str">
            <v>Palmitoyl-CoA (n-C16:0CoA)</v>
          </cell>
        </row>
        <row r="14071">
          <cell r="A14071" t="str">
            <v>prpp_n</v>
          </cell>
          <cell r="B14071" t="str">
            <v>prpp</v>
          </cell>
          <cell r="C14071" t="str">
            <v>5-Phospho-alpha-D-ribose 1-diphosphate</v>
          </cell>
        </row>
        <row r="14072">
          <cell r="A14072" t="str">
            <v>ps_cho_e</v>
          </cell>
          <cell r="B14072" t="str">
            <v>ps_cho</v>
          </cell>
          <cell r="C14072" t="str">
            <v>Phosphatidylserine</v>
          </cell>
        </row>
        <row r="14073">
          <cell r="A14073" t="str">
            <v>psyl_e</v>
          </cell>
          <cell r="B14073" t="str">
            <v>psyl</v>
          </cell>
          <cell r="C14073" t="str">
            <v>Psyllium</v>
          </cell>
        </row>
        <row r="14074">
          <cell r="A14074" t="str">
            <v>psyltchol_e</v>
          </cell>
          <cell r="B14074" t="str">
            <v>psyltchol</v>
          </cell>
          <cell r="C14074" t="str">
            <v>Psyllium-taurocholic acid complex</v>
          </cell>
        </row>
        <row r="14075">
          <cell r="A14075" t="str">
            <v>s3l3fn3rm2masn_g</v>
          </cell>
          <cell r="B14075" t="str">
            <v>s3l3fn3rm2masn</v>
          </cell>
          <cell r="C14075" t="str">
            <v>S3l3fn3rm2masn[g]</v>
          </cell>
        </row>
        <row r="14076">
          <cell r="A14076" t="str">
            <v>s3l3n3m2masn_g</v>
          </cell>
          <cell r="B14076" t="str">
            <v>s3l3n3m2masn</v>
          </cell>
          <cell r="C14076" t="str">
            <v>S3l3n3m2masn[g]</v>
          </cell>
        </row>
        <row r="14077">
          <cell r="A14077" t="str">
            <v>s4l2n2bdl4n4m2masn_g</v>
          </cell>
          <cell r="B14077" t="str">
            <v>s4l2n2bdl4n4m2masn</v>
          </cell>
          <cell r="C14077" t="str">
            <v>S4l2n2bdl4n4m2masn[g]</v>
          </cell>
        </row>
        <row r="14078">
          <cell r="A14078" t="str">
            <v>s4l3n3l4fn4m2masn_g</v>
          </cell>
          <cell r="B14078" t="str">
            <v>s4l3n3l4fn4m2masn</v>
          </cell>
          <cell r="C14078" t="str">
            <v>S4l3n3l4fn4m2masn[g]</v>
          </cell>
        </row>
        <row r="14079">
          <cell r="A14079" t="str">
            <v>s4l4n4m2masn_g</v>
          </cell>
          <cell r="B14079" t="str">
            <v>s4l4n4m2masn</v>
          </cell>
          <cell r="C14079" t="str">
            <v>S4l4n4m2masn[g]</v>
          </cell>
        </row>
        <row r="14080">
          <cell r="A14080" t="str">
            <v>s4lnbl4fn4m2masn_g</v>
          </cell>
          <cell r="B14080" t="str">
            <v>s4lnbl4fn4m2masn</v>
          </cell>
          <cell r="C14080" t="str">
            <v>S4lnbl4fn4m2masn[g]</v>
          </cell>
        </row>
        <row r="14081">
          <cell r="A14081" t="str">
            <v>s4lndl4fn4m2masn_g</v>
          </cell>
          <cell r="B14081" t="str">
            <v>s4lndl4fn4m2masn</v>
          </cell>
          <cell r="C14081" t="str">
            <v>S4lndl4fn4m2masn[g]</v>
          </cell>
        </row>
        <row r="14082">
          <cell r="A14082" t="str">
            <v>sebcoa_c</v>
          </cell>
          <cell r="B14082" t="str">
            <v>sebcoa</v>
          </cell>
          <cell r="C14082" t="str">
            <v>Sebacoyl Coenzyme A</v>
          </cell>
        </row>
        <row r="14083">
          <cell r="A14083" t="str">
            <v>sebcoa_x</v>
          </cell>
          <cell r="B14083" t="str">
            <v>sebcoa</v>
          </cell>
          <cell r="C14083" t="str">
            <v>Sebacoyl Coenzyme A</v>
          </cell>
        </row>
        <row r="14084">
          <cell r="A14084" t="str">
            <v>selhcys_n</v>
          </cell>
          <cell r="B14084" t="str">
            <v>selhcys</v>
          </cell>
          <cell r="C14084" t="str">
            <v>Selenohomocysteine</v>
          </cell>
        </row>
        <row r="14085">
          <cell r="A14085" t="str">
            <v>slfcys_c</v>
          </cell>
          <cell r="B14085" t="str">
            <v>slfcys</v>
          </cell>
          <cell r="C14085" t="str">
            <v>S-Sulfo-L-cysteine</v>
          </cell>
        </row>
        <row r="14086">
          <cell r="A14086" t="str">
            <v>sphmyln_cho_e</v>
          </cell>
          <cell r="B14086" t="str">
            <v>sphmyln_cho</v>
          </cell>
          <cell r="C14086" t="str">
            <v>Sphingomyelin betaine</v>
          </cell>
        </row>
        <row r="14087">
          <cell r="A14087" t="str">
            <v>sprm_x</v>
          </cell>
          <cell r="B14087" t="str">
            <v>sprm</v>
          </cell>
          <cell r="C14087" t="str">
            <v>Spermine C10H30N4</v>
          </cell>
        </row>
        <row r="14088">
          <cell r="A14088" t="str">
            <v>strdnc_l</v>
          </cell>
          <cell r="B14088" t="str">
            <v>strdnc</v>
          </cell>
          <cell r="C14088" t="str">
            <v>Stearidonic acid C18:4, n-3</v>
          </cell>
        </row>
        <row r="14089">
          <cell r="A14089" t="str">
            <v>subeac_c</v>
          </cell>
          <cell r="B14089" t="str">
            <v>subeac</v>
          </cell>
          <cell r="C14089" t="str">
            <v>Suberic acid</v>
          </cell>
        </row>
        <row r="14090">
          <cell r="A14090" t="str">
            <v>subeac_x</v>
          </cell>
          <cell r="B14090" t="str">
            <v>subeac</v>
          </cell>
          <cell r="C14090" t="str">
            <v>Suberic acid</v>
          </cell>
        </row>
        <row r="14091">
          <cell r="A14091" t="str">
            <v>tag_cho_c</v>
          </cell>
          <cell r="B14091" t="str">
            <v>tag_cho</v>
          </cell>
          <cell r="C14091" t="str">
            <v>Triglyceride</v>
          </cell>
        </row>
        <row r="14092">
          <cell r="A14092" t="str">
            <v>tetdece1coa_m</v>
          </cell>
          <cell r="B14092" t="str">
            <v>tetdece1coa</v>
          </cell>
          <cell r="C14092" t="str">
            <v>Tetradecenoyl-CoA;(2E)-Tetradecenoyl-CoA</v>
          </cell>
        </row>
        <row r="14093">
          <cell r="A14093" t="str">
            <v>thbpt4acam_n</v>
          </cell>
          <cell r="B14093" t="str">
            <v>thbpt4acam</v>
          </cell>
          <cell r="C14093" t="str">
            <v>Tetrahydrobiopterin-4a-carbinolamine</v>
          </cell>
        </row>
        <row r="14094">
          <cell r="A14094" t="str">
            <v>thcrm_cho_c</v>
          </cell>
          <cell r="B14094" t="str">
            <v>thcrm_cho</v>
          </cell>
          <cell r="C14094" t="str">
            <v>Trihexosyl ceramide</v>
          </cell>
        </row>
        <row r="14095">
          <cell r="A14095" t="str">
            <v>tmndnc_r</v>
          </cell>
          <cell r="B14095" t="str">
            <v>tmndnc</v>
          </cell>
          <cell r="C14095" t="str">
            <v>Timnodonic acid C20:5, n-3</v>
          </cell>
        </row>
        <row r="14096">
          <cell r="A14096" t="str">
            <v>tmndnc_x</v>
          </cell>
          <cell r="B14096" t="str">
            <v>tmndnc</v>
          </cell>
          <cell r="C14096" t="str">
            <v>Timnodonic acid C20:5, n-3</v>
          </cell>
        </row>
        <row r="14097">
          <cell r="A14097" t="str">
            <v>udpgal_r</v>
          </cell>
          <cell r="B14097" t="str">
            <v>udpgal</v>
          </cell>
          <cell r="C14097" t="str">
            <v>UDPgalactose</v>
          </cell>
        </row>
        <row r="14098">
          <cell r="A14098" t="str">
            <v>urea_n</v>
          </cell>
          <cell r="B14098" t="str">
            <v>urea</v>
          </cell>
          <cell r="C14098" t="str">
            <v>Urea CH4N2O</v>
          </cell>
        </row>
        <row r="14099">
          <cell r="A14099" t="str">
            <v>wharachd_e</v>
          </cell>
          <cell r="B14099" t="str">
            <v>wharachd</v>
          </cell>
          <cell r="C14099" t="str">
            <v>W-hydroxyl arachidonic acid</v>
          </cell>
        </row>
        <row r="14100">
          <cell r="A14100" t="str">
            <v>xol7ah2al_c</v>
          </cell>
          <cell r="B14100" t="str">
            <v>xol7ah2al</v>
          </cell>
          <cell r="C14100" t="str">
            <v>3alpha,7alpha-Dihydroxy-5beta-cholestan-26-al</v>
          </cell>
        </row>
        <row r="14101">
          <cell r="A14101" t="str">
            <v>xol7aone_m</v>
          </cell>
          <cell r="B14101" t="str">
            <v>xol7aone</v>
          </cell>
          <cell r="C14101" t="str">
            <v>7alpha-Hydroxycholest-4-en-3-one</v>
          </cell>
        </row>
        <row r="14102">
          <cell r="A14102" t="str">
            <v>xolest2_cho_c</v>
          </cell>
          <cell r="B14102" t="str">
            <v>xolest2_cho</v>
          </cell>
          <cell r="C14102" t="str">
            <v>Cholesterol ester</v>
          </cell>
        </row>
        <row r="14103">
          <cell r="A14103" t="str">
            <v>xylnact__D_c</v>
          </cell>
          <cell r="B14103" t="str">
            <v>xylnact__D</v>
          </cell>
          <cell r="C14103" t="str">
            <v>D-Xylonolactone</v>
          </cell>
        </row>
        <row r="14104">
          <cell r="A14104" t="str">
            <v>gtocophe_r</v>
          </cell>
          <cell r="B14104" t="str">
            <v>gtocophe</v>
          </cell>
          <cell r="C14104" t="str">
            <v>Gamma-Tocopherol</v>
          </cell>
        </row>
        <row r="14105">
          <cell r="A14105" t="str">
            <v>2tocdacp_c</v>
          </cell>
          <cell r="B14105" t="str">
            <v>2tocdacp</v>
          </cell>
          <cell r="C14105" t="str">
            <v>Trans Octadec 2 enoyl acyl carrier protein</v>
          </cell>
        </row>
        <row r="14106">
          <cell r="A14106" t="str">
            <v>3hdeacp_c</v>
          </cell>
          <cell r="B14106" t="str">
            <v>3hdeacp</v>
          </cell>
          <cell r="C14106" t="str">
            <v>3R  3 Hydroxydecanoyl acyl carrier protein</v>
          </cell>
        </row>
        <row r="14107">
          <cell r="A14107" t="str">
            <v>3hhacp_c</v>
          </cell>
          <cell r="B14107" t="str">
            <v>3hhacp</v>
          </cell>
          <cell r="C14107" t="str">
            <v xml:space="preserve"> 3 Hydroxyhexanoyl acp</v>
          </cell>
        </row>
        <row r="14108">
          <cell r="A14108" t="str">
            <v>3hocdacp_c</v>
          </cell>
          <cell r="B14108" t="str">
            <v>3hocdacp</v>
          </cell>
          <cell r="C14108" t="str">
            <v>3R  3 Hydroxyoctadecanoyl acyl carrier protein</v>
          </cell>
        </row>
        <row r="14109">
          <cell r="A14109" t="str">
            <v>3htdacp_c</v>
          </cell>
          <cell r="B14109" t="str">
            <v>3htdacp</v>
          </cell>
          <cell r="C14109" t="str">
            <v>3R  3 Hydroxytetradecanoyl acyl carrier protein</v>
          </cell>
        </row>
        <row r="14110">
          <cell r="A14110" t="str">
            <v>3mba_c</v>
          </cell>
          <cell r="B14110" t="str">
            <v>3mba</v>
          </cell>
          <cell r="C14110" t="str">
            <v>3 methylbutanoic acid</v>
          </cell>
        </row>
        <row r="14111">
          <cell r="A14111" t="str">
            <v>3mbal_e</v>
          </cell>
          <cell r="B14111" t="str">
            <v>3mbal</v>
          </cell>
          <cell r="C14111" t="str">
            <v>3 methylbutanal</v>
          </cell>
        </row>
        <row r="14112">
          <cell r="A14112" t="str">
            <v>3oxdeacp_c</v>
          </cell>
          <cell r="B14112" t="str">
            <v>3oxdeacp</v>
          </cell>
          <cell r="C14112" t="str">
            <v>3 Oxodecanoyl acyl carrier protein</v>
          </cell>
        </row>
        <row r="14113">
          <cell r="A14113" t="str">
            <v>3oxhacp_c</v>
          </cell>
          <cell r="B14113" t="str">
            <v>3oxhacp</v>
          </cell>
          <cell r="C14113" t="str">
            <v>3 Oxohexanoyl acyl carrier protein</v>
          </cell>
        </row>
        <row r="14114">
          <cell r="A14114" t="str">
            <v>3oxocacp_c</v>
          </cell>
          <cell r="B14114" t="str">
            <v>3oxocacp</v>
          </cell>
          <cell r="C14114" t="str">
            <v>3 Oxooctanoyl acyl carrier protein</v>
          </cell>
        </row>
        <row r="14115">
          <cell r="A14115" t="str">
            <v>CPS_LLA_c</v>
          </cell>
          <cell r="B14115" t="str">
            <v>CPS_LLA</v>
          </cell>
          <cell r="C14115" t="str">
            <v>Polysaccharide units Lactis specific</v>
          </cell>
        </row>
        <row r="14116">
          <cell r="A14116" t="str">
            <v>LTAala_LLA_c</v>
          </cell>
          <cell r="B14116" t="str">
            <v>LTAala_LLA</v>
          </cell>
          <cell r="C14116" t="str">
            <v xml:space="preserve">Lipoteichoic acid  n16  with 038 ala substitutions </v>
          </cell>
        </row>
        <row r="14117">
          <cell r="A14117" t="str">
            <v>PG_c</v>
          </cell>
          <cell r="B14117" t="str">
            <v>PG</v>
          </cell>
          <cell r="C14117" t="str">
            <v>Peptidoglycan</v>
          </cell>
        </row>
        <row r="14118">
          <cell r="A14118" t="str">
            <v>PROT_LLA_v3_c</v>
          </cell>
          <cell r="B14118" t="str">
            <v>PROT_LLA_v3</v>
          </cell>
          <cell r="C14118" t="str">
            <v>Protein for biomass  lactis specific  v3</v>
          </cell>
        </row>
        <row r="14119">
          <cell r="A14119" t="str">
            <v>acara_c</v>
          </cell>
          <cell r="B14119" t="str">
            <v>acara</v>
          </cell>
          <cell r="C14119" t="str">
            <v>N Acetoxyarylamine</v>
          </cell>
        </row>
        <row r="14120">
          <cell r="A14120" t="str">
            <v>acgala_e</v>
          </cell>
          <cell r="B14120" t="str">
            <v>acgala</v>
          </cell>
          <cell r="C14120" t="str">
            <v>N Acetyl D galactosamine</v>
          </cell>
        </row>
        <row r="14121">
          <cell r="A14121" t="str">
            <v>agly3p_LLA_c</v>
          </cell>
          <cell r="B14121" t="str">
            <v>agly3p_LLA</v>
          </cell>
          <cell r="C14121" t="str">
            <v xml:space="preserve">1 Acyl sn glycerol 3 phosphate  lactis specific </v>
          </cell>
        </row>
        <row r="14122">
          <cell r="A14122" t="str">
            <v>cdprbtl_c</v>
          </cell>
          <cell r="B14122" t="str">
            <v>cdprbtl</v>
          </cell>
          <cell r="C14122" t="str">
            <v>CDPribitol</v>
          </cell>
        </row>
        <row r="14123">
          <cell r="A14123" t="str">
            <v>gmh7p_c</v>
          </cell>
          <cell r="B14123" t="str">
            <v>gmh7p</v>
          </cell>
          <cell r="C14123" t="str">
            <v>D Glycero D manno heptose 7 phosphate</v>
          </cell>
        </row>
        <row r="14124">
          <cell r="A14124" t="str">
            <v>haram_c</v>
          </cell>
          <cell r="B14124" t="str">
            <v>haram</v>
          </cell>
          <cell r="C14124" t="str">
            <v>N Hydroxyarylamine</v>
          </cell>
        </row>
        <row r="14125">
          <cell r="A14125" t="str">
            <v>ib_p_c</v>
          </cell>
          <cell r="B14125" t="str">
            <v>ib_p</v>
          </cell>
          <cell r="C14125" t="str">
            <v>Isobutyryl phosphate</v>
          </cell>
        </row>
        <row r="14126">
          <cell r="A14126" t="str">
            <v>iv_p_c</v>
          </cell>
          <cell r="B14126" t="str">
            <v>iv_p</v>
          </cell>
          <cell r="C14126" t="str">
            <v>Isovaleryl phosphate</v>
          </cell>
        </row>
        <row r="14127">
          <cell r="A14127" t="str">
            <v>malacp_c</v>
          </cell>
          <cell r="B14127" t="str">
            <v>malacp</v>
          </cell>
          <cell r="C14127" t="str">
            <v>Malonyl acyl carrier protein</v>
          </cell>
        </row>
        <row r="14128">
          <cell r="A14128" t="str">
            <v>pea_c</v>
          </cell>
          <cell r="B14128" t="str">
            <v>pea</v>
          </cell>
          <cell r="C14128" t="str">
            <v>Phenylethyl alcohol</v>
          </cell>
        </row>
        <row r="14129">
          <cell r="A14129" t="str">
            <v>pg_LLA_c</v>
          </cell>
          <cell r="B14129" t="str">
            <v>pg_LLA</v>
          </cell>
          <cell r="C14129" t="str">
            <v xml:space="preserve">Phospatidylglycerol  Lactis specific </v>
          </cell>
        </row>
        <row r="14130">
          <cell r="A14130" t="str">
            <v>pyrimid_c</v>
          </cell>
          <cell r="B14130" t="str">
            <v>pyrimid</v>
          </cell>
          <cell r="C14130" t="str">
            <v>Pyrimidine</v>
          </cell>
        </row>
        <row r="14131">
          <cell r="A14131" t="str">
            <v>tdeacp_c</v>
          </cell>
          <cell r="B14131" t="str">
            <v>tdeacp</v>
          </cell>
          <cell r="C14131" t="str">
            <v>Tetradecanoyl acyl carrier protein</v>
          </cell>
        </row>
        <row r="14132">
          <cell r="A14132" t="str">
            <v>f_e</v>
          </cell>
          <cell r="B14132" t="str">
            <v>f</v>
          </cell>
          <cell r="C14132" t="str">
            <v>Fluoride</v>
          </cell>
        </row>
        <row r="14133">
          <cell r="A14133" t="str">
            <v>psuri_c</v>
          </cell>
          <cell r="B14133" t="str">
            <v>psuri</v>
          </cell>
          <cell r="C14133" t="str">
            <v>Pseudouridine</v>
          </cell>
        </row>
        <row r="14134">
          <cell r="A14134" t="str">
            <v>sf_c</v>
          </cell>
          <cell r="B14134" t="str">
            <v>sf</v>
          </cell>
          <cell r="C14134" t="str">
            <v>6-deoxy-6-sulphofructose</v>
          </cell>
        </row>
        <row r="14135">
          <cell r="A14135" t="str">
            <v>dt5hsu_c</v>
          </cell>
          <cell r="B14135" t="str">
            <v>dt5hsu</v>
          </cell>
          <cell r="C14135" t="str">
            <v>4-Deoxy-L-threo-5-hexosulose uronate</v>
          </cell>
        </row>
        <row r="14136">
          <cell r="A14136" t="str">
            <v>2hptcl_c</v>
          </cell>
          <cell r="B14136" t="str">
            <v>2hptcl</v>
          </cell>
          <cell r="C14136" t="str">
            <v>2-hydroxycyclohepta-1,4,6-triene-1-carboxylate</v>
          </cell>
        </row>
        <row r="14137">
          <cell r="A14137" t="str">
            <v>psuri_p</v>
          </cell>
          <cell r="B14137" t="str">
            <v>psuri</v>
          </cell>
          <cell r="C14137" t="str">
            <v>Pseudouridine</v>
          </cell>
        </row>
        <row r="14138">
          <cell r="A14138" t="str">
            <v>dhcholn_c</v>
          </cell>
          <cell r="B14138" t="str">
            <v>dhcholn</v>
          </cell>
          <cell r="C14138" t="str">
            <v>3?,12?-dihydroxy-7-oxo-5?-cholan-24-oate</v>
          </cell>
        </row>
        <row r="14139">
          <cell r="A14139" t="str">
            <v>sq_c</v>
          </cell>
          <cell r="B14139" t="str">
            <v>sq</v>
          </cell>
          <cell r="C14139" t="str">
            <v>Sulphoquinovose</v>
          </cell>
        </row>
        <row r="14140">
          <cell r="A14140" t="str">
            <v>mththf_e</v>
          </cell>
          <cell r="B14140" t="str">
            <v>mththf</v>
          </cell>
          <cell r="C14140" t="str">
            <v>(2R,4S)-2-methyl-2,3,3,4-tetrahydroxytetrahydrofuran</v>
          </cell>
        </row>
        <row r="14141">
          <cell r="A14141" t="str">
            <v>dxylnt_e</v>
          </cell>
          <cell r="B14141" t="str">
            <v>dxylnt</v>
          </cell>
          <cell r="C14141" t="str">
            <v>D-Xylonate</v>
          </cell>
        </row>
        <row r="14142">
          <cell r="A14142" t="str">
            <v>ch4_p</v>
          </cell>
          <cell r="B14142" t="str">
            <v>ch4</v>
          </cell>
          <cell r="C14142" t="str">
            <v>Methane</v>
          </cell>
        </row>
        <row r="14143">
          <cell r="A14143" t="str">
            <v>dhptdd_c</v>
          </cell>
          <cell r="B14143" t="str">
            <v>dhptdd</v>
          </cell>
          <cell r="C14143" t="str">
            <v>3-hydroxy-5-phosphonooxypentane-2,4-dione</v>
          </cell>
        </row>
        <row r="14144">
          <cell r="A14144" t="str">
            <v>dtgcl_c</v>
          </cell>
          <cell r="B14144" t="str">
            <v>dtgcl</v>
          </cell>
          <cell r="C14144" t="str">
            <v>2-hydroxyethyldisulfide</v>
          </cell>
        </row>
        <row r="14145">
          <cell r="A14145" t="str">
            <v>5phua_c</v>
          </cell>
          <cell r="B14145" t="str">
            <v>5phua</v>
          </cell>
          <cell r="C14145" t="str">
            <v>Phenylureidoacetic acid</v>
          </cell>
        </row>
        <row r="14146">
          <cell r="A14146" t="str">
            <v>urate_p</v>
          </cell>
          <cell r="B14146" t="str">
            <v>urate</v>
          </cell>
          <cell r="C14146" t="str">
            <v>Urate C5H4N4O3</v>
          </cell>
        </row>
        <row r="14147">
          <cell r="A14147" t="str">
            <v>cur_c</v>
          </cell>
          <cell r="B14147" t="str">
            <v>cur</v>
          </cell>
          <cell r="C14147" t="str">
            <v>Curcumin</v>
          </cell>
        </row>
        <row r="14148">
          <cell r="A14148" t="str">
            <v>2ddara_c</v>
          </cell>
          <cell r="B14148" t="str">
            <v>2ddara</v>
          </cell>
          <cell r="C14148" t="str">
            <v>2-dehydro-3-deoxy-D-arabinonate</v>
          </cell>
        </row>
        <row r="14149">
          <cell r="A14149" t="str">
            <v>nadhx__S_c</v>
          </cell>
          <cell r="B14149" t="str">
            <v>nadhx__S</v>
          </cell>
          <cell r="C14149" t="str">
            <v>Adenosine 5'-(3-{5-[(2S)-5-carbamoyl-2-hydroxy-3,4-dihydropyridin-1-yl]-5-deoxy-?-D-ribofuranosyl} dihydrogen diphosphate)</v>
          </cell>
        </row>
        <row r="14150">
          <cell r="A14150" t="str">
            <v>23doguln_p</v>
          </cell>
          <cell r="B14150" t="str">
            <v>23doguln</v>
          </cell>
          <cell r="C14150" t="str">
            <v>2,3-Dioxo-L-gulonate</v>
          </cell>
        </row>
        <row r="14151">
          <cell r="A14151" t="str">
            <v>mteo2_c</v>
          </cell>
          <cell r="B14151" t="str">
            <v>mteo2</v>
          </cell>
          <cell r="C14151" t="str">
            <v>Methanetelluronate</v>
          </cell>
        </row>
        <row r="14152">
          <cell r="A14152" t="str">
            <v>sq_p</v>
          </cell>
          <cell r="B14152" t="str">
            <v>sq</v>
          </cell>
          <cell r="C14152" t="str">
            <v>Sulphoquinovose</v>
          </cell>
        </row>
        <row r="14153">
          <cell r="A14153" t="str">
            <v>h2o_cx</v>
          </cell>
          <cell r="B14153" t="str">
            <v>h2o</v>
          </cell>
          <cell r="C14153" t="str">
            <v>H2O H2O</v>
          </cell>
        </row>
        <row r="14154">
          <cell r="A14154" t="str">
            <v>2pglyc_cx</v>
          </cell>
          <cell r="B14154" t="str">
            <v>2pglyc</v>
          </cell>
          <cell r="C14154" t="str">
            <v>2-Phosphoglycolate</v>
          </cell>
        </row>
        <row r="14155">
          <cell r="A14155" t="str">
            <v>h_cx</v>
          </cell>
          <cell r="B14155" t="str">
            <v>h</v>
          </cell>
          <cell r="C14155" t="str">
            <v>H+</v>
          </cell>
        </row>
        <row r="14156">
          <cell r="A14156" t="str">
            <v>bm_pro_c</v>
          </cell>
          <cell r="B14156" t="str">
            <v>bm_pro</v>
          </cell>
          <cell r="C14156" t="str">
            <v>Protein component of biomass</v>
          </cell>
        </row>
        <row r="14157">
          <cell r="A14157" t="str">
            <v>3pg_cx</v>
          </cell>
          <cell r="B14157" t="str">
            <v>3pg</v>
          </cell>
          <cell r="C14157" t="str">
            <v>3-Phospho-D-glycerate</v>
          </cell>
        </row>
        <row r="14158">
          <cell r="A14158" t="str">
            <v>bm_cofactors_c</v>
          </cell>
          <cell r="B14158" t="str">
            <v>bm_cofactors</v>
          </cell>
          <cell r="C14158" t="str">
            <v>Biomass metabolite: cofactors and ions</v>
          </cell>
        </row>
        <row r="14159">
          <cell r="A14159" t="str">
            <v>mppp9me_c</v>
          </cell>
          <cell r="B14159" t="str">
            <v>mppp9me</v>
          </cell>
          <cell r="C14159" t="str">
            <v>Magnesium protoporphyrin IX monomethyl ester</v>
          </cell>
        </row>
        <row r="14160">
          <cell r="A14160" t="str">
            <v>bm_dna_c</v>
          </cell>
          <cell r="B14160" t="str">
            <v>bm_dna</v>
          </cell>
          <cell r="C14160" t="str">
            <v>DNA component of biomass</v>
          </cell>
        </row>
        <row r="14161">
          <cell r="A14161" t="str">
            <v>3nphb_c</v>
          </cell>
          <cell r="B14161" t="str">
            <v>3nphb</v>
          </cell>
          <cell r="C14161" t="str">
            <v>3-Nonaprenyl-4-hydroxybenzoate</v>
          </cell>
        </row>
        <row r="14162">
          <cell r="A14162" t="str">
            <v>lipidAds2_c</v>
          </cell>
          <cell r="B14162" t="str">
            <v>lipidAds2</v>
          </cell>
          <cell r="C14162" t="str">
            <v>Lipid A Disaccharide (cyanobacterial)</v>
          </cell>
        </row>
        <row r="14163">
          <cell r="A14163" t="str">
            <v>tczcaro_c</v>
          </cell>
          <cell r="B14163" t="str">
            <v>tczcaro</v>
          </cell>
          <cell r="C14163" t="str">
            <v>9,15,9-tricis-zeta-Carotene</v>
          </cell>
        </row>
        <row r="14164">
          <cell r="A14164" t="str">
            <v>ttclyco_c</v>
          </cell>
          <cell r="B14164" t="str">
            <v>ttclyco</v>
          </cell>
          <cell r="C14164" t="str">
            <v>7,9,7,9-tetracis-Lycopene</v>
          </cell>
        </row>
        <row r="14165">
          <cell r="A14165" t="str">
            <v>phphbda_c</v>
          </cell>
          <cell r="B14165" t="str">
            <v>phphbda</v>
          </cell>
          <cell r="C14165" t="str">
            <v>Pheophorbide a</v>
          </cell>
        </row>
        <row r="14166">
          <cell r="A14166" t="str">
            <v>rcc_c</v>
          </cell>
          <cell r="B14166" t="str">
            <v>rcc</v>
          </cell>
          <cell r="C14166" t="str">
            <v>Red chlorophyll catabolite</v>
          </cell>
        </row>
        <row r="14167">
          <cell r="A14167" t="str">
            <v>thissh_c</v>
          </cell>
          <cell r="B14167" t="str">
            <v>thissh</v>
          </cell>
          <cell r="C14167" t="str">
            <v>Thiamine biosynthesis intermediate 5</v>
          </cell>
        </row>
        <row r="14168">
          <cell r="A14168" t="str">
            <v>accp_c</v>
          </cell>
          <cell r="B14168" t="str">
            <v>accp</v>
          </cell>
          <cell r="C14168" t="str">
            <v>Apo-carboxylase</v>
          </cell>
        </row>
        <row r="14169">
          <cell r="A14169" t="str">
            <v>quetrna_c</v>
          </cell>
          <cell r="B14169" t="str">
            <v>quetrna</v>
          </cell>
          <cell r="C14169" t="str">
            <v>Quenosine34 tRNA</v>
          </cell>
        </row>
        <row r="14170">
          <cell r="A14170" t="str">
            <v>12dgr1619Z160_c</v>
          </cell>
          <cell r="B14170" t="str">
            <v>12dgr1619Z160</v>
          </cell>
          <cell r="C14170" t="str">
            <v>1,2-Diacyl-sn-glycerol(16:1(9Z)/16:0)</v>
          </cell>
        </row>
        <row r="14171">
          <cell r="A14171" t="str">
            <v>mgdg1619Z160_c</v>
          </cell>
          <cell r="B14171" t="str">
            <v>mgdg1619Z160</v>
          </cell>
          <cell r="C14171" t="str">
            <v>1,2-Diacyl-3-O-galactosyl-sn-glycerol(16:1(9Z)/16:0)</v>
          </cell>
        </row>
        <row r="14172">
          <cell r="A14172" t="str">
            <v>mgdg1819Z160_c</v>
          </cell>
          <cell r="B14172" t="str">
            <v>mgdg1819Z160</v>
          </cell>
          <cell r="C14172" t="str">
            <v>Monogalactosyldiacylglycerol (1-(9Z)-octadecenoyl,2-hexadecanoyl, 18:1(9Z)/16:0)</v>
          </cell>
        </row>
        <row r="14173">
          <cell r="A14173" t="str">
            <v>photon530_e</v>
          </cell>
          <cell r="B14173" t="str">
            <v>photon530</v>
          </cell>
          <cell r="C14173" t="str">
            <v>Photon (520nm-540nm)</v>
          </cell>
        </row>
        <row r="14174">
          <cell r="A14174" t="str">
            <v>photon550_e</v>
          </cell>
          <cell r="B14174" t="str">
            <v>photon550</v>
          </cell>
          <cell r="C14174" t="str">
            <v>Photon (540nm-560nm)</v>
          </cell>
        </row>
        <row r="14175">
          <cell r="A14175" t="str">
            <v>photon590_e</v>
          </cell>
          <cell r="B14175" t="str">
            <v>photon590</v>
          </cell>
          <cell r="C14175" t="str">
            <v>Photon (580nm-600nm)</v>
          </cell>
        </row>
        <row r="14176">
          <cell r="A14176" t="str">
            <v>photon650_e</v>
          </cell>
          <cell r="B14176" t="str">
            <v>photon650</v>
          </cell>
          <cell r="C14176" t="str">
            <v>Photon (640nm-660nm)</v>
          </cell>
        </row>
        <row r="14177">
          <cell r="A14177" t="str">
            <v>photon670_e</v>
          </cell>
          <cell r="B14177" t="str">
            <v>photon670</v>
          </cell>
          <cell r="C14177" t="str">
            <v>Photon (660nm-680nm)</v>
          </cell>
        </row>
        <row r="14178">
          <cell r="A14178" t="str">
            <v>pho_loss_c</v>
          </cell>
          <cell r="B14178" t="str">
            <v>pho_loss</v>
          </cell>
          <cell r="C14178" t="str">
            <v>Photon energy loss (heat/fluorescence)</v>
          </cell>
        </row>
        <row r="14179">
          <cell r="A14179" t="str">
            <v>colipacy_p</v>
          </cell>
          <cell r="B14179" t="str">
            <v>colipacy</v>
          </cell>
          <cell r="C14179" t="str">
            <v>O-antigen bound to core oligosaccharide lipid A (Synechococcus elongatus 7942)</v>
          </cell>
        </row>
        <row r="14180">
          <cell r="A14180" t="str">
            <v>chla_qy2_exc_c</v>
          </cell>
          <cell r="B14180" t="str">
            <v>chla_qy2_exc</v>
          </cell>
          <cell r="C14180" t="str">
            <v>Photosystem II excited chlorophyll A, Qy band (long wavelength)</v>
          </cell>
        </row>
        <row r="14181">
          <cell r="A14181" t="str">
            <v>p700_exc_um</v>
          </cell>
          <cell r="B14181" t="str">
            <v>p700_exc</v>
          </cell>
          <cell r="C14181" t="str">
            <v>PSI reaction center P700, excited</v>
          </cell>
        </row>
        <row r="14182">
          <cell r="A14182" t="str">
            <v>g2m8masn_c</v>
          </cell>
          <cell r="B14182" t="str">
            <v>g2m8masn</v>
          </cell>
          <cell r="C14182" t="str">
            <v>(alpha-D-Glucosyl)2-(alpha-D-mannosyl)8-beta-D-mannosyl-diacetylchitobiosyl-L-asparagine (protein)</v>
          </cell>
        </row>
        <row r="14183">
          <cell r="A14183" t="str">
            <v>q9h2_m</v>
          </cell>
          <cell r="B14183" t="str">
            <v>q9h2</v>
          </cell>
          <cell r="C14183" t="str">
            <v>Ubiquinol-9</v>
          </cell>
        </row>
        <row r="14184">
          <cell r="A14184" t="str">
            <v>23dhdp_h</v>
          </cell>
          <cell r="B14184" t="str">
            <v>23dhdp</v>
          </cell>
          <cell r="C14184" t="str">
            <v>2,3-Dihydrodipicolinate</v>
          </cell>
        </row>
        <row r="14185">
          <cell r="A14185" t="str">
            <v>26dap__M_h</v>
          </cell>
          <cell r="B14185" t="str">
            <v>26dap__M</v>
          </cell>
          <cell r="C14185" t="str">
            <v>Meso-2,6-Diaminoheptanedioate</v>
          </cell>
        </row>
        <row r="14186">
          <cell r="A14186" t="str">
            <v>photon_h</v>
          </cell>
          <cell r="B14186" t="str">
            <v>photon</v>
          </cell>
          <cell r="C14186" t="str">
            <v>Light</v>
          </cell>
        </row>
        <row r="14187">
          <cell r="A14187" t="str">
            <v>acg5p_h</v>
          </cell>
          <cell r="B14187" t="str">
            <v>acg5p</v>
          </cell>
          <cell r="C14187" t="str">
            <v>N-Acetyl-L-glutamyl 5-phosphate</v>
          </cell>
        </row>
        <row r="14188">
          <cell r="A14188" t="str">
            <v>so4_h</v>
          </cell>
          <cell r="B14188" t="str">
            <v>so4</v>
          </cell>
          <cell r="C14188" t="str">
            <v>Sulfate</v>
          </cell>
        </row>
        <row r="14189">
          <cell r="A14189" t="str">
            <v>dhbpt_m</v>
          </cell>
          <cell r="B14189" t="str">
            <v>dhbpt</v>
          </cell>
          <cell r="C14189" t="str">
            <v>6,7-Dihydrobiopterin</v>
          </cell>
        </row>
        <row r="14190">
          <cell r="A14190" t="str">
            <v>hd912ea_c</v>
          </cell>
          <cell r="B14190" t="str">
            <v>hd912ea</v>
          </cell>
          <cell r="C14190" t="str">
            <v>(9Z,12Z)-hexadecadienoate</v>
          </cell>
        </row>
        <row r="14191">
          <cell r="A14191" t="str">
            <v>hd912coa_c</v>
          </cell>
          <cell r="B14191" t="str">
            <v>hd912coa</v>
          </cell>
          <cell r="C14191" t="str">
            <v>(9Z,12Z)-hexadecadienyl-CoA</v>
          </cell>
        </row>
        <row r="14192">
          <cell r="A14192" t="str">
            <v>hd6912ea_c</v>
          </cell>
          <cell r="B14192" t="str">
            <v>hd6912ea</v>
          </cell>
          <cell r="C14192" t="str">
            <v>(6Z,9Z,12Z)-hexadecatrienoate (C16:3)</v>
          </cell>
        </row>
        <row r="14193">
          <cell r="A14193" t="str">
            <v>utp_h</v>
          </cell>
          <cell r="B14193" t="str">
            <v>utp</v>
          </cell>
          <cell r="C14193" t="str">
            <v>UTP C9H11N2O15P3</v>
          </cell>
        </row>
        <row r="14194">
          <cell r="A14194" t="str">
            <v>1docos4710131619eg3p_c</v>
          </cell>
          <cell r="B14194" t="str">
            <v>1docos4710131619eg3p</v>
          </cell>
          <cell r="C14194" t="str">
            <v>1-4,7,10,13,16,19-Docosahexaenoyl-sn-glycerol-3-phosphate</v>
          </cell>
        </row>
        <row r="14195">
          <cell r="A14195" t="str">
            <v>pa1401819Z_c</v>
          </cell>
          <cell r="B14195" t="str">
            <v>pa1401819Z</v>
          </cell>
          <cell r="C14195" t="str">
            <v>1-tetradecanoyl-2-9-octadecenoyl-sn-glycerol-3-phosphate</v>
          </cell>
        </row>
        <row r="14196">
          <cell r="A14196" t="str">
            <v>pa160205n3_c</v>
          </cell>
          <cell r="B14196" t="str">
            <v>pa160205n3</v>
          </cell>
          <cell r="C14196" t="str">
            <v>1-hexadecanoyl-2-5,8,11,14,17-eicosapentaenoyl-sn-glycerol-3-phosphate</v>
          </cell>
        </row>
        <row r="14197">
          <cell r="A14197" t="str">
            <v>pa1619Z226n3_c</v>
          </cell>
          <cell r="B14197" t="str">
            <v>pa1619Z226n3</v>
          </cell>
          <cell r="C14197" t="str">
            <v>1-9-hexadecenoyl-2-4,7,10,13,16,19-docosahexaenoyl-sn-glycerol-3-phosphate</v>
          </cell>
        </row>
        <row r="14198">
          <cell r="A14198" t="str">
            <v>pa180160_c</v>
          </cell>
          <cell r="B14198" t="str">
            <v>pa180160</v>
          </cell>
          <cell r="C14198" t="str">
            <v>1-octadecanoyl-2-hexadecanoyl-sn-glycerol-3-phosphate</v>
          </cell>
        </row>
        <row r="14199">
          <cell r="A14199" t="str">
            <v>pa1819Z140_c</v>
          </cell>
          <cell r="B14199" t="str">
            <v>pa1819Z140</v>
          </cell>
          <cell r="C14199" t="str">
            <v>1-9-octadecenoyl-2-tetradecanoyl-sn-glycerol-3-phosphate</v>
          </cell>
        </row>
        <row r="14200">
          <cell r="A14200" t="str">
            <v>pa205n31619Z_c</v>
          </cell>
          <cell r="B14200" t="str">
            <v>pa205n31619Z</v>
          </cell>
          <cell r="C14200" t="str">
            <v>1-5,8,11,14,17-eicosapentaenoyl-2-9-hexadecenoyl-sn-glycerol-3-phosphate</v>
          </cell>
        </row>
        <row r="14201">
          <cell r="A14201" t="str">
            <v>pa226n31619Z_c</v>
          </cell>
          <cell r="B14201" t="str">
            <v>pa226n31619Z</v>
          </cell>
          <cell r="C14201" t="str">
            <v>1-4,7,10,13,16,19-docosahexaenoyl-2-9-hexadecenoyl-sn-glycerol-3-phosphate</v>
          </cell>
        </row>
        <row r="14202">
          <cell r="A14202" t="str">
            <v>pa226n31819Z_c</v>
          </cell>
          <cell r="B14202" t="str">
            <v>pa226n31819Z</v>
          </cell>
          <cell r="C14202" t="str">
            <v>1-4,7,10,13,16,19-docosahexaenoyl-2-9-octadecenoyl-sn-glycerol-3-phosphate</v>
          </cell>
        </row>
        <row r="14203">
          <cell r="A14203" t="str">
            <v>12dgr140180_c</v>
          </cell>
          <cell r="B14203" t="str">
            <v>12dgr140180</v>
          </cell>
          <cell r="C14203" t="str">
            <v>1,2-Diacyl-sn-glycerol(14:0/18:0)</v>
          </cell>
        </row>
        <row r="14204">
          <cell r="A14204" t="str">
            <v>12dgr140226n3_c</v>
          </cell>
          <cell r="B14204" t="str">
            <v>12dgr140226n3</v>
          </cell>
          <cell r="C14204" t="str">
            <v>1,2-Diacyl-sn-glycerol(14:0/22:6(4Z,7Z,10Z,13Z,16Z,19Z))</v>
          </cell>
        </row>
        <row r="14205">
          <cell r="A14205" t="str">
            <v>12dgr160140_c</v>
          </cell>
          <cell r="B14205" t="str">
            <v>12dgr160140</v>
          </cell>
          <cell r="C14205" t="str">
            <v>1,2-Diacyl-sn-glycerol(16:0/14:0)</v>
          </cell>
        </row>
        <row r="14206">
          <cell r="A14206" t="str">
            <v>12dgr1819Z180_c</v>
          </cell>
          <cell r="B14206" t="str">
            <v>12dgr1819Z180</v>
          </cell>
          <cell r="C14206" t="str">
            <v>1,2-Diacyl-sn-glycerol(18:1(9Z)/18:0)</v>
          </cell>
        </row>
        <row r="14207">
          <cell r="A14207" t="str">
            <v>12dgr205n31619Z_c</v>
          </cell>
          <cell r="B14207" t="str">
            <v>12dgr205n31619Z</v>
          </cell>
          <cell r="C14207" t="str">
            <v>1,2-Diacyl-sn-glycerol(20:5(5Z,8Z,11Z,14Z,17Z)/16:1(9Z))</v>
          </cell>
        </row>
        <row r="14208">
          <cell r="A14208" t="str">
            <v>12dgr205n3180_c</v>
          </cell>
          <cell r="B14208" t="str">
            <v>12dgr205n3180</v>
          </cell>
          <cell r="C14208" t="str">
            <v>1,2-Diacyl-sn-glycerol(20:5(5Z,8Z,11Z,14Z,17Z)/18:0)</v>
          </cell>
        </row>
        <row r="14209">
          <cell r="A14209" t="str">
            <v>12dgr226n3180_c</v>
          </cell>
          <cell r="B14209" t="str">
            <v>12dgr226n3180</v>
          </cell>
          <cell r="C14209" t="str">
            <v>1,2-Diacyl-sn-glycerol(22:6(4Z,7Z,10Z,13Z,16Z,19Z)/18:0)</v>
          </cell>
        </row>
        <row r="14210">
          <cell r="A14210" t="str">
            <v>pc1401819Z_c</v>
          </cell>
          <cell r="B14210" t="str">
            <v>pc1401819Z</v>
          </cell>
          <cell r="C14210" t="str">
            <v>Phosphatidylcholine(14:0/18:1(9Z))</v>
          </cell>
        </row>
        <row r="14211">
          <cell r="A14211" t="str">
            <v>pc140226n3_c</v>
          </cell>
          <cell r="B14211" t="str">
            <v>pc140226n3</v>
          </cell>
          <cell r="C14211" t="str">
            <v>Phosphatidylcholine(14:0/22:6(4Z,7Z,10Z,13Z,16Z,19Z))</v>
          </cell>
        </row>
        <row r="14212">
          <cell r="A14212" t="str">
            <v>pc1601619Z_c</v>
          </cell>
          <cell r="B14212" t="str">
            <v>pc1601619Z</v>
          </cell>
          <cell r="C14212" t="str">
            <v>Phosphatidylcholine(16:0/16:1(9Z))</v>
          </cell>
        </row>
        <row r="14213">
          <cell r="A14213" t="str">
            <v>pc1601819Z_c</v>
          </cell>
          <cell r="B14213" t="str">
            <v>pc1601819Z</v>
          </cell>
          <cell r="C14213" t="str">
            <v>Phosphatidylcholine(16:0/18:1(9Z))</v>
          </cell>
        </row>
        <row r="14214">
          <cell r="A14214" t="str">
            <v>pc160226n3_c</v>
          </cell>
          <cell r="B14214" t="str">
            <v>pc160226n3</v>
          </cell>
          <cell r="C14214" t="str">
            <v>Phosphatidylcholine(16:0/22:6(4Z,7Z,10Z,13Z,16Z,19Z))</v>
          </cell>
        </row>
        <row r="14215">
          <cell r="A14215" t="str">
            <v>pc180160_c</v>
          </cell>
          <cell r="B14215" t="str">
            <v>pc180160</v>
          </cell>
          <cell r="C14215" t="str">
            <v>Phosphatidylcholine(18:0/16:0)</v>
          </cell>
        </row>
        <row r="14216">
          <cell r="A14216" t="str">
            <v>pc1801819Z_c</v>
          </cell>
          <cell r="B14216" t="str">
            <v>pc1801819Z</v>
          </cell>
          <cell r="C14216" t="str">
            <v>Phosphatidylcholine(18:0/18:1(9Z))</v>
          </cell>
        </row>
        <row r="14217">
          <cell r="A14217" t="str">
            <v>pc1819Z205n3_c</v>
          </cell>
          <cell r="B14217" t="str">
            <v>pc1819Z205n3</v>
          </cell>
          <cell r="C14217" t="str">
            <v>Phosphatidylcholine(18:1(9Z)/20:5(5Z,8Z,11Z,14Z,17Z))</v>
          </cell>
        </row>
        <row r="14218">
          <cell r="A14218" t="str">
            <v>pc205n31819Z_c</v>
          </cell>
          <cell r="B14218" t="str">
            <v>pc205n31819Z</v>
          </cell>
          <cell r="C14218" t="str">
            <v>Phosphatidylcholine(20:5(5Z,8Z,11Z,14Z,17Z)/18:1(9Z))</v>
          </cell>
        </row>
        <row r="14219">
          <cell r="A14219" t="str">
            <v>pc205n3_c</v>
          </cell>
          <cell r="B14219" t="str">
            <v>pc205n3</v>
          </cell>
          <cell r="C14219" t="str">
            <v>Phosphatidylcholine(20:5(5Z,8Z,11Z,14Z,17Z)/20:5(5Z,8Z,11Z,14Z,17Z))</v>
          </cell>
        </row>
        <row r="14220">
          <cell r="A14220" t="str">
            <v>pc226n3140_c</v>
          </cell>
          <cell r="B14220" t="str">
            <v>pc226n3140</v>
          </cell>
          <cell r="C14220" t="str">
            <v>Phosphatidylcholine(22:6(4Z,7Z,10Z,13Z,16Z,19Z)/14:0)</v>
          </cell>
        </row>
        <row r="14221">
          <cell r="A14221" t="str">
            <v>pc226n3160_c</v>
          </cell>
          <cell r="B14221" t="str">
            <v>pc226n3160</v>
          </cell>
          <cell r="C14221" t="str">
            <v>Phosphatidylcholine(22:6(4Z,7Z,10Z,13Z,16Z,19Z)/16:0)</v>
          </cell>
        </row>
        <row r="14222">
          <cell r="A14222" t="str">
            <v>pc226n3180_c</v>
          </cell>
          <cell r="B14222" t="str">
            <v>pc226n3180</v>
          </cell>
          <cell r="C14222" t="str">
            <v>Phosphatidylcholine(22:6(4Z,7Z,10Z,13Z,16Z,19Z)/18:0)</v>
          </cell>
        </row>
        <row r="14223">
          <cell r="A14223" t="str">
            <v>pc226n31819Z_c</v>
          </cell>
          <cell r="B14223" t="str">
            <v>pc226n31819Z</v>
          </cell>
          <cell r="C14223" t="str">
            <v>Phosphatidylcholine(22:6(4Z,7Z,10Z,13Z,16Z,19Z)/18:1(9Z))</v>
          </cell>
        </row>
        <row r="14224">
          <cell r="A14224" t="str">
            <v>pc160182n6_c</v>
          </cell>
          <cell r="B14224" t="str">
            <v>pc160182n6</v>
          </cell>
          <cell r="C14224" t="str">
            <v>Phosphatidylcholine(16:0/18:2(9Z,12Z))</v>
          </cell>
        </row>
        <row r="14225">
          <cell r="A14225" t="str">
            <v>pc1619Z182n6_c</v>
          </cell>
          <cell r="B14225" t="str">
            <v>pc1619Z182n6</v>
          </cell>
          <cell r="C14225" t="str">
            <v>Phosphatidylcholine(16:1(9Z)/18:2(9Z,12Z))</v>
          </cell>
        </row>
        <row r="14226">
          <cell r="A14226" t="str">
            <v>pc140183n3_c</v>
          </cell>
          <cell r="B14226" t="str">
            <v>pc140183n3</v>
          </cell>
          <cell r="C14226" t="str">
            <v>Phosphatidylcholine(14:0/18:3(9Z,12Z,15Z))</v>
          </cell>
        </row>
        <row r="14227">
          <cell r="A14227" t="str">
            <v>pc205n3183n3_c</v>
          </cell>
          <cell r="B14227" t="str">
            <v>pc205n3183n3</v>
          </cell>
          <cell r="C14227" t="str">
            <v>Phosphatidylcholine(20:5(5Z,8Z,11Z,14Z,17Z)/18:3(9Z,12Z,15Z))</v>
          </cell>
        </row>
        <row r="14228">
          <cell r="A14228" t="str">
            <v>pc182n6184n3_c</v>
          </cell>
          <cell r="B14228" t="str">
            <v>pc182n6184n3</v>
          </cell>
          <cell r="C14228" t="str">
            <v>Phosphatidylcholine(18:2(9Z,12Z)/18:4(6Z,9Z,12Z,15Z))</v>
          </cell>
        </row>
        <row r="14229">
          <cell r="A14229" t="str">
            <v>pc1819Z184n3_c</v>
          </cell>
          <cell r="B14229" t="str">
            <v>pc1819Z184n3</v>
          </cell>
          <cell r="C14229" t="str">
            <v>Phosphatidylcholine(18:1(9Z)/18:4(6Z,9Z,12Z,15Z))</v>
          </cell>
        </row>
        <row r="14230">
          <cell r="A14230" t="str">
            <v>pc205n3184n3_c</v>
          </cell>
          <cell r="B14230" t="str">
            <v>pc205n3184n3</v>
          </cell>
          <cell r="C14230" t="str">
            <v>Phosphatidylcholine(20:5(5Z,8Z,11Z,14Z,17Z)/18:4(6Z,9Z,12Z,15Z))</v>
          </cell>
        </row>
        <row r="14231">
          <cell r="A14231" t="str">
            <v>pc226n3184n3_c</v>
          </cell>
          <cell r="B14231" t="str">
            <v>pc226n3184n3</v>
          </cell>
          <cell r="C14231" t="str">
            <v>Phosphatidylcholine(22:6(4Z,7Z,10Z,13Z,16Z,19Z)/18:4(6Z,9Z,12Z,15Z))</v>
          </cell>
        </row>
        <row r="14232">
          <cell r="A14232" t="str">
            <v>1agpc161_c</v>
          </cell>
          <cell r="B14232" t="str">
            <v>1agpc161</v>
          </cell>
          <cell r="C14232" t="str">
            <v>1-16:1(9Z)-2-lysophosphatidylcholine</v>
          </cell>
        </row>
        <row r="14233">
          <cell r="A14233" t="str">
            <v>1agpc182_c</v>
          </cell>
          <cell r="B14233" t="str">
            <v>1agpc182</v>
          </cell>
          <cell r="C14233" t="str">
            <v>1-18:2(9Z,12Z)-2-lysophosphatidylcholine</v>
          </cell>
        </row>
        <row r="14234">
          <cell r="A14234" t="str">
            <v>1agpc226_c</v>
          </cell>
          <cell r="B14234" t="str">
            <v>1agpc226</v>
          </cell>
          <cell r="C14234" t="str">
            <v>1-22:6(4Z,7Z,10Z,13Z,16Z,19Z)-2-lysophosphatidylcholine</v>
          </cell>
        </row>
        <row r="14235">
          <cell r="A14235" t="str">
            <v>eicos2coa_c</v>
          </cell>
          <cell r="B14235" t="str">
            <v>eicos2coa</v>
          </cell>
          <cell r="C14235" t="str">
            <v>(2E)-eicosenoyl-CoA</v>
          </cell>
        </row>
        <row r="14236">
          <cell r="A14236" t="str">
            <v>docos2coa_c</v>
          </cell>
          <cell r="B14236" t="str">
            <v>docos2coa</v>
          </cell>
          <cell r="C14236" t="str">
            <v>(2E)-docosenoyl-CoA</v>
          </cell>
        </row>
        <row r="14237">
          <cell r="A14237" t="str">
            <v>eicos8111417coa_c</v>
          </cell>
          <cell r="B14237" t="str">
            <v>eicos8111417coa</v>
          </cell>
          <cell r="C14237" t="str">
            <v>(8Z,11Z,14Z,17Z)-eicosatetraenoyl-CoA</v>
          </cell>
        </row>
        <row r="14238">
          <cell r="A14238" t="str">
            <v>pc140203n3_c</v>
          </cell>
          <cell r="B14238" t="str">
            <v>pc140203n3</v>
          </cell>
          <cell r="C14238" t="str">
            <v>Phosphatidylcholine(14:0/20:4(8Z,11Z,14Z,17Z))</v>
          </cell>
        </row>
        <row r="14239">
          <cell r="A14239" t="str">
            <v>pc180203n3_c</v>
          </cell>
          <cell r="B14239" t="str">
            <v>pc180203n3</v>
          </cell>
          <cell r="C14239" t="str">
            <v>Phosphatidylcholine(18:0/20:4(8Z,11Z,14Z,17Z))</v>
          </cell>
        </row>
        <row r="14240">
          <cell r="A14240" t="str">
            <v>pc182n6203n6_c</v>
          </cell>
          <cell r="B14240" t="str">
            <v>pc182n6203n6</v>
          </cell>
          <cell r="C14240" t="str">
            <v>Phosphatidylcholine(18:2(9Z,12Z)/20:3(8Z,11Z,14Z))</v>
          </cell>
        </row>
        <row r="14241">
          <cell r="A14241" t="str">
            <v>pc140204n6_c</v>
          </cell>
          <cell r="B14241" t="str">
            <v>pc140204n6</v>
          </cell>
          <cell r="C14241" t="str">
            <v>Phosphatidylcholine(14:0/20:4(5Z,8Z,11Z,14Z))</v>
          </cell>
        </row>
        <row r="14242">
          <cell r="A14242" t="str">
            <v>pc160204n6_c</v>
          </cell>
          <cell r="B14242" t="str">
            <v>pc160204n6</v>
          </cell>
          <cell r="C14242" t="str">
            <v>Phosphatidylcholine(16:0/20:4(5Z,8Z,11Z,14Z))</v>
          </cell>
        </row>
        <row r="14243">
          <cell r="A14243" t="str">
            <v>pc1619Z204n6_c</v>
          </cell>
          <cell r="B14243" t="str">
            <v>pc1619Z204n6</v>
          </cell>
          <cell r="C14243" t="str">
            <v>Phosphatidylcholine(16:1(9Z)/20:4(5Z,8Z,11Z,14Z))</v>
          </cell>
        </row>
        <row r="14244">
          <cell r="A14244" t="str">
            <v>pc205n3204n6_c</v>
          </cell>
          <cell r="B14244" t="str">
            <v>pc205n3204n6</v>
          </cell>
          <cell r="C14244" t="str">
            <v>Phosphatidylcholine(20:5(5Z,8Z,11Z,14Z,17Z)/20:4(5Z,8Z,11Z,14Z))</v>
          </cell>
        </row>
        <row r="14245">
          <cell r="A14245" t="str">
            <v>pc1619Z225n3_c</v>
          </cell>
          <cell r="B14245" t="str">
            <v>pc1619Z225n3</v>
          </cell>
          <cell r="C14245" t="str">
            <v>Phosphatidylcholine(16:1(9Z)/22:5(7Z,10Z,13Z,16Z,19Z))</v>
          </cell>
        </row>
        <row r="14246">
          <cell r="A14246" t="str">
            <v>pa1619Z182n6_c</v>
          </cell>
          <cell r="B14246" t="str">
            <v>pa1619Z182n6</v>
          </cell>
          <cell r="C14246" t="str">
            <v>1-9-hexadecenoyl-2-9,12-octadecadienoyl-sn-glycerol-3-phosphate</v>
          </cell>
        </row>
        <row r="14247">
          <cell r="A14247" t="str">
            <v>pa182n6160_c</v>
          </cell>
          <cell r="B14247" t="str">
            <v>pa182n6160</v>
          </cell>
          <cell r="C14247" t="str">
            <v>1-9,12-octadecadienoyl-2-hexadecanoyl-sn-glycerol-3-phosphate</v>
          </cell>
        </row>
        <row r="14248">
          <cell r="A14248" t="str">
            <v>pa182n61619Z_c</v>
          </cell>
          <cell r="B14248" t="str">
            <v>pa182n61619Z</v>
          </cell>
          <cell r="C14248" t="str">
            <v>1-9,12-octadecadienoyl-2-9-hexadecenoyl-sn-glycerol-3-phosphate</v>
          </cell>
        </row>
        <row r="14249">
          <cell r="A14249" t="str">
            <v>pa182n6180_c</v>
          </cell>
          <cell r="B14249" t="str">
            <v>pa182n6180</v>
          </cell>
          <cell r="C14249" t="str">
            <v>1-9,12-octadecadienoyl-2-octadecanoyl-sn-glycerol-3-phosphate</v>
          </cell>
        </row>
        <row r="14250">
          <cell r="A14250" t="str">
            <v>pa182n6226n3_c</v>
          </cell>
          <cell r="B14250" t="str">
            <v>pa182n6226n3</v>
          </cell>
          <cell r="C14250" t="str">
            <v>1-9,12-octadecadienoyl-2-4,7,10,13,16,19-docosahexaenoyl-sn-glycerol-3-phosphate</v>
          </cell>
        </row>
        <row r="14251">
          <cell r="A14251" t="str">
            <v>pa160183n6_c</v>
          </cell>
          <cell r="B14251" t="str">
            <v>pa160183n6</v>
          </cell>
          <cell r="C14251" t="str">
            <v>1-hexadecanoyl-2-6,9,12-octadecatrienoyl-sn-glycerol-3-phosphate</v>
          </cell>
        </row>
        <row r="14252">
          <cell r="A14252" t="str">
            <v>pa205n3183n6_c</v>
          </cell>
          <cell r="B14252" t="str">
            <v>pa205n3183n6</v>
          </cell>
          <cell r="C14252" t="str">
            <v>1-5,8,11,14,17-eicosapentaenoyl-2-6,9,12-octadecatrienoyl-sn-glycerol-3-phosphate</v>
          </cell>
        </row>
        <row r="14253">
          <cell r="A14253" t="str">
            <v>pa226n3183n6_c</v>
          </cell>
          <cell r="B14253" t="str">
            <v>pa226n3183n6</v>
          </cell>
          <cell r="C14253" t="str">
            <v>1-4,7,10,13,16,19-docosahexaenoyl-2-6,9,12-octadecatrienoyl-sn-glycerol-3-phosphate</v>
          </cell>
        </row>
        <row r="14254">
          <cell r="A14254" t="str">
            <v>pa140183n3_c</v>
          </cell>
          <cell r="B14254" t="str">
            <v>pa140183n3</v>
          </cell>
          <cell r="C14254" t="str">
            <v>1-tetradecanoyl-2-9,12,15-octadecatrienoyl-sn-glycerol-3-phosphate</v>
          </cell>
        </row>
        <row r="14255">
          <cell r="A14255" t="str">
            <v>pa160183n3_c</v>
          </cell>
          <cell r="B14255" t="str">
            <v>pa160183n3</v>
          </cell>
          <cell r="C14255" t="str">
            <v>1-hexadecanoyl-2-9,12,15-octadecatrienoyl-sn-glycerol-3-phosphate</v>
          </cell>
        </row>
        <row r="14256">
          <cell r="A14256" t="str">
            <v>pa140204n6_c</v>
          </cell>
          <cell r="B14256" t="str">
            <v>pa140204n6</v>
          </cell>
          <cell r="C14256" t="str">
            <v>1-tetradecanoyl-2-5,8,11,14-eicosatetraenoyl-sn-glycerol-3-phosphate</v>
          </cell>
        </row>
        <row r="14257">
          <cell r="A14257" t="str">
            <v>pa205n3204n6_c</v>
          </cell>
          <cell r="B14257" t="str">
            <v>pa205n3204n6</v>
          </cell>
          <cell r="C14257" t="str">
            <v>1-5,8,11,14,17-eicosapentaenoyl-2-5,8,11,14-eicosatetraenoyl-sn-glycerol-3-phosphate</v>
          </cell>
        </row>
        <row r="14258">
          <cell r="A14258" t="str">
            <v>12dgr140182n6_c</v>
          </cell>
          <cell r="B14258" t="str">
            <v>12dgr140182n6</v>
          </cell>
          <cell r="C14258" t="str">
            <v>1,2-Diacyl-sn-glycerol(14:0/18:2(9Z,12Z))</v>
          </cell>
        </row>
        <row r="14259">
          <cell r="A14259" t="str">
            <v>12dgr180182n6_c</v>
          </cell>
          <cell r="B14259" t="str">
            <v>12dgr180182n6</v>
          </cell>
          <cell r="C14259" t="str">
            <v>1,2-Diacyl-sn-glycerol(18:0/18:2(9Z,12Z))</v>
          </cell>
        </row>
        <row r="14260">
          <cell r="A14260" t="str">
            <v>12dgr182n6160_c</v>
          </cell>
          <cell r="B14260" t="str">
            <v>12dgr182n6160</v>
          </cell>
          <cell r="C14260" t="str">
            <v>1,2-Diacyl-sn-glycerol(18:2(9Z,12Z)/16:0)</v>
          </cell>
        </row>
        <row r="14261">
          <cell r="A14261" t="str">
            <v>12dgr182n61819Z_c</v>
          </cell>
          <cell r="B14261" t="str">
            <v>12dgr182n61819Z</v>
          </cell>
          <cell r="C14261" t="str">
            <v>1,2-Diacyl-sn-glycerol(18:2(9Z,12Z)/18:1(9Z))</v>
          </cell>
        </row>
        <row r="14262">
          <cell r="A14262" t="str">
            <v>12dgr182n6205n3_c</v>
          </cell>
          <cell r="B14262" t="str">
            <v>12dgr182n6205n3</v>
          </cell>
          <cell r="C14262" t="str">
            <v>1,2-Diacyl-sn-glycerol(18:2(9Z,12Z)/20:5(5Z,8Z,11Z,14Z,17Z))</v>
          </cell>
        </row>
        <row r="14263">
          <cell r="A14263" t="str">
            <v>12dgr140183n6_c</v>
          </cell>
          <cell r="B14263" t="str">
            <v>12dgr140183n6</v>
          </cell>
          <cell r="C14263" t="str">
            <v>1,2-Diacyl-sn-glycerol(14:0/18:3(6Z,9Z,12Z))</v>
          </cell>
        </row>
        <row r="14264">
          <cell r="A14264" t="str">
            <v>12dgr160183n6_c</v>
          </cell>
          <cell r="B14264" t="str">
            <v>12dgr160183n6</v>
          </cell>
          <cell r="C14264" t="str">
            <v>1,2-Diacyl-sn-glycerol(16:0/18:3(6Z,9Z,12Z))</v>
          </cell>
        </row>
        <row r="14265">
          <cell r="A14265" t="str">
            <v>12dgr1619Z183n6_c</v>
          </cell>
          <cell r="B14265" t="str">
            <v>12dgr1619Z183n6</v>
          </cell>
          <cell r="C14265" t="str">
            <v>1,2-Diacyl-sn-glycerol(16:1(9Z)/18:3(6Z,9Z,12Z))</v>
          </cell>
        </row>
        <row r="14266">
          <cell r="A14266" t="str">
            <v>12dgr182n6183n6_c</v>
          </cell>
          <cell r="B14266" t="str">
            <v>12dgr182n6183n6</v>
          </cell>
          <cell r="C14266" t="str">
            <v>1,2-Diacyl-sn-glycerol(18:2(9Z,12Z)/18:3(6Z,9Z,12Z))</v>
          </cell>
        </row>
        <row r="14267">
          <cell r="A14267" t="str">
            <v>12dgr160183n3_c</v>
          </cell>
          <cell r="B14267" t="str">
            <v>12dgr160183n3</v>
          </cell>
          <cell r="C14267" t="str">
            <v>1,2-Diacyl-sn-glycerol(16:0/18:3(9Z,12Z,15Z))</v>
          </cell>
        </row>
        <row r="14268">
          <cell r="A14268" t="str">
            <v>12dgr182n6183n3_c</v>
          </cell>
          <cell r="B14268" t="str">
            <v>12dgr182n6183n3</v>
          </cell>
          <cell r="C14268" t="str">
            <v>1,2-Diacyl-sn-glycerol(18:2(9Z,12Z)/18:3(9Z,12Z,15Z))</v>
          </cell>
        </row>
        <row r="14269">
          <cell r="A14269" t="str">
            <v>12dgr1619Z204n6_c</v>
          </cell>
          <cell r="B14269" t="str">
            <v>12dgr1619Z204n6</v>
          </cell>
          <cell r="C14269" t="str">
            <v>1,2-Diacyl-sn-glycerol(16:1(9Z)/20:4(5Z,8Z,11Z,14Z))</v>
          </cell>
        </row>
        <row r="14270">
          <cell r="A14270" t="str">
            <v>cdp12dgr1601619Z_c</v>
          </cell>
          <cell r="B14270" t="str">
            <v>cdp12dgr1601619Z</v>
          </cell>
          <cell r="C14270" t="str">
            <v>CDP-1,2-diacyl-sn-glycerol(16:0/16:1(9Z))</v>
          </cell>
        </row>
        <row r="14271">
          <cell r="A14271" t="str">
            <v>cdp12dgr161_c</v>
          </cell>
          <cell r="B14271" t="str">
            <v>cdp12dgr161</v>
          </cell>
          <cell r="C14271" t="str">
            <v>CDP-1,2-diacyl-sn-glycerol(16:1(9Z)/16:1(9Z))</v>
          </cell>
        </row>
        <row r="14272">
          <cell r="A14272" t="str">
            <v>cdp12dgr182n61619Z_c</v>
          </cell>
          <cell r="B14272" t="str">
            <v>cdp12dgr182n61619Z</v>
          </cell>
          <cell r="C14272" t="str">
            <v>CDP-1,2-diacyl-sn-glycerol(18:2(9Z,12Z)/16:1(9Z))</v>
          </cell>
        </row>
        <row r="14273">
          <cell r="A14273" t="str">
            <v>cdp12dgr182n6205n3_c</v>
          </cell>
          <cell r="B14273" t="str">
            <v>cdp12dgr182n6205n3</v>
          </cell>
          <cell r="C14273" t="str">
            <v>CDP-1,2-diacyl-sn-glycerol(18:2(9Z,12Z)/20:5(5Z,8Z,11Z,14Z,17Z))</v>
          </cell>
        </row>
        <row r="14274">
          <cell r="A14274" t="str">
            <v>pe1401619Z_c</v>
          </cell>
          <cell r="B14274" t="str">
            <v>pe1401619Z</v>
          </cell>
          <cell r="C14274" t="str">
            <v>Phosphatidylethanolamine(14:0/16:1(9Z))</v>
          </cell>
        </row>
        <row r="14275">
          <cell r="A14275" t="str">
            <v>pe1601819Z_c</v>
          </cell>
          <cell r="B14275" t="str">
            <v>pe1601819Z</v>
          </cell>
          <cell r="C14275" t="str">
            <v>Phosphatidylethanolamine(16:0/18:1(9Z))</v>
          </cell>
        </row>
        <row r="14276">
          <cell r="A14276" t="str">
            <v>pe160205n3_c</v>
          </cell>
          <cell r="B14276" t="str">
            <v>pe160205n3</v>
          </cell>
          <cell r="C14276" t="str">
            <v>Phosphatidylethanolamine(16:0/20:5(5Z,8Z,11Z,14Z,17Z))</v>
          </cell>
        </row>
        <row r="14277">
          <cell r="A14277" t="str">
            <v>pe1619Z140_c</v>
          </cell>
          <cell r="B14277" t="str">
            <v>pe1619Z140</v>
          </cell>
          <cell r="C14277" t="str">
            <v>Phosphatidylethanolamine(16:1(9Z)/14:0)</v>
          </cell>
        </row>
        <row r="14278">
          <cell r="A14278" t="str">
            <v>pe1619Z160_c</v>
          </cell>
          <cell r="B14278" t="str">
            <v>pe1619Z160</v>
          </cell>
          <cell r="C14278" t="str">
            <v>Phosphatidylethanolamine(16:1(9Z)/16:0)</v>
          </cell>
        </row>
        <row r="14279">
          <cell r="A14279" t="str">
            <v>pe180160_c</v>
          </cell>
          <cell r="B14279" t="str">
            <v>pe180160</v>
          </cell>
          <cell r="C14279" t="str">
            <v>Phosphatidylethanolamine(18:0/16:0)</v>
          </cell>
        </row>
        <row r="14280">
          <cell r="A14280" t="str">
            <v>pe1801619Z_c</v>
          </cell>
          <cell r="B14280" t="str">
            <v>pe1801619Z</v>
          </cell>
          <cell r="C14280" t="str">
            <v>Phosphatidylethanolamine(18:0/16:1(9Z))</v>
          </cell>
        </row>
        <row r="14281">
          <cell r="A14281" t="str">
            <v>pe1819Z160_c</v>
          </cell>
          <cell r="B14281" t="str">
            <v>pe1819Z160</v>
          </cell>
          <cell r="C14281" t="str">
            <v>Phosphatidylethanolamine(18:1(9Z)/16:0)</v>
          </cell>
        </row>
        <row r="14282">
          <cell r="A14282" t="str">
            <v>pe1819Z205n3_c</v>
          </cell>
          <cell r="B14282" t="str">
            <v>pe1819Z205n3</v>
          </cell>
          <cell r="C14282" t="str">
            <v>Phosphatidylethanolamine(18:1(9Z)/20:5(5Z,8Z,11Z,14Z,17Z))</v>
          </cell>
        </row>
        <row r="14283">
          <cell r="A14283" t="str">
            <v>pe1819Z226n3_c</v>
          </cell>
          <cell r="B14283" t="str">
            <v>pe1819Z226n3</v>
          </cell>
          <cell r="C14283" t="str">
            <v>Phosphatidylethanolamine(18:1(9Z)/22:6(4Z,7Z,10Z,13Z,16Z,19Z))</v>
          </cell>
        </row>
        <row r="14284">
          <cell r="A14284" t="str">
            <v>pe205n3140_c</v>
          </cell>
          <cell r="B14284" t="str">
            <v>pe205n3140</v>
          </cell>
          <cell r="C14284" t="str">
            <v>Phosphatidylethanolamine(20:5(5Z,8Z,11Z,14Z,17Z)/14:0)</v>
          </cell>
        </row>
        <row r="14285">
          <cell r="A14285" t="str">
            <v>pe205n31819Z_c</v>
          </cell>
          <cell r="B14285" t="str">
            <v>pe205n31819Z</v>
          </cell>
          <cell r="C14285" t="str">
            <v>Phosphatidylethanolamine(20:5(5Z,8Z,11Z,14Z,17Z)/18:1(9Z))</v>
          </cell>
        </row>
        <row r="14286">
          <cell r="A14286" t="str">
            <v>pe205n3226n3_c</v>
          </cell>
          <cell r="B14286" t="str">
            <v>pe205n3226n3</v>
          </cell>
          <cell r="C14286" t="str">
            <v>Phosphatidylethanolamine(20:5(5Z,8Z,11Z,14Z,17Z)/22:6(4Z,7Z,10Z,13Z,16Z,19Z))</v>
          </cell>
        </row>
        <row r="14287">
          <cell r="A14287" t="str">
            <v>pe226n31619Z_c</v>
          </cell>
          <cell r="B14287" t="str">
            <v>pe226n31619Z</v>
          </cell>
          <cell r="C14287" t="str">
            <v>Phosphatidylethanolamine(22:6(4Z,7Z,10Z,13Z,16Z,19Z)/16:1(9Z))</v>
          </cell>
        </row>
        <row r="14288">
          <cell r="A14288" t="str">
            <v>pe226n3205n3_c</v>
          </cell>
          <cell r="B14288" t="str">
            <v>pe226n3205n3</v>
          </cell>
          <cell r="C14288" t="str">
            <v>Phosphatidylethanolamine(22:6(4Z,7Z,10Z,13Z,16Z,19Z)/20:5(5Z,8Z,11Z,14Z,17Z))</v>
          </cell>
        </row>
        <row r="14289">
          <cell r="A14289" t="str">
            <v>pe226n3_c</v>
          </cell>
          <cell r="B14289" t="str">
            <v>pe226n3</v>
          </cell>
          <cell r="C14289" t="str">
            <v>Phosphatidylethanolamine(22:6(4Z,7Z,10Z,13Z,16Z,19Z)/22:6(4Z,7Z,10Z,13Z,16Z,19Z))</v>
          </cell>
        </row>
        <row r="14290">
          <cell r="A14290" t="str">
            <v>pe182n6140_c</v>
          </cell>
          <cell r="B14290" t="str">
            <v>pe182n6140</v>
          </cell>
          <cell r="C14290" t="str">
            <v>Phosphatidylethanolamine(18:2(9Z,12Z)/14:0)</v>
          </cell>
        </row>
        <row r="14291">
          <cell r="A14291" t="str">
            <v>pe182n61619Z_c</v>
          </cell>
          <cell r="B14291" t="str">
            <v>pe182n61619Z</v>
          </cell>
          <cell r="C14291" t="str">
            <v>Phosphatidylethanolamine(18:2(9Z,12Z)/16:1(9Z))</v>
          </cell>
        </row>
        <row r="14292">
          <cell r="A14292" t="str">
            <v>pe182n6180_c</v>
          </cell>
          <cell r="B14292" t="str">
            <v>pe182n6180</v>
          </cell>
          <cell r="C14292" t="str">
            <v>Phosphatidylethanolamine(18:2(9Z,12Z)/18:0)</v>
          </cell>
        </row>
        <row r="14293">
          <cell r="A14293" t="str">
            <v>pe182_9_12_c</v>
          </cell>
          <cell r="B14293" t="str">
            <v>pe182_9_12</v>
          </cell>
          <cell r="C14293" t="str">
            <v>Phosphatidylethanolamine(18:2(9Z,12Z)/18:2(9Z,12Z))</v>
          </cell>
        </row>
        <row r="14294">
          <cell r="A14294" t="str">
            <v>pe205n3183n6_c</v>
          </cell>
          <cell r="B14294" t="str">
            <v>pe205n3183n6</v>
          </cell>
          <cell r="C14294" t="str">
            <v>Phosphatidylethanolamine(20:5(5Z,8Z,11Z,14Z,17Z)/18:3(6Z,9Z,12Z))</v>
          </cell>
        </row>
        <row r="14295">
          <cell r="A14295" t="str">
            <v>pe182n6183n3_c</v>
          </cell>
          <cell r="B14295" t="str">
            <v>pe182n6183n3</v>
          </cell>
          <cell r="C14295" t="str">
            <v>Phosphatidylethanolamine(18:2(9Z,12Z)/18:3(9Z,12Z,15Z))</v>
          </cell>
        </row>
        <row r="14296">
          <cell r="A14296" t="str">
            <v>pe180204n6_c</v>
          </cell>
          <cell r="B14296" t="str">
            <v>pe180204n6</v>
          </cell>
          <cell r="C14296" t="str">
            <v>Phosphatidylethanolamine(18:0/20:4(5Z,8Z,11Z,14Z))</v>
          </cell>
        </row>
        <row r="14297">
          <cell r="A14297" t="str">
            <v>pe1819Z204n6_c</v>
          </cell>
          <cell r="B14297" t="str">
            <v>pe1819Z204n6</v>
          </cell>
          <cell r="C14297" t="str">
            <v>Phosphatidylethanolamine(18:1(9Z)/20:4(5Z,8Z,11Z,14Z))</v>
          </cell>
        </row>
        <row r="14298">
          <cell r="A14298" t="str">
            <v>pail160_c</v>
          </cell>
          <cell r="B14298" t="str">
            <v>pail160</v>
          </cell>
          <cell r="C14298" t="str">
            <v>Phosphatidylinositol(16:0/16:0)</v>
          </cell>
        </row>
        <row r="14299">
          <cell r="A14299" t="str">
            <v>pail1619Z205n3_c</v>
          </cell>
          <cell r="B14299" t="str">
            <v>pail1619Z205n3</v>
          </cell>
          <cell r="C14299" t="str">
            <v>Phosphatidylinositol(16:1(9Z)/20:5(5Z,8Z,11Z,14Z,17Z))</v>
          </cell>
        </row>
        <row r="14300">
          <cell r="A14300" t="str">
            <v>pail182_9_12_c</v>
          </cell>
          <cell r="B14300" t="str">
            <v>pail182_9_12</v>
          </cell>
          <cell r="C14300" t="str">
            <v>Phosphatidylinositol(18:2(9Z,12Z)/18:2(9Z,12Z))</v>
          </cell>
        </row>
        <row r="14301">
          <cell r="A14301" t="str">
            <v>pail182n6205n3_c</v>
          </cell>
          <cell r="B14301" t="str">
            <v>pail182n6205n3</v>
          </cell>
          <cell r="C14301" t="str">
            <v>Phosphatidylinositol(18:2(9Z,12Z)/20:5(5Z,8Z,11Z,14Z,17Z))</v>
          </cell>
        </row>
        <row r="14302">
          <cell r="A14302" t="str">
            <v>pail4p1619Z160_c</v>
          </cell>
          <cell r="B14302" t="str">
            <v>pail4p1619Z160</v>
          </cell>
          <cell r="C14302" t="str">
            <v>1-Phosphatidyl-1D-myo-inositol 4-phosphate(16:1(9Z)/16:0)</v>
          </cell>
        </row>
        <row r="14303">
          <cell r="A14303" t="str">
            <v>pail4p205n3_c</v>
          </cell>
          <cell r="B14303" t="str">
            <v>pail4p205n3</v>
          </cell>
          <cell r="C14303" t="str">
            <v>1-Phosphatidyl-1D-myo-inositol 4-phosphate(20:5(5Z,8Z,11Z,14Z,17Z)/20:5(5Z,8Z,11Z,14Z,17Z))</v>
          </cell>
        </row>
        <row r="14304">
          <cell r="A14304" t="str">
            <v>pail4p1619Z182n6_c</v>
          </cell>
          <cell r="B14304" t="str">
            <v>pail4p1619Z182n6</v>
          </cell>
          <cell r="C14304" t="str">
            <v>1-Phosphatidyl-1D-myo-inositol 4-phosphate(16:1(9Z)/18:2(9Z,12Z))</v>
          </cell>
        </row>
        <row r="14305">
          <cell r="A14305" t="str">
            <v>pail4p182n61619Z_c</v>
          </cell>
          <cell r="B14305" t="str">
            <v>pail4p182n61619Z</v>
          </cell>
          <cell r="C14305" t="str">
            <v>1-Phosphatidyl-1D-myo-inositol 4-phosphate(18:2(9Z,12Z)/16:1(9Z))</v>
          </cell>
        </row>
        <row r="14306">
          <cell r="A14306" t="str">
            <v>pail45p1601619Z_c</v>
          </cell>
          <cell r="B14306" t="str">
            <v>pail45p1601619Z</v>
          </cell>
          <cell r="C14306" t="str">
            <v>1-Phosphatidyl-1D-myo-inositol 4,5-bisphosphate(16:0/16:1(9Z))</v>
          </cell>
        </row>
        <row r="14307">
          <cell r="A14307" t="str">
            <v>pail45p1619Z205n3_c</v>
          </cell>
          <cell r="B14307" t="str">
            <v>pail45p1619Z205n3</v>
          </cell>
          <cell r="C14307" t="str">
            <v>1-Phosphatidyl-1D-myo-inositol 4,5-bisphosphate(16:1(9Z)/20:5(5Z,8Z,11Z,14Z,17Z))</v>
          </cell>
        </row>
        <row r="14308">
          <cell r="A14308" t="str">
            <v>pail45p205n31619Z_c</v>
          </cell>
          <cell r="B14308" t="str">
            <v>pail45p205n31619Z</v>
          </cell>
          <cell r="C14308" t="str">
            <v>1-Phosphatidyl-1D-myo-inositol 4,5-bisphosphate(20:5(5Z,8Z,11Z,14Z,17Z)/16:1(9Z))</v>
          </cell>
        </row>
        <row r="14309">
          <cell r="A14309" t="str">
            <v>pail45p182n61619Z_c</v>
          </cell>
          <cell r="B14309" t="str">
            <v>pail45p182n61619Z</v>
          </cell>
          <cell r="C14309" t="str">
            <v>1-Phosphatidyl-1D-myo-inositol 4,5-bisphosphate(18:2(9Z,12Z)/16:1(9Z))</v>
          </cell>
        </row>
        <row r="14310">
          <cell r="A14310" t="str">
            <v>pail3p161_c</v>
          </cell>
          <cell r="B14310" t="str">
            <v>pail3p161</v>
          </cell>
          <cell r="C14310" t="str">
            <v>1-Phosphatidyl-1D-myo-inositol 3-phosphate(16:1(9Z)/16:1(9Z))</v>
          </cell>
        </row>
        <row r="14311">
          <cell r="A14311" t="str">
            <v>pail3p205n3160_c</v>
          </cell>
          <cell r="B14311" t="str">
            <v>pail3p205n3160</v>
          </cell>
          <cell r="C14311" t="str">
            <v>1-Phosphatidyl-1D-myo-inositol 3-phosphate(20:5(5Z,8Z,11Z,14Z,17Z)/16:0)</v>
          </cell>
        </row>
        <row r="14312">
          <cell r="A14312" t="str">
            <v>pail3p1619Z182n6_c</v>
          </cell>
          <cell r="B14312" t="str">
            <v>pail3p1619Z182n6</v>
          </cell>
          <cell r="C14312" t="str">
            <v>1-Phosphatidyl-1D-myo-inositol 3-phosphate(16:1(9Z)/18:2(9Z,12Z))</v>
          </cell>
        </row>
        <row r="14313">
          <cell r="A14313" t="str">
            <v>pail3p182n61619Z_c</v>
          </cell>
          <cell r="B14313" t="str">
            <v>pail3p182n61619Z</v>
          </cell>
          <cell r="C14313" t="str">
            <v>1-Phosphatidyl-1D-myo-inositol 3-phosphate(18:2(9Z,12Z)/16:1(9Z))</v>
          </cell>
        </row>
        <row r="14314">
          <cell r="A14314" t="str">
            <v>pail3p182_9_12_c</v>
          </cell>
          <cell r="B14314" t="str">
            <v>pail3p182_9_12</v>
          </cell>
          <cell r="C14314" t="str">
            <v>1-Phosphatidyl-1D-myo-inositol 3-phosphate(18:2(9Z,12Z)/18:2(9Z,12Z))</v>
          </cell>
        </row>
        <row r="14315">
          <cell r="A14315" t="str">
            <v>1agpe226_c</v>
          </cell>
          <cell r="B14315" t="str">
            <v>1agpe226</v>
          </cell>
          <cell r="C14315" t="str">
            <v>1-22:6(4Z,7Z,10Z,13Z,16Z,19Z)-2-lysophosphatidylethanolamine</v>
          </cell>
        </row>
        <row r="14316">
          <cell r="A14316" t="str">
            <v>tag160160183n6_c</v>
          </cell>
          <cell r="B14316" t="str">
            <v>tag160160183n6</v>
          </cell>
          <cell r="C14316" t="str">
            <v>Triacylglycerol (16:0/16:0/18:3(6Z,9Z,12Z))</v>
          </cell>
        </row>
        <row r="14317">
          <cell r="A14317" t="str">
            <v>tag160204n6160_c</v>
          </cell>
          <cell r="B14317" t="str">
            <v>tag160204n6160</v>
          </cell>
          <cell r="C14317" t="str">
            <v>Triacylglycerol (16:0/20:4(5Z,8Z,11Z,14Z)/16:0)</v>
          </cell>
        </row>
        <row r="14318">
          <cell r="A14318" t="str">
            <v>tag1619Z140182n6_c</v>
          </cell>
          <cell r="B14318" t="str">
            <v>tag1619Z140182n6</v>
          </cell>
          <cell r="C14318" t="str">
            <v>Triacylglycerol (16:1(9Z)/14:0/18:2(9Z,12Z))</v>
          </cell>
        </row>
        <row r="14319">
          <cell r="A14319" t="str">
            <v>tag1601619Z183n6_c</v>
          </cell>
          <cell r="B14319" t="str">
            <v>tag1601619Z183n6</v>
          </cell>
          <cell r="C14319" t="str">
            <v>Triacylglycerol (16:0/16:1(9Z)/18:3(6Z,9Z,12Z))</v>
          </cell>
        </row>
        <row r="14320">
          <cell r="A14320" t="str">
            <v>tag1819Z205n3226n3_c</v>
          </cell>
          <cell r="B14320" t="str">
            <v>tag1819Z205n3226n3</v>
          </cell>
          <cell r="C14320" t="str">
            <v>Triacylglycerol (18:1(9Z)/20:5(5Z,8Z,11Z,14Z,17Z)/22:6(4Z,7Z,10Z,13Z,16Z,19Z))</v>
          </cell>
        </row>
        <row r="14321">
          <cell r="A14321" t="str">
            <v>tag1619Z160182n6_c</v>
          </cell>
          <cell r="B14321" t="str">
            <v>tag1619Z160182n6</v>
          </cell>
          <cell r="C14321" t="str">
            <v>Triacylglycerol (16:1(9Z)/16:0/18:2(9Z,12Z))</v>
          </cell>
        </row>
        <row r="14322">
          <cell r="A14322" t="str">
            <v>tag160160160_c</v>
          </cell>
          <cell r="B14322" t="str">
            <v>tag160160160</v>
          </cell>
          <cell r="C14322" t="str">
            <v>Triacylglycerol (16:0/16:0/16:0)</v>
          </cell>
        </row>
        <row r="14323">
          <cell r="A14323" t="str">
            <v>tag1619Z1619Z183n6_c</v>
          </cell>
          <cell r="B14323" t="str">
            <v>tag1619Z1619Z183n6</v>
          </cell>
          <cell r="C14323" t="str">
            <v>Triacylglycerol (16:1(9Z)/16:1(9Z)/18:3(6Z,9Z,12Z))</v>
          </cell>
        </row>
        <row r="14324">
          <cell r="A14324" t="str">
            <v>tag1619Z1619Z182n6_c</v>
          </cell>
          <cell r="B14324" t="str">
            <v>tag1619Z1619Z182n6</v>
          </cell>
          <cell r="C14324" t="str">
            <v>Triacylglycerol (16:1(9Z)/16:1(9Z)/18:2(9Z,12Z))</v>
          </cell>
        </row>
        <row r="14325">
          <cell r="A14325" t="str">
            <v>tag1819Z1619Z1619Z_c</v>
          </cell>
          <cell r="B14325" t="str">
            <v>tag1819Z1619Z1619Z</v>
          </cell>
          <cell r="C14325" t="str">
            <v>Triacylglycerol (18:1(9Z)/16:1(9Z)/16:1(9Z))</v>
          </cell>
        </row>
        <row r="14326">
          <cell r="A14326" t="str">
            <v>tag1619Z205n3183n6_c</v>
          </cell>
          <cell r="B14326" t="str">
            <v>tag1619Z205n3183n6</v>
          </cell>
          <cell r="C14326" t="str">
            <v>Triacylglycerol (16:1(9Z)/20:5(5Z,8Z,11Z,14Z,17Z)/18:3(6Z,9Z,12Z))</v>
          </cell>
        </row>
        <row r="14327">
          <cell r="A14327" t="str">
            <v>mag140_c</v>
          </cell>
          <cell r="B14327" t="str">
            <v>mag140</v>
          </cell>
          <cell r="C14327" t="str">
            <v>1-acylglycerol (14:0)</v>
          </cell>
        </row>
        <row r="14328">
          <cell r="A14328" t="str">
            <v>mag226n3_c</v>
          </cell>
          <cell r="B14328" t="str">
            <v>mag226n3</v>
          </cell>
          <cell r="C14328" t="str">
            <v>1-acylglycerol (22:6(4Z,7Z,10Z,13Z,16Z,19Z))</v>
          </cell>
        </row>
        <row r="14329">
          <cell r="A14329" t="str">
            <v>1hdec9eg3p_h</v>
          </cell>
          <cell r="B14329" t="str">
            <v>1hdec9eg3p</v>
          </cell>
          <cell r="C14329" t="str">
            <v>1-hexadec-9-enoyl-sn-glycerol 3-phosphate</v>
          </cell>
        </row>
        <row r="14330">
          <cell r="A14330" t="str">
            <v>pa140160_h</v>
          </cell>
          <cell r="B14330" t="str">
            <v>pa140160</v>
          </cell>
          <cell r="C14330" t="str">
            <v>1-tetradecanoyl-2-hexadecanoyl-sn-glycerol-3-phosphate</v>
          </cell>
        </row>
        <row r="14331">
          <cell r="A14331" t="str">
            <v>pa161_h</v>
          </cell>
          <cell r="B14331" t="str">
            <v>pa161</v>
          </cell>
          <cell r="C14331" t="str">
            <v>1,2-dihexadec-9-enoyl-sn-glycerol 3-phosphate</v>
          </cell>
        </row>
        <row r="14332">
          <cell r="A14332" t="str">
            <v>12dgr161_h</v>
          </cell>
          <cell r="B14332" t="str">
            <v>12dgr161</v>
          </cell>
          <cell r="C14332" t="str">
            <v>1,2-Diacyl-sn-glycerol (dihexadec-9-enoyl, n-C16:1)</v>
          </cell>
        </row>
        <row r="14333">
          <cell r="A14333" t="str">
            <v>12dgr205n3160_h</v>
          </cell>
          <cell r="B14333" t="str">
            <v>12dgr205n3160</v>
          </cell>
          <cell r="C14333" t="str">
            <v>1,2-Diacyl-sn-glycerol(20:5(5Z,8Z,11Z,14Z,17Z)/16:0)</v>
          </cell>
        </row>
        <row r="14334">
          <cell r="A14334" t="str">
            <v>mgdg140160_h</v>
          </cell>
          <cell r="B14334" t="str">
            <v>mgdg140160</v>
          </cell>
          <cell r="C14334" t="str">
            <v>1,2-Diacyl-3-O-galactosyl-sn-glycerol(14:0/16:0)</v>
          </cell>
        </row>
        <row r="14335">
          <cell r="A14335" t="str">
            <v>mgdg140162n4_h</v>
          </cell>
          <cell r="B14335" t="str">
            <v>mgdg140162n4</v>
          </cell>
          <cell r="C14335" t="str">
            <v>1,2-Diacyl-3-O-galactosyl-sn-glycerol(14:0/16:2(9Z,12Z))</v>
          </cell>
        </row>
        <row r="14336">
          <cell r="A14336" t="str">
            <v>mgdg1619Z162n4_h</v>
          </cell>
          <cell r="B14336" t="str">
            <v>mgdg1619Z162n4</v>
          </cell>
          <cell r="C14336" t="str">
            <v>1,2-Diacyl-3-O-galactosyl-sn-glycerol(16:1(9Z)/16:2(9Z,12Z))</v>
          </cell>
        </row>
        <row r="14337">
          <cell r="A14337" t="str">
            <v>mgdg205n3162n4_h</v>
          </cell>
          <cell r="B14337" t="str">
            <v>mgdg205n3162n4</v>
          </cell>
          <cell r="C14337" t="str">
            <v>1,2-Diacyl-3-O-galactosyl-sn-glycerol(20:5(5Z,8Z,11Z,14Z,17Z)/16:2(9Z,12Z))</v>
          </cell>
        </row>
        <row r="14338">
          <cell r="A14338" t="str">
            <v>sqdg140160_h</v>
          </cell>
          <cell r="B14338" t="str">
            <v>sqdg140160</v>
          </cell>
          <cell r="C14338" t="str">
            <v>Sulfoquinovosyl diacylglycerol(14:0/16:0)</v>
          </cell>
        </row>
        <row r="14339">
          <cell r="A14339" t="str">
            <v>sqdg161_h</v>
          </cell>
          <cell r="B14339" t="str">
            <v>sqdg161</v>
          </cell>
          <cell r="C14339" t="str">
            <v>Sulfoquinovosyldiacylglycerol (n-C16 1)</v>
          </cell>
        </row>
        <row r="14340">
          <cell r="A14340" t="str">
            <v>sqdg205n3160_h</v>
          </cell>
          <cell r="B14340" t="str">
            <v>sqdg205n3160</v>
          </cell>
          <cell r="C14340" t="str">
            <v>Sulfoquinovosyl diacylglycerol(20:5(5Z,8Z,11Z,14Z,17Z)/16:0)</v>
          </cell>
        </row>
        <row r="14341">
          <cell r="A14341" t="str">
            <v>pg205n31613E_h</v>
          </cell>
          <cell r="B14341" t="str">
            <v>pg205n31613E</v>
          </cell>
          <cell r="C14341" t="str">
            <v>Phosphatidylglycerol(20:5(5Z,8Z,11Z,14Z,17Z)/16:1(3E))</v>
          </cell>
        </row>
        <row r="14342">
          <cell r="A14342" t="str">
            <v>12dgr1619Z162n4_h</v>
          </cell>
          <cell r="B14342" t="str">
            <v>12dgr1619Z162n4</v>
          </cell>
          <cell r="C14342" t="str">
            <v>1,2-Diacyl-sn-glycerol(16:1(9Z)/16:2(9Z,12Z))</v>
          </cell>
        </row>
        <row r="14343">
          <cell r="A14343" t="str">
            <v>12dgr205n3163n4_h</v>
          </cell>
          <cell r="B14343" t="str">
            <v>12dgr205n3163n4</v>
          </cell>
          <cell r="C14343" t="str">
            <v>1,2-Diacyl-sn-glycerol(20:5(5Z,8Z,11Z,14Z,17Z)/16:3(6Z,9Z,12Z))</v>
          </cell>
        </row>
        <row r="14344">
          <cell r="A14344" t="str">
            <v>12dgr205n3164n1_h</v>
          </cell>
          <cell r="B14344" t="str">
            <v>12dgr205n3164n1</v>
          </cell>
          <cell r="C14344" t="str">
            <v>1,2-Diacyl-sn-glycerol(20:5(5Z,8Z,11Z,14Z,17Z)/16:4(6Z,9Z,12Z,15Z))</v>
          </cell>
        </row>
        <row r="14345">
          <cell r="A14345" t="str">
            <v>tag1619Z1619Z1619Z_h</v>
          </cell>
          <cell r="B14345" t="str">
            <v>tag1619Z1619Z1619Z</v>
          </cell>
          <cell r="C14345" t="str">
            <v>Triacylglycerol (16:1(9Z)/16:1(9Z)/16:1(9Z))</v>
          </cell>
        </row>
        <row r="14346">
          <cell r="A14346" t="str">
            <v>tag1619Z1619Z1819Z_h</v>
          </cell>
          <cell r="B14346" t="str">
            <v>tag1619Z1619Z1819Z</v>
          </cell>
          <cell r="C14346" t="str">
            <v>Triacylglycerol (16:1(9Z)/16:1(9Z)/18:1(9Z))</v>
          </cell>
        </row>
        <row r="14347">
          <cell r="A14347" t="str">
            <v>tag1819Z160160_h</v>
          </cell>
          <cell r="B14347" t="str">
            <v>tag1819Z160160</v>
          </cell>
          <cell r="C14347" t="str">
            <v>Triacylglycerol (18:1(9Z)/16:0/16:0)</v>
          </cell>
        </row>
        <row r="14348">
          <cell r="A14348" t="str">
            <v>tag1619Z226n3164n1_c</v>
          </cell>
          <cell r="B14348" t="str">
            <v>tag1619Z226n3164n1</v>
          </cell>
          <cell r="C14348" t="str">
            <v>Triacylglycerol (16:1(9Z)/22:6(4Z,7Z,10Z,13Z,16Z,19Z)/16:4(6Z,9Z,12Z,15Z))</v>
          </cell>
        </row>
        <row r="14349">
          <cell r="A14349" t="str">
            <v>tag205n3205n3164n1_c</v>
          </cell>
          <cell r="B14349" t="str">
            <v>tag205n3205n3164n1</v>
          </cell>
          <cell r="C14349" t="str">
            <v>Triacylglycerol (20:5(5Z,8Z,11Z,14Z,17Z)/20:5(5Z,8Z,11Z,14Z,17Z)/16:4(6Z,9Z,12Z,15Z))</v>
          </cell>
        </row>
        <row r="14350">
          <cell r="A14350" t="str">
            <v>dggl_c</v>
          </cell>
          <cell r="B14350" t="str">
            <v>dggl</v>
          </cell>
          <cell r="C14350" t="str">
            <v>3-(6-O-alpha-D-galactosyl-beta-D-Galactosyl)-sn-glycerol</v>
          </cell>
        </row>
        <row r="14351">
          <cell r="A14351" t="str">
            <v>mgdg205n31619Z_c</v>
          </cell>
          <cell r="B14351" t="str">
            <v>mgdg205n31619Z</v>
          </cell>
          <cell r="C14351" t="str">
            <v>1,2-Diacyl-3-O-galactosyl-sn-glycerol(20:5(5Z,8Z,11Z,14Z,17Z)/16:1(9Z))</v>
          </cell>
        </row>
        <row r="14352">
          <cell r="A14352" t="str">
            <v>dgdg205n31619Z_c</v>
          </cell>
          <cell r="B14352" t="str">
            <v>dgdg205n31619Z</v>
          </cell>
          <cell r="C14352" t="str">
            <v>Digalactosyl-diacylglycerol(20:5(5Z,8Z,11Z,14Z,17Z)/16:1(9Z))</v>
          </cell>
        </row>
        <row r="14353">
          <cell r="A14353" t="str">
            <v>docos2coa_x</v>
          </cell>
          <cell r="B14353" t="str">
            <v>docos2coa</v>
          </cell>
          <cell r="C14353" t="str">
            <v>(2E)-docosenoyl-CoA</v>
          </cell>
        </row>
        <row r="14354">
          <cell r="A14354" t="str">
            <v>eicos2coa_x</v>
          </cell>
          <cell r="B14354" t="str">
            <v>eicos2coa</v>
          </cell>
          <cell r="C14354" t="str">
            <v>(2E)-eicosenoyl-CoA</v>
          </cell>
        </row>
        <row r="14355">
          <cell r="A14355" t="str">
            <v>eico2581114coa_x</v>
          </cell>
          <cell r="B14355" t="str">
            <v>eico2581114coa</v>
          </cell>
          <cell r="C14355" t="str">
            <v>(2E,5Z,8Z,11Z,14Z)-eicosapentaenoyl-CoA</v>
          </cell>
        </row>
        <row r="14356">
          <cell r="A14356" t="str">
            <v>3heico581114coa_x</v>
          </cell>
          <cell r="B14356" t="str">
            <v>3heico581114coa</v>
          </cell>
          <cell r="C14356" t="str">
            <v>3-hydroxy-(5Z,8Z,11Z,14Z)-eicosatetraenoyl-CoA</v>
          </cell>
        </row>
        <row r="14357">
          <cell r="A14357" t="str">
            <v>3hhd710coa_x</v>
          </cell>
          <cell r="B14357" t="str">
            <v>3hhd710coa</v>
          </cell>
          <cell r="C14357" t="str">
            <v>3-hydroxy-(7Z,10Z)-hexadecadienoyl-CoA</v>
          </cell>
        </row>
        <row r="14358">
          <cell r="A14358" t="str">
            <v>3htd58coa_x</v>
          </cell>
          <cell r="B14358" t="str">
            <v>3htd58coa</v>
          </cell>
          <cell r="C14358" t="str">
            <v>3-hydroxy-(5Z,8Z)-tetradecadienoyl-CoA</v>
          </cell>
        </row>
        <row r="14359">
          <cell r="A14359" t="str">
            <v>3od6coa_x</v>
          </cell>
          <cell r="B14359" t="str">
            <v>3od6coa</v>
          </cell>
          <cell r="C14359" t="str">
            <v>3-oxo-(6Z)-dodecenoyl-CoA</v>
          </cell>
        </row>
        <row r="14360">
          <cell r="A14360" t="str">
            <v>dc3coa_x</v>
          </cell>
          <cell r="B14360" t="str">
            <v>dc3coa</v>
          </cell>
          <cell r="C14360" t="str">
            <v>(3E)-decenoyl-CoA</v>
          </cell>
        </row>
        <row r="14361">
          <cell r="A14361" t="str">
            <v>3oeico58111417coa_x</v>
          </cell>
          <cell r="B14361" t="str">
            <v>3oeico58111417coa</v>
          </cell>
          <cell r="C14361" t="str">
            <v>3-oxo-(5Z,8Z,11Z,14Z,17Z)-eicosapentaenoyl-CoA</v>
          </cell>
        </row>
        <row r="14362">
          <cell r="A14362" t="str">
            <v>hd371013coa_x</v>
          </cell>
          <cell r="B14362" t="str">
            <v>hd371013coa</v>
          </cell>
          <cell r="C14362" t="str">
            <v>(3E,7Z,10Z,13Z)-hexadecatetraenoyl-CoA</v>
          </cell>
        </row>
        <row r="14363">
          <cell r="A14363" t="str">
            <v>td25811coa_x</v>
          </cell>
          <cell r="B14363" t="str">
            <v>td25811coa</v>
          </cell>
          <cell r="C14363" t="str">
            <v>(2E,5Z,8Z,11Z)-tetradecatetraenoyl-CoA</v>
          </cell>
        </row>
        <row r="14364">
          <cell r="A14364" t="str">
            <v>dd369coa_x</v>
          </cell>
          <cell r="B14364" t="str">
            <v>dd369coa</v>
          </cell>
          <cell r="C14364" t="str">
            <v>(3Z,6Z,9Z)-dodecatrienoyl-CoA</v>
          </cell>
        </row>
        <row r="14365">
          <cell r="A14365" t="str">
            <v>3od69coa_x</v>
          </cell>
          <cell r="B14365" t="str">
            <v>3od69coa</v>
          </cell>
          <cell r="C14365" t="str">
            <v>3-oxo-(6Z,9Z)-dodecadienoyl-CoA</v>
          </cell>
        </row>
        <row r="14366">
          <cell r="A14366" t="str">
            <v>3hdc7coa_x</v>
          </cell>
          <cell r="B14366" t="str">
            <v>3hdc7coa</v>
          </cell>
          <cell r="C14366" t="str">
            <v>3-hydroxy-(7Z)-decenoyl-CoA</v>
          </cell>
        </row>
        <row r="14367">
          <cell r="A14367" t="str">
            <v>3odcos710131619coa_x</v>
          </cell>
          <cell r="B14367" t="str">
            <v>3odcos710131619coa</v>
          </cell>
          <cell r="C14367" t="str">
            <v>3-oxo-(7Z,10Z,13Z,16Z,19Z)-docosapentaenoyl-CoA</v>
          </cell>
        </row>
        <row r="14368">
          <cell r="A14368" t="str">
            <v>tmlys_m</v>
          </cell>
          <cell r="B14368" t="str">
            <v>tmlys</v>
          </cell>
          <cell r="C14368" t="str">
            <v>N6,N6,N6-Trimethyl-L-lysine</v>
          </cell>
        </row>
        <row r="14369">
          <cell r="A14369" t="str">
            <v>gbbtn_m</v>
          </cell>
          <cell r="B14369" t="str">
            <v>gbbtn</v>
          </cell>
          <cell r="C14369" t="str">
            <v>Gamma-butyrobetaine</v>
          </cell>
        </row>
        <row r="14370">
          <cell r="A14370" t="str">
            <v>hd6912crn_c</v>
          </cell>
          <cell r="B14370" t="str">
            <v>hd6912crn</v>
          </cell>
          <cell r="C14370" t="str">
            <v>(6Z,9Z,12Z)-hexadecatrienoyl-l-carnitine</v>
          </cell>
        </row>
        <row r="14371">
          <cell r="A14371" t="str">
            <v>oc5crn_m</v>
          </cell>
          <cell r="B14371" t="str">
            <v>oc5crn</v>
          </cell>
          <cell r="C14371" t="str">
            <v>(5Z)-octenoyl-l-carnitine</v>
          </cell>
        </row>
        <row r="14372">
          <cell r="A14372" t="str">
            <v>hd691215crn_m</v>
          </cell>
          <cell r="B14372" t="str">
            <v>hd691215crn</v>
          </cell>
          <cell r="C14372" t="str">
            <v>(6Z,9Z,12Z,15Z)-hexadecatetrenoyl-l-carnitine</v>
          </cell>
        </row>
        <row r="14373">
          <cell r="A14373" t="str">
            <v>hd691215coa_m</v>
          </cell>
          <cell r="B14373" t="str">
            <v>hd691215coa</v>
          </cell>
          <cell r="C14373" t="str">
            <v>(6Z,9Z,12Z,15Z)-hexadecatetraenoyl-CoA (C16:4)</v>
          </cell>
        </row>
        <row r="14374">
          <cell r="A14374" t="str">
            <v>3ohodcoa_m</v>
          </cell>
          <cell r="B14374" t="str">
            <v>3ohodcoa</v>
          </cell>
          <cell r="C14374" t="str">
            <v>3-Oxooctadecanoyl-CoA</v>
          </cell>
        </row>
        <row r="14375">
          <cell r="A14375" t="str">
            <v>od29coa_m</v>
          </cell>
          <cell r="B14375" t="str">
            <v>od29coa</v>
          </cell>
          <cell r="C14375" t="str">
            <v>(2E,9Z)-octadecadienoyl-CoA</v>
          </cell>
        </row>
        <row r="14376">
          <cell r="A14376" t="str">
            <v>hd7coa_m</v>
          </cell>
          <cell r="B14376" t="str">
            <v>hd7coa</v>
          </cell>
          <cell r="C14376" t="str">
            <v>(7Z)-hexadecenoyl-CoA</v>
          </cell>
        </row>
        <row r="14377">
          <cell r="A14377" t="str">
            <v>hd27coa_m</v>
          </cell>
          <cell r="B14377" t="str">
            <v>hd27coa</v>
          </cell>
          <cell r="C14377" t="str">
            <v>(2E,7Z)-hexadecadienoyl-CoA</v>
          </cell>
        </row>
        <row r="14378">
          <cell r="A14378" t="str">
            <v>3hhd7coa_m</v>
          </cell>
          <cell r="B14378" t="str">
            <v>3hhd7coa</v>
          </cell>
          <cell r="C14378" t="str">
            <v>3-hydroxy-(7Z)-hexadecenoyl-CoA</v>
          </cell>
        </row>
        <row r="14379">
          <cell r="A14379" t="str">
            <v>hd2710coa_m</v>
          </cell>
          <cell r="B14379" t="str">
            <v>hd2710coa</v>
          </cell>
          <cell r="C14379" t="str">
            <v>(2E,7Z,10Z)-hexadecatrienoyl-CoA</v>
          </cell>
        </row>
        <row r="14380">
          <cell r="A14380" t="str">
            <v>3ohd710coa_m</v>
          </cell>
          <cell r="B14380" t="str">
            <v>3ohd710coa</v>
          </cell>
          <cell r="C14380" t="str">
            <v>3-oxo-(7Z,10Z)-hexadecadienoyl-CoA</v>
          </cell>
        </row>
        <row r="14381">
          <cell r="A14381" t="str">
            <v>td258coa_m</v>
          </cell>
          <cell r="B14381" t="str">
            <v>td258coa</v>
          </cell>
          <cell r="C14381" t="str">
            <v>(2E,5Z,8Z)-tetradecatrienoyl-CoA</v>
          </cell>
        </row>
        <row r="14382">
          <cell r="A14382" t="str">
            <v>3hd6coa_m</v>
          </cell>
          <cell r="B14382" t="str">
            <v>3hd6coa</v>
          </cell>
          <cell r="C14382" t="str">
            <v>3-hydroxy-(6Z)-dodecenoyl-CoA</v>
          </cell>
        </row>
        <row r="14383">
          <cell r="A14383" t="str">
            <v>dd4coa_m</v>
          </cell>
          <cell r="B14383" t="str">
            <v>dd4coa</v>
          </cell>
          <cell r="C14383" t="str">
            <v>(4Z)-decenoyl-CoA</v>
          </cell>
        </row>
        <row r="14384">
          <cell r="A14384" t="str">
            <v>c4dde2coa_m</v>
          </cell>
          <cell r="B14384" t="str">
            <v>c4dde2coa</v>
          </cell>
          <cell r="C14384" t="str">
            <v>(2E,4Z)-decadienoyl-CoA</v>
          </cell>
        </row>
        <row r="14385">
          <cell r="A14385" t="str">
            <v>hd24710coa_m</v>
          </cell>
          <cell r="B14385" t="str">
            <v>hd24710coa</v>
          </cell>
          <cell r="C14385" t="str">
            <v>(2E,4Z,7Z,10Z)-hexadecatetraenoyl-CoA</v>
          </cell>
        </row>
        <row r="14386">
          <cell r="A14386" t="str">
            <v>hd3710coa_m</v>
          </cell>
          <cell r="B14386" t="str">
            <v>hd3710coa</v>
          </cell>
          <cell r="C14386" t="str">
            <v>(3E,7Z,10Z)-hexadecatrienoyl-CoA</v>
          </cell>
        </row>
        <row r="14387">
          <cell r="A14387" t="str">
            <v>3hod91215coa_m</v>
          </cell>
          <cell r="B14387" t="str">
            <v>3hod91215coa</v>
          </cell>
          <cell r="C14387" t="str">
            <v>3-hydroxy-(9Z,12Z,15Z)-octadecatrienoyl-CoA</v>
          </cell>
        </row>
        <row r="14388">
          <cell r="A14388" t="str">
            <v>3ohd71013coa_m</v>
          </cell>
          <cell r="B14388" t="str">
            <v>3ohd71013coa</v>
          </cell>
          <cell r="C14388" t="str">
            <v>3-oxo-(7Z,10Z,13Z)-hexadecatrienoyl-CoA</v>
          </cell>
        </row>
        <row r="14389">
          <cell r="A14389" t="str">
            <v>td5811coa_m</v>
          </cell>
          <cell r="B14389" t="str">
            <v>td5811coa</v>
          </cell>
          <cell r="C14389" t="str">
            <v>(5Z,8Z,11Z)-tetradecatrienoyl-CoA</v>
          </cell>
        </row>
        <row r="14390">
          <cell r="A14390" t="str">
            <v>3htd5811coa_m</v>
          </cell>
          <cell r="B14390" t="str">
            <v>3htd5811coa</v>
          </cell>
          <cell r="C14390" t="str">
            <v>3-hydroxy-(5Z,8Z,11Z)-tetradecatrienoyl-CoA</v>
          </cell>
        </row>
        <row r="14391">
          <cell r="A14391" t="str">
            <v>dd269coa_m</v>
          </cell>
          <cell r="B14391" t="str">
            <v>dd269coa</v>
          </cell>
          <cell r="C14391" t="str">
            <v>(2E,6Z,9Z)-dodecatrienoyl-CoA</v>
          </cell>
        </row>
        <row r="14392">
          <cell r="A14392" t="str">
            <v>dc27coa_m</v>
          </cell>
          <cell r="B14392" t="str">
            <v>dc27coa</v>
          </cell>
          <cell r="C14392" t="str">
            <v>(2E,7Z)-decadienoyl-CoA</v>
          </cell>
        </row>
        <row r="14393">
          <cell r="A14393" t="str">
            <v>hd29coa_m</v>
          </cell>
          <cell r="B14393" t="str">
            <v>hd29coa</v>
          </cell>
          <cell r="C14393" t="str">
            <v>(2E,9Z)-hexadecadienoyl-CoA</v>
          </cell>
        </row>
        <row r="14394">
          <cell r="A14394" t="str">
            <v>3htd7coa_m</v>
          </cell>
          <cell r="B14394" t="str">
            <v>3htd7coa</v>
          </cell>
          <cell r="C14394" t="str">
            <v>3-hydroxy-(7Z)-tetradecenoyl-CoA</v>
          </cell>
        </row>
        <row r="14395">
          <cell r="A14395" t="str">
            <v>3otd7coa_m</v>
          </cell>
          <cell r="B14395" t="str">
            <v>3otd7coa</v>
          </cell>
          <cell r="C14395" t="str">
            <v>3-oxo-(7Z)-tetradecenoyl-CoA</v>
          </cell>
        </row>
        <row r="14396">
          <cell r="A14396" t="str">
            <v>dd25coa_m</v>
          </cell>
          <cell r="B14396" t="str">
            <v>dd25coa</v>
          </cell>
          <cell r="C14396" t="str">
            <v>(2E,5Z)-dodecadienoyl-CoA</v>
          </cell>
        </row>
        <row r="14397">
          <cell r="A14397" t="str">
            <v>3hhd912coa_m</v>
          </cell>
          <cell r="B14397" t="str">
            <v>3hhd912coa</v>
          </cell>
          <cell r="C14397" t="str">
            <v>3-hydroxy-(9Z,12Z)-hexadecadienoyl-CoA</v>
          </cell>
        </row>
        <row r="14398">
          <cell r="A14398" t="str">
            <v>3htd710coa_m</v>
          </cell>
          <cell r="B14398" t="str">
            <v>3htd710coa</v>
          </cell>
          <cell r="C14398" t="str">
            <v>3-hydroxy-(7Z,10Z)-tetradecadienoyl-CoA</v>
          </cell>
        </row>
        <row r="14399">
          <cell r="A14399" t="str">
            <v>dd58coa_m</v>
          </cell>
          <cell r="B14399" t="str">
            <v>dd58coa</v>
          </cell>
          <cell r="C14399" t="str">
            <v>(5Z,8Z)-dodecadienoyl-CoA</v>
          </cell>
        </row>
        <row r="14400">
          <cell r="A14400" t="str">
            <v>dc36coa_m</v>
          </cell>
          <cell r="B14400" t="str">
            <v>dc36coa</v>
          </cell>
          <cell r="C14400" t="str">
            <v>(3Z,6Z)-decadienoyl-CoA</v>
          </cell>
        </row>
        <row r="14401">
          <cell r="A14401" t="str">
            <v>3odc6coa_m</v>
          </cell>
          <cell r="B14401" t="str">
            <v>3odc6coa</v>
          </cell>
          <cell r="C14401" t="str">
            <v>3-oxo-(6Z)-decenoyl-CoA</v>
          </cell>
        </row>
        <row r="14402">
          <cell r="A14402" t="str">
            <v>oc4coa_m</v>
          </cell>
          <cell r="B14402" t="str">
            <v>oc4coa</v>
          </cell>
          <cell r="C14402" t="str">
            <v>(4Z)-octenoyl-CoA</v>
          </cell>
        </row>
        <row r="14403">
          <cell r="A14403" t="str">
            <v>oc24coa_m</v>
          </cell>
          <cell r="B14403" t="str">
            <v>oc24coa</v>
          </cell>
          <cell r="C14403" t="str">
            <v>(2E,4Z)-octadienoyl-CoA</v>
          </cell>
        </row>
        <row r="14404">
          <cell r="A14404" t="str">
            <v>3ohd6912coa_m</v>
          </cell>
          <cell r="B14404" t="str">
            <v>3ohd6912coa</v>
          </cell>
          <cell r="C14404" t="str">
            <v>3-oxo-(6Z,9Z,12Z)-hexadecatrienoyl-CoA</v>
          </cell>
        </row>
        <row r="14405">
          <cell r="A14405" t="str">
            <v>td4710coa_m</v>
          </cell>
          <cell r="B14405" t="str">
            <v>td4710coa</v>
          </cell>
          <cell r="C14405" t="str">
            <v>(4Z,7Z,10Z)-tetradecatrienoyl-CoA</v>
          </cell>
        </row>
        <row r="14406">
          <cell r="A14406" t="str">
            <v>3hhd691215coa_m</v>
          </cell>
          <cell r="B14406" t="str">
            <v>3hhd691215coa</v>
          </cell>
          <cell r="C14406" t="str">
            <v>3-hydroxy-(6Z,9Z,12Z,15Z)-hexadecatetraenoyl-CoA</v>
          </cell>
        </row>
        <row r="14407">
          <cell r="A14407" t="str">
            <v>3ohd691215coa_m</v>
          </cell>
          <cell r="B14407" t="str">
            <v>3ohd691215coa</v>
          </cell>
          <cell r="C14407" t="str">
            <v>3-oxo-(6Z,9Z,12Z,15Z)-hexadecatetraenoyl-CoA</v>
          </cell>
        </row>
        <row r="14408">
          <cell r="A14408" t="str">
            <v>td271013coa_m</v>
          </cell>
          <cell r="B14408" t="str">
            <v>td271013coa</v>
          </cell>
          <cell r="C14408" t="str">
            <v>(2E,7Z,10Z,13Z)-tetradecatetraenoyl-CoA</v>
          </cell>
        </row>
        <row r="14409">
          <cell r="A14409" t="str">
            <v>3otd71013coa_m</v>
          </cell>
          <cell r="B14409" t="str">
            <v>3otd71013coa</v>
          </cell>
          <cell r="C14409" t="str">
            <v>3-oxo-(7Z,10Z,13Z)-tetradecatrienoyl-CoA</v>
          </cell>
        </row>
        <row r="14410">
          <cell r="A14410" t="str">
            <v>dd25811coa_m</v>
          </cell>
          <cell r="B14410" t="str">
            <v>dd25811coa</v>
          </cell>
          <cell r="C14410" t="str">
            <v>(2E,5Z,8Z,11Z)-dodecatetraenoyl-CoA</v>
          </cell>
        </row>
        <row r="14411">
          <cell r="A14411" t="str">
            <v>3odc69coa_m</v>
          </cell>
          <cell r="B14411" t="str">
            <v>3odc69coa</v>
          </cell>
          <cell r="C14411" t="str">
            <v>3-oxo-(6Z,9Z)-decadienoyl-CoA</v>
          </cell>
        </row>
        <row r="14412">
          <cell r="A14412" t="str">
            <v>oc37coa_m</v>
          </cell>
          <cell r="B14412" t="str">
            <v>oc37coa</v>
          </cell>
          <cell r="C14412" t="str">
            <v>(3E,7Z)-octadienoyl-CoA</v>
          </cell>
        </row>
        <row r="14413">
          <cell r="A14413" t="str">
            <v>hx25coa_m</v>
          </cell>
          <cell r="B14413" t="str">
            <v>hx25coa</v>
          </cell>
          <cell r="C14413" t="str">
            <v>(2E,5Z)-hexadienoyl-CoA</v>
          </cell>
        </row>
        <row r="14414">
          <cell r="A14414" t="str">
            <v>hexACP_m</v>
          </cell>
          <cell r="B14414" t="str">
            <v>hexACP</v>
          </cell>
          <cell r="C14414" t="str">
            <v>Hexanoyl-ACP (n-C6:0ACP)</v>
          </cell>
        </row>
        <row r="14415">
          <cell r="A14415" t="str">
            <v>1hdecg3p_m</v>
          </cell>
          <cell r="B14415" t="str">
            <v>1hdecg3p</v>
          </cell>
          <cell r="C14415" t="str">
            <v>1-hexadecanoyl-sn-glycerol 3-phosphate</v>
          </cell>
        </row>
        <row r="14416">
          <cell r="A14416" t="str">
            <v>pa160_m</v>
          </cell>
          <cell r="B14416" t="str">
            <v>pa160</v>
          </cell>
          <cell r="C14416" t="str">
            <v>1,2-dihexadecanoyl-sn-glycerol 3-phosphate</v>
          </cell>
        </row>
        <row r="14417">
          <cell r="A14417" t="str">
            <v>clpn182_m</v>
          </cell>
          <cell r="B14417" t="str">
            <v>clpn182</v>
          </cell>
          <cell r="C14417" t="str">
            <v>Cardiolipin (18:2/18:2/18:2/18:2)</v>
          </cell>
        </row>
        <row r="14418">
          <cell r="A14418" t="str">
            <v>2ogm_h</v>
          </cell>
          <cell r="B14418" t="str">
            <v>2ogm</v>
          </cell>
          <cell r="C14418" t="str">
            <v>2-Oxoglutaramate</v>
          </cell>
        </row>
        <row r="14419">
          <cell r="A14419" t="str">
            <v>2ogm_m</v>
          </cell>
          <cell r="B14419" t="str">
            <v>2ogm</v>
          </cell>
          <cell r="C14419" t="str">
            <v>2-Oxoglutaramate</v>
          </cell>
        </row>
        <row r="14420">
          <cell r="A14420" t="str">
            <v>aspsa_m</v>
          </cell>
          <cell r="B14420" t="str">
            <v>aspsa</v>
          </cell>
          <cell r="C14420" t="str">
            <v>L-Aspartate 4-semialdehyde</v>
          </cell>
        </row>
        <row r="14421">
          <cell r="A14421" t="str">
            <v>gal14lac_m</v>
          </cell>
          <cell r="B14421" t="str">
            <v>gal14lac</v>
          </cell>
          <cell r="C14421" t="str">
            <v>L-Galactono-1,4-lactone</v>
          </cell>
        </row>
        <row r="14422">
          <cell r="A14422" t="str">
            <v>dhdascb_h</v>
          </cell>
          <cell r="B14422" t="str">
            <v>dhdascb</v>
          </cell>
          <cell r="C14422" t="str">
            <v>Dehydroascorbate</v>
          </cell>
        </row>
        <row r="14423">
          <cell r="A14423" t="str">
            <v>ethe_c</v>
          </cell>
          <cell r="B14423" t="str">
            <v>ethe</v>
          </cell>
          <cell r="C14423" t="str">
            <v>Ethylene</v>
          </cell>
        </row>
        <row r="14424">
          <cell r="A14424" t="str">
            <v>m8mpdol_c</v>
          </cell>
          <cell r="B14424" t="str">
            <v>m8mpdol</v>
          </cell>
          <cell r="C14424" t="str">
            <v>(alpha-D-Mannosyl)8-beta-D-mannosyl-diacetylchitobiosyldiphosphodolichol</v>
          </cell>
        </row>
        <row r="14425">
          <cell r="A14425" t="str">
            <v>g3m8masn_c</v>
          </cell>
          <cell r="B14425" t="str">
            <v>g3m8masn</v>
          </cell>
          <cell r="C14425" t="str">
            <v>(alpha-D-Glucosyl)3-(alpha-D-mannosyl)8-beta-D-mannosyl-diacetylchitobiosyl-L-asparagine (protein)</v>
          </cell>
        </row>
        <row r="14426">
          <cell r="A14426" t="str">
            <v>me2np6mobq_m</v>
          </cell>
          <cell r="B14426" t="str">
            <v>me2np6mobq</v>
          </cell>
          <cell r="C14426" t="str">
            <v>2-nonaprenyl-3-methyl-6-methoxy-1,4-benzoquinone</v>
          </cell>
        </row>
        <row r="14427">
          <cell r="A14427" t="str">
            <v>cer_182_c</v>
          </cell>
          <cell r="B14427" t="str">
            <v>cer_182</v>
          </cell>
          <cell r="C14427" t="str">
            <v>N-(octadecanoyl)-sphinga-4,8-dienine</v>
          </cell>
        </row>
        <row r="14428">
          <cell r="A14428" t="str">
            <v>2mahmp_h</v>
          </cell>
          <cell r="B14428" t="str">
            <v>2mahmp</v>
          </cell>
          <cell r="C14428" t="str">
            <v>2-Methyl-4-amino-5-hydroxymethylpyrimidine diphosphate</v>
          </cell>
        </row>
        <row r="14429">
          <cell r="A14429" t="str">
            <v>4ahmmp_h</v>
          </cell>
          <cell r="B14429" t="str">
            <v>4ahmmp</v>
          </cell>
          <cell r="C14429" t="str">
            <v>4-Amino-5-hydroxymethyl-2-methylpyrimidine</v>
          </cell>
        </row>
        <row r="14430">
          <cell r="A14430" t="str">
            <v>ichor_h</v>
          </cell>
          <cell r="B14430" t="str">
            <v>ichor</v>
          </cell>
          <cell r="C14430" t="str">
            <v>Isochorismate</v>
          </cell>
        </row>
        <row r="14431">
          <cell r="A14431" t="str">
            <v>sucbz_x</v>
          </cell>
          <cell r="B14431" t="str">
            <v>sucbz</v>
          </cell>
          <cell r="C14431" t="str">
            <v>O-Succinylbenzoate</v>
          </cell>
        </row>
        <row r="14432">
          <cell r="A14432" t="str">
            <v>dhna_h</v>
          </cell>
          <cell r="B14432" t="str">
            <v>dhna</v>
          </cell>
          <cell r="C14432" t="str">
            <v>1,4-Dihydroxy-2-naphthoate</v>
          </cell>
        </row>
        <row r="14433">
          <cell r="A14433" t="str">
            <v>amob_m</v>
          </cell>
          <cell r="B14433" t="str">
            <v>amob</v>
          </cell>
          <cell r="C14433" t="str">
            <v>S-Adenosyl-4-methylthio-2-oxobutanoate</v>
          </cell>
        </row>
        <row r="14434">
          <cell r="A14434" t="str">
            <v>dann_m</v>
          </cell>
          <cell r="B14434" t="str">
            <v>dann</v>
          </cell>
          <cell r="C14434" t="str">
            <v>7,8-Diaminononanoate</v>
          </cell>
        </row>
        <row r="14435">
          <cell r="A14435" t="str">
            <v>fmn_h</v>
          </cell>
          <cell r="B14435" t="str">
            <v>fmn</v>
          </cell>
          <cell r="C14435" t="str">
            <v>FMN C17H19N4O9P</v>
          </cell>
        </row>
        <row r="14436">
          <cell r="A14436" t="str">
            <v>alatrna_h</v>
          </cell>
          <cell r="B14436" t="str">
            <v>alatrna</v>
          </cell>
          <cell r="C14436" t="str">
            <v>L-Alanyl-tRNA(Ala)</v>
          </cell>
        </row>
        <row r="14437">
          <cell r="A14437" t="str">
            <v>asntrna_h</v>
          </cell>
          <cell r="B14437" t="str">
            <v>asntrna</v>
          </cell>
          <cell r="C14437" t="str">
            <v>L-Asparaginyl-tRNA(Asn)</v>
          </cell>
        </row>
        <row r="14438">
          <cell r="A14438" t="str">
            <v>trnacys_h</v>
          </cell>
          <cell r="B14438" t="str">
            <v>trnacys</v>
          </cell>
          <cell r="C14438" t="str">
            <v>TRNA(Cys)</v>
          </cell>
        </row>
        <row r="14439">
          <cell r="A14439" t="str">
            <v>cystrna_h</v>
          </cell>
          <cell r="B14439" t="str">
            <v>cystrna</v>
          </cell>
          <cell r="C14439" t="str">
            <v>L-Cysteinyl-tRNA(Cys)</v>
          </cell>
        </row>
        <row r="14440">
          <cell r="A14440" t="str">
            <v>dhbiliverd_h</v>
          </cell>
          <cell r="B14440" t="str">
            <v>dhbiliverd</v>
          </cell>
          <cell r="C14440" t="str">
            <v>15,16-Dihydrobiliverdin</v>
          </cell>
        </row>
        <row r="14441">
          <cell r="A14441" t="str">
            <v>phyebilin_h</v>
          </cell>
          <cell r="B14441" t="str">
            <v>phyebilin</v>
          </cell>
          <cell r="C14441" t="str">
            <v>(3Z)-Phycoerythrobilin</v>
          </cell>
        </row>
        <row r="14442">
          <cell r="A14442" t="str">
            <v>pdx5p_h</v>
          </cell>
          <cell r="B14442" t="str">
            <v>pdx5p</v>
          </cell>
          <cell r="C14442" t="str">
            <v>Pyridoxine 5'-phosphate</v>
          </cell>
        </row>
        <row r="14443">
          <cell r="A14443" t="str">
            <v>selcyst_m</v>
          </cell>
          <cell r="B14443" t="str">
            <v>selcyst</v>
          </cell>
          <cell r="C14443" t="str">
            <v>Selenocystathionine</v>
          </cell>
        </row>
        <row r="14444">
          <cell r="A14444" t="str">
            <v>dmtphllqne_h</v>
          </cell>
          <cell r="B14444" t="str">
            <v>dmtphllqne</v>
          </cell>
          <cell r="C14444" t="str">
            <v>Demethylphylloquinone</v>
          </cell>
        </row>
        <row r="14445">
          <cell r="A14445" t="str">
            <v>biocyt_h</v>
          </cell>
          <cell r="B14445" t="str">
            <v>biocyt</v>
          </cell>
          <cell r="C14445" t="str">
            <v>Biocyt c</v>
          </cell>
        </row>
        <row r="14446">
          <cell r="A14446" t="str">
            <v>tag1619Z1619Z160_c</v>
          </cell>
          <cell r="B14446" t="str">
            <v>tag1619Z1619Z160</v>
          </cell>
          <cell r="C14446" t="str">
            <v>Triacylglycerol (16:1(9Z)/16:1(9Z)/16:0)</v>
          </cell>
        </row>
        <row r="14447">
          <cell r="A14447" t="str">
            <v>tag1619Z1601819Z_c</v>
          </cell>
          <cell r="B14447" t="str">
            <v>tag1619Z1601819Z</v>
          </cell>
          <cell r="C14447" t="str">
            <v>Triacylglycerol (16:1(9Z)/16:0/18:1(9Z))</v>
          </cell>
        </row>
        <row r="14448">
          <cell r="A14448" t="str">
            <v>hptal_c</v>
          </cell>
          <cell r="B14448" t="str">
            <v>hptal</v>
          </cell>
          <cell r="C14448" t="str">
            <v>Heptanal</v>
          </cell>
        </row>
        <row r="14449">
          <cell r="A14449" t="str">
            <v>hpta_c</v>
          </cell>
          <cell r="B14449" t="str">
            <v>hpta</v>
          </cell>
          <cell r="C14449" t="str">
            <v>Heptanoate</v>
          </cell>
        </row>
        <row r="14450">
          <cell r="A14450" t="str">
            <v>hdc2ea_c</v>
          </cell>
          <cell r="B14450" t="str">
            <v>hdc2ea</v>
          </cell>
          <cell r="C14450" t="str">
            <v>(E)-hexadec-2-enoate</v>
          </cell>
        </row>
        <row r="14451">
          <cell r="A14451" t="str">
            <v>hptcoa_c</v>
          </cell>
          <cell r="B14451" t="str">
            <v>hptcoa</v>
          </cell>
          <cell r="C14451" t="str">
            <v>Heptanoyl-COA</v>
          </cell>
        </row>
        <row r="14452">
          <cell r="A14452" t="str">
            <v>hd2crn_c</v>
          </cell>
          <cell r="B14452" t="str">
            <v>hd2crn</v>
          </cell>
          <cell r="C14452" t="str">
            <v>(2E)-hexadecenoyl-l-carnitine</v>
          </cell>
        </row>
        <row r="14453">
          <cell r="A14453" t="str">
            <v>hptcrn_m</v>
          </cell>
          <cell r="B14453" t="str">
            <v>hptcrn</v>
          </cell>
          <cell r="C14453" t="str">
            <v>Heptanoyl-l-carnitine</v>
          </cell>
        </row>
        <row r="14454">
          <cell r="A14454" t="str">
            <v>cl_h</v>
          </cell>
          <cell r="B14454" t="str">
            <v>cl</v>
          </cell>
          <cell r="C14454" t="str">
            <v>Chloride</v>
          </cell>
        </row>
        <row r="14455">
          <cell r="A14455" t="str">
            <v>cl_m</v>
          </cell>
          <cell r="B14455" t="str">
            <v>cl</v>
          </cell>
          <cell r="C14455" t="str">
            <v>Chloride</v>
          </cell>
        </row>
        <row r="14456">
          <cell r="A14456" t="str">
            <v>biomass_pro_c</v>
          </cell>
          <cell r="B14456" t="str">
            <v>biomass_pro</v>
          </cell>
          <cell r="C14456" t="str">
            <v>Biomass: proteins and amino acids</v>
          </cell>
        </row>
        <row r="14457">
          <cell r="A14457" t="str">
            <v>mgdg180162n4_h</v>
          </cell>
          <cell r="B14457" t="str">
            <v>mgdg180162n4</v>
          </cell>
          <cell r="C14457" t="str">
            <v>1,2-Diacyl-3-O-galactosyl-sn-glycerol(18:0/16:2(9Z,12Z))</v>
          </cell>
        </row>
        <row r="14458">
          <cell r="A14458" t="str">
            <v>pa1619Z240_c</v>
          </cell>
          <cell r="B14458" t="str">
            <v>pa1619Z240</v>
          </cell>
          <cell r="C14458" t="str">
            <v>1-9-hexadecenoyl-2-tetracosanoyl-sn-glycerol-3-phosphate</v>
          </cell>
        </row>
        <row r="14459">
          <cell r="A14459" t="str">
            <v>sqdg1619Z240_c</v>
          </cell>
          <cell r="B14459" t="str">
            <v>sqdg1619Z240</v>
          </cell>
          <cell r="C14459" t="str">
            <v>Sulfoquinovosyl diacylglycerol(16:1(9Z)/24:0)</v>
          </cell>
        </row>
        <row r="14460">
          <cell r="A14460" t="str">
            <v>sqdg162n4160_h</v>
          </cell>
          <cell r="B14460" t="str">
            <v>sqdg162n4160</v>
          </cell>
          <cell r="C14460" t="str">
            <v>Sulfoquinovosyl diacylglycerol(16:2(9Z,12Z)/16:0)</v>
          </cell>
        </row>
        <row r="14461">
          <cell r="A14461" t="str">
            <v>mthb_c</v>
          </cell>
          <cell r="B14461" t="str">
            <v>mthb</v>
          </cell>
          <cell r="C14461" t="str">
            <v>2-hydroxy-4-methylthiobutyrate</v>
          </cell>
        </row>
        <row r="14462">
          <cell r="A14462" t="str">
            <v>sox_m</v>
          </cell>
          <cell r="B14462" t="str">
            <v>sox</v>
          </cell>
          <cell r="C14462" t="str">
            <v>Superoxide</v>
          </cell>
        </row>
        <row r="14463">
          <cell r="A14463" t="str">
            <v>octd11ecoa_c</v>
          </cell>
          <cell r="B14463" t="str">
            <v>octd11ecoa</v>
          </cell>
          <cell r="C14463" t="str">
            <v>11-Octadecenoyl Coenzyme A</v>
          </cell>
        </row>
        <row r="14464">
          <cell r="A14464" t="str">
            <v>m3gacpail_prot_hs_r</v>
          </cell>
          <cell r="B14464" t="str">
            <v>m3gacpail_prot_hs</v>
          </cell>
          <cell r="C14464" t="str">
            <v>M3Gacpail Prot Heparan Sulfate</v>
          </cell>
        </row>
        <row r="14465">
          <cell r="A14465" t="str">
            <v>HC01118_r</v>
          </cell>
          <cell r="B14465" t="str">
            <v>HC01118</v>
          </cell>
          <cell r="C14465" t="str">
            <v>Presqualene Diphosphate</v>
          </cell>
        </row>
        <row r="14466">
          <cell r="A14466" t="str">
            <v>HC01408_m</v>
          </cell>
          <cell r="B14466" t="str">
            <v>HC01408</v>
          </cell>
          <cell r="C14466" t="str">
            <v>3-Oxo-Hexanoyl Coenzyme A</v>
          </cell>
        </row>
        <row r="14467">
          <cell r="A14467" t="str">
            <v>HC01397_x</v>
          </cell>
          <cell r="B14467" t="str">
            <v>HC01397</v>
          </cell>
          <cell r="C14467" t="str">
            <v>3S-Hydroxyhexadecanoyl Coenzyme A</v>
          </cell>
        </row>
        <row r="14468">
          <cell r="A14468" t="str">
            <v>HC01412_x</v>
          </cell>
          <cell r="B14468" t="str">
            <v>HC01412</v>
          </cell>
          <cell r="C14468" t="str">
            <v>(2E)-Tetradecenoyl Coenzyme A</v>
          </cell>
        </row>
        <row r="14469">
          <cell r="A14469" t="str">
            <v>HC01407_m</v>
          </cell>
          <cell r="B14469" t="str">
            <v>HC01407</v>
          </cell>
          <cell r="C14469" t="str">
            <v>3S-Hydroxy-Hexanoyl Coenzyme A</v>
          </cell>
        </row>
        <row r="14470">
          <cell r="A14470" t="str">
            <v>HC02110_r</v>
          </cell>
          <cell r="B14470" t="str">
            <v>HC02110</v>
          </cell>
          <cell r="C14470" t="str">
            <v>4Alpha-Methylzymosterol</v>
          </cell>
        </row>
        <row r="14471">
          <cell r="A14471" t="str">
            <v>CE0713_m</v>
          </cell>
          <cell r="B14471" t="str">
            <v>CE0713</v>
          </cell>
          <cell r="C14471" t="str">
            <v>3-oxolinoleoyl-CoA; 3-oxo-(9Z,12Z)-9,12-Octadecadienoyl CoA</v>
          </cell>
        </row>
        <row r="14472">
          <cell r="A14472" t="str">
            <v>CE2872_c</v>
          </cell>
          <cell r="B14472" t="str">
            <v>CE2872</v>
          </cell>
          <cell r="C14472" t="str">
            <v>3',5'-diiodo-L-thyronine</v>
          </cell>
        </row>
        <row r="14473">
          <cell r="A14473" t="str">
            <v>CE1352_c</v>
          </cell>
          <cell r="B14473" t="str">
            <v>CE1352</v>
          </cell>
          <cell r="C14473" t="str">
            <v>17Alpha-Hydroxypregnenolone Sulfate</v>
          </cell>
        </row>
        <row r="14474">
          <cell r="A14474" t="str">
            <v>CE2433_m</v>
          </cell>
          <cell r="B14474" t="str">
            <v>CE2433</v>
          </cell>
          <cell r="C14474" t="str">
            <v>Trans,Cis,Cis-2,7,10-Hexadecatrienoyl Coenzyme A</v>
          </cell>
        </row>
        <row r="14475">
          <cell r="A14475" t="str">
            <v>CE0849_x</v>
          </cell>
          <cell r="B14475" t="str">
            <v>CE0849</v>
          </cell>
          <cell r="C14475" t="str">
            <v>Cis,Cis-Palmito-7,10-Dienoyl Coenzyme A</v>
          </cell>
        </row>
        <row r="14476">
          <cell r="A14476" t="str">
            <v>CE2432_m</v>
          </cell>
          <cell r="B14476" t="str">
            <v>CE2432</v>
          </cell>
          <cell r="C14476" t="str">
            <v>Trans-2-Cis,Cis-5,8-Tetradecatrienoyl Coenzyme A</v>
          </cell>
        </row>
        <row r="14477">
          <cell r="A14477" t="str">
            <v>CE2420_m</v>
          </cell>
          <cell r="B14477" t="str">
            <v>CE2420</v>
          </cell>
          <cell r="C14477" t="str">
            <v>(3S)-3-hydroxydodec-cis-6-enoyl-CoA</v>
          </cell>
        </row>
        <row r="14478">
          <cell r="A14478" t="str">
            <v>CE2417_m</v>
          </cell>
          <cell r="B14478" t="str">
            <v>CE2417</v>
          </cell>
          <cell r="C14478" t="str">
            <v>3(S)-hydroxy-5Z,8Z-tetradecadienoyl-CoA</v>
          </cell>
        </row>
        <row r="14479">
          <cell r="A14479" t="str">
            <v>CE2422_x</v>
          </cell>
          <cell r="B14479" t="str">
            <v>CE2422</v>
          </cell>
          <cell r="C14479" t="str">
            <v>3-oxo-cis,cis-7,10-hexadecadienoyl-CoA</v>
          </cell>
        </row>
        <row r="14480">
          <cell r="A14480" t="str">
            <v>C05280_m</v>
          </cell>
          <cell r="B14480" t="str">
            <v>C05280</v>
          </cell>
          <cell r="C14480" t="str">
            <v>Cis,Cis-3,6-Dodecadienoyl Coenzyme A</v>
          </cell>
        </row>
        <row r="14481">
          <cell r="A14481" t="str">
            <v>CE1925_c</v>
          </cell>
          <cell r="B14481" t="str">
            <v>CE1925</v>
          </cell>
          <cell r="C14481" t="str">
            <v>3'-carboxy-alpha-chromanol</v>
          </cell>
        </row>
        <row r="14482">
          <cell r="A14482" t="str">
            <v>CE5853_c</v>
          </cell>
          <cell r="B14482" t="str">
            <v>CE5853</v>
          </cell>
          <cell r="C14482" t="str">
            <v>Alpha-CEHC-glucuronide</v>
          </cell>
        </row>
        <row r="14483">
          <cell r="A14483" t="str">
            <v>CE1926_c</v>
          </cell>
          <cell r="B14483" t="str">
            <v>CE1926</v>
          </cell>
          <cell r="C14483" t="str">
            <v>Gama-carboxyethyl-hydroxychroman</v>
          </cell>
        </row>
        <row r="14484">
          <cell r="A14484" t="str">
            <v>crm_hs_n</v>
          </cell>
          <cell r="B14484" t="str">
            <v>crm_hs</v>
          </cell>
          <cell r="C14484" t="str">
            <v>Ceramide (homo sapiens)</v>
          </cell>
        </row>
        <row r="14485">
          <cell r="A14485" t="str">
            <v>galside_hs_r</v>
          </cell>
          <cell r="B14485" t="str">
            <v>galside_hs</v>
          </cell>
          <cell r="C14485" t="str">
            <v>Galactocerebroside (homo sapiens)</v>
          </cell>
        </row>
        <row r="14486">
          <cell r="A14486" t="str">
            <v>hdcea_m</v>
          </cell>
          <cell r="B14486" t="str">
            <v>hdcea</v>
          </cell>
          <cell r="C14486" t="str">
            <v>Hexadecenoate (n-C16:1)</v>
          </cell>
        </row>
        <row r="14487">
          <cell r="A14487" t="str">
            <v>CE2439_x</v>
          </cell>
          <cell r="B14487" t="str">
            <v>CE2439</v>
          </cell>
          <cell r="C14487" t="str">
            <v>3-Oxo-6Z,9Z,12Z-Octadecatrienoyl Coenzyme A</v>
          </cell>
        </row>
        <row r="14488">
          <cell r="A14488" t="str">
            <v>CE2437_x</v>
          </cell>
          <cell r="B14488" t="str">
            <v>CE2437</v>
          </cell>
          <cell r="C14488" t="str">
            <v>2E,6Z,9Z,12Z-Octadecatetraenoyl Coenzyme A</v>
          </cell>
        </row>
        <row r="14489">
          <cell r="A14489" t="str">
            <v>CE5116_x</v>
          </cell>
          <cell r="B14489" t="str">
            <v>CE5116</v>
          </cell>
          <cell r="C14489" t="str">
            <v>Trans-3-Cis-8,11,14-Eicosatetraenoyl Coenzyme A</v>
          </cell>
        </row>
        <row r="14490">
          <cell r="A14490" t="str">
            <v>strdnccoa_r</v>
          </cell>
          <cell r="B14490" t="str">
            <v>strdnccoa</v>
          </cell>
          <cell r="C14490" t="str">
            <v>Stearidonyl coenzyme A</v>
          </cell>
        </row>
        <row r="14491">
          <cell r="A14491" t="str">
            <v>CE2313_c</v>
          </cell>
          <cell r="B14491" t="str">
            <v>CE2313</v>
          </cell>
          <cell r="C14491" t="str">
            <v>4,4-dimethylcholesta-8(9),14-dien-3beta-ol</v>
          </cell>
        </row>
        <row r="14492">
          <cell r="A14492" t="str">
            <v>tethex3coa_r</v>
          </cell>
          <cell r="B14492" t="str">
            <v>tethex3coa</v>
          </cell>
          <cell r="C14492" t="str">
            <v>Tetracosahexaenoyl coenzyme A</v>
          </cell>
        </row>
        <row r="14493">
          <cell r="A14493" t="str">
            <v>CE4820_x</v>
          </cell>
          <cell r="B14493" t="str">
            <v>CE4820</v>
          </cell>
          <cell r="C14493" t="str">
            <v>3-oxo-all-cis-6,9,12,15,18-tetracosapentaenoyl-CoA</v>
          </cell>
        </row>
        <row r="14494">
          <cell r="A14494" t="str">
            <v>tetpent6_r</v>
          </cell>
          <cell r="B14494" t="str">
            <v>tetpent6</v>
          </cell>
          <cell r="C14494" t="str">
            <v>Tetracosapentaenoic acid, n-6</v>
          </cell>
        </row>
        <row r="14495">
          <cell r="A14495" t="str">
            <v>CE4802_m</v>
          </cell>
          <cell r="B14495" t="str">
            <v>CE4802</v>
          </cell>
          <cell r="C14495" t="str">
            <v>3(S)-Hydroxy-4-Methyl-Pentanoyl Coenzyme A</v>
          </cell>
        </row>
        <row r="14496">
          <cell r="A14496" t="str">
            <v>CE4804_m</v>
          </cell>
          <cell r="B14496" t="str">
            <v>CE4804</v>
          </cell>
          <cell r="C14496" t="str">
            <v>3-Oxo-4-Methyl-Pentanoyl Coenzyme A</v>
          </cell>
        </row>
        <row r="14497">
          <cell r="A14497" t="str">
            <v>CE5049_c</v>
          </cell>
          <cell r="B14497" t="str">
            <v>CE5049</v>
          </cell>
          <cell r="C14497" t="str">
            <v>One Carbon Unit</v>
          </cell>
        </row>
        <row r="14498">
          <cell r="A14498" t="str">
            <v>CE4799_m</v>
          </cell>
          <cell r="B14498" t="str">
            <v>CE4799</v>
          </cell>
          <cell r="C14498" t="str">
            <v>2,6-Dimethyl-Trans-2-Heptenoyl Coenzyme A</v>
          </cell>
        </row>
        <row r="14499">
          <cell r="A14499" t="str">
            <v>CE4808_m</v>
          </cell>
          <cell r="B14499" t="str">
            <v>CE4808</v>
          </cell>
          <cell r="C14499" t="str">
            <v>4-Methyl-Pentanoyl Coenzyme A</v>
          </cell>
        </row>
        <row r="14500">
          <cell r="A14500" t="str">
            <v>CE4797_m</v>
          </cell>
          <cell r="B14500" t="str">
            <v>CE4797</v>
          </cell>
          <cell r="C14500" t="str">
            <v>2(R),6-Dimethyl-Heptanoyl Coenzyme A</v>
          </cell>
        </row>
        <row r="14501">
          <cell r="A14501" t="str">
            <v>cholcoads_m</v>
          </cell>
          <cell r="B14501" t="str">
            <v>cholcoads</v>
          </cell>
          <cell r="C14501" t="str">
            <v>3alpha,7alpha,12alpha-Trihydroxy-5beta-cholest-24-enoyl-CoA</v>
          </cell>
        </row>
        <row r="14502">
          <cell r="A14502" t="str">
            <v>c101crn_e</v>
          </cell>
          <cell r="B14502" t="str">
            <v>c101crn</v>
          </cell>
          <cell r="C14502" t="str">
            <v>Decenoyl Carnitine</v>
          </cell>
        </row>
        <row r="14503">
          <cell r="A14503" t="str">
            <v>3tetd7ecoacrn_c</v>
          </cell>
          <cell r="B14503" t="str">
            <v>3tetd7ecoacrn</v>
          </cell>
          <cell r="C14503" t="str">
            <v>3-Hydroxy Tetradecenoyl-7-Carnitine</v>
          </cell>
        </row>
        <row r="14504">
          <cell r="A14504" t="str">
            <v>3ttetddcoa_m</v>
          </cell>
          <cell r="B14504" t="str">
            <v>3ttetddcoa</v>
          </cell>
          <cell r="C14504" t="str">
            <v>3-Hydroxy Trans5,8Tetradecadienoyl Coenzyme A</v>
          </cell>
        </row>
        <row r="14505">
          <cell r="A14505" t="str">
            <v>3ttetddcoacrn_c</v>
          </cell>
          <cell r="B14505" t="str">
            <v>3ttetddcoacrn</v>
          </cell>
          <cell r="C14505" t="str">
            <v>3-Hydroxy Trans5,8Tetradecadienoyl Carnitine</v>
          </cell>
        </row>
        <row r="14506">
          <cell r="A14506" t="str">
            <v>3hdeccoa_c</v>
          </cell>
          <cell r="B14506" t="str">
            <v>3hdeccoa</v>
          </cell>
          <cell r="C14506" t="str">
            <v>3-Hydroxyhexadecenoyl Coenzyme A</v>
          </cell>
        </row>
        <row r="14507">
          <cell r="A14507" t="str">
            <v>c16dc_c</v>
          </cell>
          <cell r="B14507" t="str">
            <v>c16dc</v>
          </cell>
          <cell r="C14507" t="str">
            <v>Hexadecanedioic Acid Mono-L-Carnitine Ester</v>
          </cell>
        </row>
        <row r="14508">
          <cell r="A14508" t="str">
            <v>3octdec2crn_c</v>
          </cell>
          <cell r="B14508" t="str">
            <v>3octdec2crn</v>
          </cell>
          <cell r="C14508" t="str">
            <v>3-Hydroxyoctadecadienoylcarnitine</v>
          </cell>
        </row>
        <row r="14509">
          <cell r="A14509" t="str">
            <v>3octdeccrn_c</v>
          </cell>
          <cell r="B14509" t="str">
            <v>3octdeccrn</v>
          </cell>
          <cell r="C14509" t="str">
            <v>3-Hydroxyoctadecanoyl Carnitine</v>
          </cell>
        </row>
        <row r="14510">
          <cell r="A14510" t="str">
            <v>c4crn_x</v>
          </cell>
          <cell r="B14510" t="str">
            <v>c4crn</v>
          </cell>
          <cell r="C14510" t="str">
            <v>Butyryl carnitine</v>
          </cell>
        </row>
        <row r="14511">
          <cell r="A14511" t="str">
            <v>ddeccrn_e</v>
          </cell>
          <cell r="B14511" t="str">
            <v>ddeccrn</v>
          </cell>
          <cell r="C14511" t="str">
            <v>Lauroyl Carnitine</v>
          </cell>
        </row>
        <row r="14512">
          <cell r="A14512" t="str">
            <v>docosdiac_e</v>
          </cell>
          <cell r="B14512" t="str">
            <v>docosdiac</v>
          </cell>
          <cell r="C14512" t="str">
            <v>Docosanedioicacid</v>
          </cell>
        </row>
        <row r="14513">
          <cell r="A14513" t="str">
            <v>3ivcrn_e</v>
          </cell>
          <cell r="B14513" t="str">
            <v>3ivcrn</v>
          </cell>
          <cell r="C14513" t="str">
            <v>3-Hydroxy-Isovaleryl Carnitine</v>
          </cell>
        </row>
        <row r="14514">
          <cell r="A14514" t="str">
            <v>tetdece1crn_e</v>
          </cell>
          <cell r="B14514" t="str">
            <v>tetdece1crn</v>
          </cell>
          <cell r="C14514" t="str">
            <v>Tetradecenoyl Carnitine</v>
          </cell>
        </row>
        <row r="14515">
          <cell r="A14515" t="str">
            <v>dectricoa_m</v>
          </cell>
          <cell r="B14515" t="str">
            <v>dectricoa</v>
          </cell>
          <cell r="C14515" t="str">
            <v>2,4,7-Decatrienoyl Coenzyme A</v>
          </cell>
        </row>
        <row r="14516">
          <cell r="A14516" t="str">
            <v>dec47dicoa_x</v>
          </cell>
          <cell r="B14516" t="str">
            <v>dec47dicoa</v>
          </cell>
          <cell r="C14516" t="str">
            <v>4,7-Decadienoyl Coenzyme A</v>
          </cell>
        </row>
        <row r="14517">
          <cell r="A14517" t="str">
            <v>octe5coa_x</v>
          </cell>
          <cell r="B14517" t="str">
            <v>octe5coa</v>
          </cell>
          <cell r="C14517" t="str">
            <v>5-Octenoyl Coenzyme A</v>
          </cell>
        </row>
        <row r="14518">
          <cell r="A14518" t="str">
            <v>3decdicoa_x</v>
          </cell>
          <cell r="B14518" t="str">
            <v>3decdicoa</v>
          </cell>
          <cell r="C14518" t="str">
            <v>3,7-Decadienoyl Coenzyme A</v>
          </cell>
        </row>
        <row r="14519">
          <cell r="A14519" t="str">
            <v>undcoa_m</v>
          </cell>
          <cell r="B14519" t="str">
            <v>undcoa</v>
          </cell>
          <cell r="C14519" t="str">
            <v>Undecanoyl Coenzyme A</v>
          </cell>
        </row>
        <row r="14520">
          <cell r="A14520" t="str">
            <v>2dodtricoa_m</v>
          </cell>
          <cell r="B14520" t="str">
            <v>2dodtricoa</v>
          </cell>
          <cell r="C14520" t="str">
            <v>2,6,9-Dodecatrienoyl Coenzyme A</v>
          </cell>
        </row>
        <row r="14521">
          <cell r="A14521" t="str">
            <v>3dodtricoa_x</v>
          </cell>
          <cell r="B14521" t="str">
            <v>3dodtricoa</v>
          </cell>
          <cell r="C14521" t="str">
            <v>3,6,9-Dodecatrienoyl Coenzyme A</v>
          </cell>
        </row>
        <row r="14522">
          <cell r="A14522" t="str">
            <v>c14dccoa_x</v>
          </cell>
          <cell r="B14522" t="str">
            <v>c14dccoa</v>
          </cell>
          <cell r="C14522" t="str">
            <v>Tetradecanedioyl Coenzyme A</v>
          </cell>
        </row>
        <row r="14523">
          <cell r="A14523" t="str">
            <v>hexde7coa_x</v>
          </cell>
          <cell r="B14523" t="str">
            <v>hexde7coa</v>
          </cell>
          <cell r="C14523" t="str">
            <v>7-Hexadecenoyl Coenzyme A</v>
          </cell>
        </row>
        <row r="14524">
          <cell r="A14524" t="str">
            <v>hexdectecoa_m</v>
          </cell>
          <cell r="B14524" t="str">
            <v>hexdectecoa</v>
          </cell>
          <cell r="C14524" t="str">
            <v>2,4,7,10-Hexadecatetraenoyl Coenzyme A</v>
          </cell>
        </row>
        <row r="14525">
          <cell r="A14525" t="str">
            <v>4hexdtricoa_x</v>
          </cell>
          <cell r="B14525" t="str">
            <v>4hexdtricoa</v>
          </cell>
          <cell r="C14525" t="str">
            <v>4,7,10-Hexadecatrienoyl Coenzyme A</v>
          </cell>
        </row>
        <row r="14526">
          <cell r="A14526" t="str">
            <v>3hexdtricoa_x</v>
          </cell>
          <cell r="B14526" t="str">
            <v>3hexdtricoa</v>
          </cell>
          <cell r="C14526" t="str">
            <v>3,7,10-Hexadecatrienoyl Coenzyme A</v>
          </cell>
        </row>
        <row r="14527">
          <cell r="A14527" t="str">
            <v>3hexdtetcoa_x</v>
          </cell>
          <cell r="B14527" t="str">
            <v>3hexdtetcoa</v>
          </cell>
          <cell r="C14527" t="str">
            <v>3,7,10,13-Hexadecatetraenoyl Coenzyme A</v>
          </cell>
        </row>
        <row r="14528">
          <cell r="A14528" t="str">
            <v>hexdiac_r</v>
          </cell>
          <cell r="B14528" t="str">
            <v>hexdiac</v>
          </cell>
          <cell r="C14528" t="str">
            <v>Hexadecanediocacid</v>
          </cell>
        </row>
        <row r="14529">
          <cell r="A14529" t="str">
            <v>3octdece1coa_m</v>
          </cell>
          <cell r="B14529" t="str">
            <v>3octdece1coa</v>
          </cell>
          <cell r="C14529" t="str">
            <v>3-Hydroxyoctadecenoyl Coenzyme A</v>
          </cell>
        </row>
        <row r="14530">
          <cell r="A14530" t="str">
            <v>3ocddcoa_m</v>
          </cell>
          <cell r="B14530" t="str">
            <v>3ocddcoa</v>
          </cell>
          <cell r="C14530" t="str">
            <v>3-Hydroxyoctadecadienoyl Coenzyme A</v>
          </cell>
        </row>
        <row r="14531">
          <cell r="A14531" t="str">
            <v>2octdectecoa_x</v>
          </cell>
          <cell r="B14531" t="str">
            <v>2octdectecoa</v>
          </cell>
          <cell r="C14531" t="str">
            <v>2,6,9,12-Octadecatetraenoyl Coenzyme A</v>
          </cell>
        </row>
        <row r="14532">
          <cell r="A14532" t="str">
            <v>3octdectecoa_x</v>
          </cell>
          <cell r="B14532" t="str">
            <v>3octdectecoa</v>
          </cell>
          <cell r="C14532" t="str">
            <v>3,6,9,12-Octadecatetraenoyl Coenzyme A</v>
          </cell>
        </row>
        <row r="14533">
          <cell r="A14533" t="str">
            <v>ei11ecoa_x</v>
          </cell>
          <cell r="B14533" t="str">
            <v>ei11ecoa</v>
          </cell>
          <cell r="C14533" t="str">
            <v>11-Eicosenoyl Coenzyme A</v>
          </cell>
        </row>
        <row r="14534">
          <cell r="A14534" t="str">
            <v>eitetcoa_m</v>
          </cell>
          <cell r="B14534" t="str">
            <v>eitetcoa</v>
          </cell>
          <cell r="C14534" t="str">
            <v>5,8,11,14-Eicosatetraenoyl Coenzyme A</v>
          </cell>
        </row>
        <row r="14535">
          <cell r="A14535" t="str">
            <v>2docopencoa_x</v>
          </cell>
          <cell r="B14535" t="str">
            <v>2docopencoa</v>
          </cell>
          <cell r="C14535" t="str">
            <v>2,7,10,13,16-Docosapentenoyl Coenzyme A</v>
          </cell>
        </row>
        <row r="14536">
          <cell r="A14536" t="str">
            <v>3docopencoa_x</v>
          </cell>
          <cell r="B14536" t="str">
            <v>3docopencoa</v>
          </cell>
          <cell r="C14536" t="str">
            <v>3,7,10,13,16-Docosapentenoyl Coenzyme A</v>
          </cell>
        </row>
        <row r="14537">
          <cell r="A14537" t="str">
            <v>docohepcoa_m</v>
          </cell>
          <cell r="B14537" t="str">
            <v>docohepcoa</v>
          </cell>
          <cell r="C14537" t="str">
            <v>2,4,7,10,13,16,19-Docosaheptenoyl Coenzyme A</v>
          </cell>
        </row>
        <row r="14538">
          <cell r="A14538" t="str">
            <v>hexdiac_c</v>
          </cell>
          <cell r="B14538" t="str">
            <v>hexdiac</v>
          </cell>
          <cell r="C14538" t="str">
            <v>Hexadecanediocacid</v>
          </cell>
        </row>
        <row r="14539">
          <cell r="A14539" t="str">
            <v>octdececrn_c</v>
          </cell>
          <cell r="B14539" t="str">
            <v>octdececrn</v>
          </cell>
          <cell r="C14539" t="str">
            <v>Octadecenoyl Carnitine (Hypothetical, Position Of Double Bond Unknown)</v>
          </cell>
        </row>
        <row r="14540">
          <cell r="A14540" t="str">
            <v>5hoxindoa_e</v>
          </cell>
          <cell r="B14540" t="str">
            <v>5hoxindoa</v>
          </cell>
          <cell r="C14540" t="str">
            <v>5-Hydroxyindoleacetate</v>
          </cell>
        </row>
        <row r="14541">
          <cell r="A14541" t="str">
            <v>gudac_e</v>
          </cell>
          <cell r="B14541" t="str">
            <v>gudac</v>
          </cell>
          <cell r="C14541" t="str">
            <v>Guanidinoacetate</v>
          </cell>
        </row>
        <row r="14542">
          <cell r="A14542" t="str">
            <v>L2aadp_e</v>
          </cell>
          <cell r="B14542" t="str">
            <v>L2aadp</v>
          </cell>
          <cell r="C14542" t="str">
            <v>L 2 Aminoadipate C6H10NO4</v>
          </cell>
        </row>
        <row r="14543">
          <cell r="A14543" t="str">
            <v>retinal_e</v>
          </cell>
          <cell r="B14543" t="str">
            <v>retinal</v>
          </cell>
          <cell r="C14543" t="str">
            <v>All-trans-Retinal</v>
          </cell>
        </row>
        <row r="14544">
          <cell r="A14544" t="str">
            <v>acrn_e</v>
          </cell>
          <cell r="B14544" t="str">
            <v>acrn</v>
          </cell>
          <cell r="C14544" t="str">
            <v>O Acetylcarnitine C9H17NO4</v>
          </cell>
        </row>
        <row r="14545">
          <cell r="A14545" t="str">
            <v>lneldccrn_e</v>
          </cell>
          <cell r="B14545" t="str">
            <v>lneldccrn</v>
          </cell>
          <cell r="C14545" t="str">
            <v>Linoelaidyl carnitine</v>
          </cell>
        </row>
        <row r="14546">
          <cell r="A14546" t="str">
            <v>stcrn_e</v>
          </cell>
          <cell r="B14546" t="str">
            <v>stcrn</v>
          </cell>
          <cell r="C14546" t="str">
            <v>Stearoylcarnitine</v>
          </cell>
        </row>
        <row r="14547">
          <cell r="A14547" t="str">
            <v>HC00342_e</v>
          </cell>
          <cell r="B14547" t="str">
            <v>HC00342</v>
          </cell>
          <cell r="C14547" t="str">
            <v>Cis-aconitate(3-); (1Z)-prop-1-ene-1,2,3-tricarboxylat</v>
          </cell>
        </row>
        <row r="14548">
          <cell r="A14548" t="str">
            <v>15kprostgf2_c</v>
          </cell>
          <cell r="B14548" t="str">
            <v>15kprostgf2</v>
          </cell>
          <cell r="C14548" t="str">
            <v>15-Keto-Prostaglandin F2A</v>
          </cell>
        </row>
        <row r="14549">
          <cell r="A14549" t="str">
            <v>phacgly_c</v>
          </cell>
          <cell r="B14549" t="str">
            <v>phacgly</v>
          </cell>
          <cell r="C14549" t="str">
            <v>Phenylacetylglycine</v>
          </cell>
        </row>
        <row r="14550">
          <cell r="A14550" t="str">
            <v>pcholpalm_hs_e</v>
          </cell>
          <cell r="B14550" t="str">
            <v>pcholpalm_hs</v>
          </cell>
          <cell r="C14550" t="str">
            <v>1-Palmitoylglycerophosphocholine</v>
          </cell>
        </row>
        <row r="14551">
          <cell r="A14551" t="str">
            <v>xolest226_hs_e</v>
          </cell>
          <cell r="B14551" t="str">
            <v>xolest226_hs</v>
          </cell>
          <cell r="C14551" t="str">
            <v>Cholesteryl Docosahexanoate, Cholesterol-Ester (22:6, Delta 4,7,10,13,16,19)</v>
          </cell>
        </row>
        <row r="14552">
          <cell r="A14552" t="str">
            <v>pcholar_hs_e</v>
          </cell>
          <cell r="B14552" t="str">
            <v>pcholar_hs</v>
          </cell>
          <cell r="C14552" t="str">
            <v>1-Arachidonoyl-Glycero-3-Phosphocholine</v>
          </cell>
        </row>
        <row r="14553">
          <cell r="A14553" t="str">
            <v>pcholn201_hs_e</v>
          </cell>
          <cell r="B14553" t="str">
            <v>pcholn201_hs</v>
          </cell>
          <cell r="C14553" t="str">
            <v>1-Eicosenoylglycerophosphocholine (Delta 11) ,Sn1-Lpc (20:1)</v>
          </cell>
        </row>
        <row r="14554">
          <cell r="A14554" t="str">
            <v>pcholn205_hs_e</v>
          </cell>
          <cell r="B14554" t="str">
            <v>pcholn205_hs</v>
          </cell>
          <cell r="C14554" t="str">
            <v>1-Eicosapentenoylglycerophosphocholine (Delta 5, 8, 11, 14, 17), Sn1-Lpc (20:5)</v>
          </cell>
        </row>
        <row r="14555">
          <cell r="A14555" t="str">
            <v>pcholn224_hs_e</v>
          </cell>
          <cell r="B14555" t="str">
            <v>pcholn224_hs</v>
          </cell>
          <cell r="C14555" t="str">
            <v>1-Docosatetraenoylglycerophosphocholine (Delta 7, 10, 13, 16), Sn1-Lpc (22:4)</v>
          </cell>
        </row>
        <row r="14556">
          <cell r="A14556" t="str">
            <v>pe226_hs_e</v>
          </cell>
          <cell r="B14556" t="str">
            <v>pe226_hs</v>
          </cell>
          <cell r="C14556" t="str">
            <v>1-Docosahexenoylglyceroethanolamine (Delta 4, 7, 10, 13, 16, 19), Lpe (22:6)</v>
          </cell>
        </row>
        <row r="14557">
          <cell r="A14557" t="str">
            <v>pailar_hs_e</v>
          </cell>
          <cell r="B14557" t="str">
            <v>pailar_hs</v>
          </cell>
          <cell r="C14557" t="str">
            <v>1-Arachidonoylglycerophosphoinositol</v>
          </cell>
        </row>
        <row r="14558">
          <cell r="A14558" t="str">
            <v>pelinl_hs_e</v>
          </cell>
          <cell r="B14558" t="str">
            <v>pelinl_hs</v>
          </cell>
          <cell r="C14558" t="str">
            <v>1-Linoleoylglycerophosphoethanolamine (Delta 9,12)</v>
          </cell>
        </row>
        <row r="14559">
          <cell r="A14559" t="str">
            <v>sphmyln1824_hs_c</v>
          </cell>
          <cell r="B14559" t="str">
            <v>sphmyln1824_hs</v>
          </cell>
          <cell r="C14559" t="str">
            <v>Sm (D18:0/24:0), Sphingomyelin</v>
          </cell>
        </row>
        <row r="14560">
          <cell r="A14560" t="str">
            <v>sphmyln1825_hs_c</v>
          </cell>
          <cell r="B14560" t="str">
            <v>sphmyln1825_hs</v>
          </cell>
          <cell r="C14560" t="str">
            <v>Sm (D18:0/25:0), Sphingomyelin</v>
          </cell>
        </row>
        <row r="14561">
          <cell r="A14561" t="str">
            <v>sphmyln18115_hs_c</v>
          </cell>
          <cell r="B14561" t="str">
            <v>sphmyln18115_hs</v>
          </cell>
          <cell r="C14561" t="str">
            <v>Sm (D18:1/15:0), Sphingomyelin</v>
          </cell>
        </row>
        <row r="14562">
          <cell r="A14562" t="str">
            <v>sphmyln18117_hs_c</v>
          </cell>
          <cell r="B14562" t="str">
            <v>sphmyln18117_hs</v>
          </cell>
          <cell r="C14562" t="str">
            <v>Sm (D18:1/17:0), Sphingomyelin</v>
          </cell>
        </row>
        <row r="14563">
          <cell r="A14563" t="str">
            <v>sphmyln181181_hs_c</v>
          </cell>
          <cell r="B14563" t="str">
            <v>sphmyln181181_hs</v>
          </cell>
          <cell r="C14563" t="str">
            <v>Sm (D18:1/18:1), Sphingomyelin</v>
          </cell>
        </row>
        <row r="14564">
          <cell r="A14564" t="str">
            <v>xolest183_hs_l</v>
          </cell>
          <cell r="B14564" t="str">
            <v>xolest183_hs</v>
          </cell>
          <cell r="C14564" t="str">
            <v>1-Gamma-Linolenoyl-Cholesterol, Cholesterol-Ester (18:3, Delta 6, 9, 12)</v>
          </cell>
        </row>
        <row r="14565">
          <cell r="A14565" t="str">
            <v>xolest205_hs_l</v>
          </cell>
          <cell r="B14565" t="str">
            <v>xolest205_hs</v>
          </cell>
          <cell r="C14565" t="str">
            <v>1-Timnodnoyl-Cholesterol, Cholesterol-Ester (20:5, Delta 5,8,11,14,17)</v>
          </cell>
        </row>
        <row r="14566">
          <cell r="A14566" t="str">
            <v>pcholole_hs_c</v>
          </cell>
          <cell r="B14566" t="str">
            <v>pcholole_hs</v>
          </cell>
          <cell r="C14566" t="str">
            <v>1-Oleoylglycerophosphocholine (Delta 9)</v>
          </cell>
        </row>
        <row r="14567">
          <cell r="A14567" t="str">
            <v>pcholpalme_hs_c</v>
          </cell>
          <cell r="B14567" t="str">
            <v>pcholpalme_hs</v>
          </cell>
          <cell r="C14567" t="str">
            <v>1-Palmitoleoylglycerophosphocholine (Delta 9)</v>
          </cell>
        </row>
        <row r="14568">
          <cell r="A14568" t="str">
            <v>pcholste_hs_c</v>
          </cell>
          <cell r="B14568" t="str">
            <v>pcholste_hs</v>
          </cell>
          <cell r="C14568" t="str">
            <v>1-Stearoylglycerophosphocholine</v>
          </cell>
        </row>
        <row r="14569">
          <cell r="A14569" t="str">
            <v>pe2linl_hs_c</v>
          </cell>
          <cell r="B14569" t="str">
            <v>pe2linl_hs</v>
          </cell>
          <cell r="C14569" t="str">
            <v>2-Linoleoylglycerophosphoethanolamine</v>
          </cell>
        </row>
        <row r="14570">
          <cell r="A14570" t="str">
            <v>pcholn1836_hs_c</v>
          </cell>
          <cell r="B14570" t="str">
            <v>pcholn1836_hs</v>
          </cell>
          <cell r="C14570" t="str">
            <v>1-Octadeca-Trienoylglycerophosphocholine, Sn1-Lpc (18:3, Delta 6, 9, 12)</v>
          </cell>
        </row>
        <row r="14571">
          <cell r="A14571" t="str">
            <v>pcholn19_hs_c</v>
          </cell>
          <cell r="B14571" t="str">
            <v>pcholn19_hs</v>
          </cell>
          <cell r="C14571" t="str">
            <v>1-Nonadecanoylglycerophosphocholine, Sn1-Lpc (19:0)</v>
          </cell>
        </row>
        <row r="14572">
          <cell r="A14572" t="str">
            <v>pcholn2254_hs_c</v>
          </cell>
          <cell r="B14572" t="str">
            <v>pcholn2254_hs</v>
          </cell>
          <cell r="C14572" t="str">
            <v>1-Docosapentenoylglycerophosphocholine (Delta 4, 7, 10, 13, 16), Sn1-Lpc (22:5)-W6</v>
          </cell>
        </row>
        <row r="14573">
          <cell r="A14573" t="str">
            <v>pcholn226_hs_c</v>
          </cell>
          <cell r="B14573" t="str">
            <v>pcholn226_hs</v>
          </cell>
          <cell r="C14573" t="str">
            <v>1-Docosahexenoylglycerophosphocholine (Delta 4, 7, 10, 13, 16, 19), Sn1-Lpc (22:6)</v>
          </cell>
        </row>
        <row r="14574">
          <cell r="A14574" t="str">
            <v>pear_hs_c</v>
          </cell>
          <cell r="B14574" t="str">
            <v>pear_hs</v>
          </cell>
          <cell r="C14574" t="str">
            <v>1-Arachidonoyl-Sn-Glycero-3-Phosphoethanolamine</v>
          </cell>
        </row>
        <row r="14575">
          <cell r="A14575" t="str">
            <v>pe161_hs_c</v>
          </cell>
          <cell r="B14575" t="str">
            <v>pe161_hs</v>
          </cell>
          <cell r="C14575" t="str">
            <v>1-Hexadecenoylglycerophosphoethanolamine (C16:1 Pe, Delta 9)</v>
          </cell>
        </row>
        <row r="14576">
          <cell r="A14576" t="str">
            <v>pe15_hs_c</v>
          </cell>
          <cell r="B14576" t="str">
            <v>pe15_hs</v>
          </cell>
          <cell r="C14576" t="str">
            <v>1-Pentadecanoylglycerophosphoethanolamine (C15:0 Pe)</v>
          </cell>
        </row>
        <row r="14577">
          <cell r="A14577" t="str">
            <v>pcholn203_hs_c</v>
          </cell>
          <cell r="B14577" t="str">
            <v>pcholn203_hs</v>
          </cell>
          <cell r="C14577" t="str">
            <v>1-Dihomo-Linolenoylglycerophosphocholine (20:3, Delta 8, 11, 14), Lysopc A C20:3</v>
          </cell>
        </row>
        <row r="14578">
          <cell r="A14578" t="str">
            <v>pcholdoc_hs_c</v>
          </cell>
          <cell r="B14578" t="str">
            <v>pcholdoc_hs</v>
          </cell>
          <cell r="C14578" t="str">
            <v>1-Docosahexaenoylglycerophosphocholine</v>
          </cell>
        </row>
        <row r="14579">
          <cell r="A14579" t="str">
            <v>eidi1114ac_c</v>
          </cell>
          <cell r="B14579" t="str">
            <v>eidi1114ac</v>
          </cell>
          <cell r="C14579" t="str">
            <v>Cis,Cis-11,14-Eicosadienoic Acid</v>
          </cell>
        </row>
        <row r="14580">
          <cell r="A14580" t="str">
            <v>2oxoadp_e</v>
          </cell>
          <cell r="B14580" t="str">
            <v>2oxoadp</v>
          </cell>
          <cell r="C14580" t="str">
            <v>2 Oxoadipate C6H6O5</v>
          </cell>
        </row>
        <row r="14581">
          <cell r="A14581" t="str">
            <v>5HPET_e</v>
          </cell>
          <cell r="B14581" t="str">
            <v>5HPET</v>
          </cell>
          <cell r="C14581" t="str">
            <v>5-Hydroperoxy-6-trans-8,11,14-cis-eicosatetraenoate</v>
          </cell>
        </row>
        <row r="14582">
          <cell r="A14582" t="str">
            <v>7dhchsterol_e</v>
          </cell>
          <cell r="B14582" t="str">
            <v>7dhchsterol</v>
          </cell>
          <cell r="C14582" t="str">
            <v>Cholesta-5,7-dien-3beta-ol</v>
          </cell>
        </row>
        <row r="14583">
          <cell r="A14583" t="str">
            <v>aclys_m</v>
          </cell>
          <cell r="B14583" t="str">
            <v>aclys</v>
          </cell>
          <cell r="C14583" t="str">
            <v>Acetyl-L-Lysine</v>
          </cell>
        </row>
        <row r="14584">
          <cell r="A14584" t="str">
            <v>acthr__L_c</v>
          </cell>
          <cell r="B14584" t="str">
            <v>acthr__L</v>
          </cell>
          <cell r="C14584" t="str">
            <v xml:space="preserve">Acetyl-Threonine </v>
          </cell>
        </row>
        <row r="14585">
          <cell r="A14585" t="str">
            <v>and19one_e</v>
          </cell>
          <cell r="B14585" t="str">
            <v>and19one</v>
          </cell>
          <cell r="C14585" t="str">
            <v>19-Hydroxyandrost-4-Ene-3,17-Dione</v>
          </cell>
        </row>
        <row r="14586">
          <cell r="A14586" t="str">
            <v>C02356_e</v>
          </cell>
          <cell r="B14586" t="str">
            <v>C02356</v>
          </cell>
          <cell r="C14586" t="str">
            <v>(S)-2-Aminobutanoate</v>
          </cell>
        </row>
        <row r="14587">
          <cell r="A14587" t="str">
            <v>C02712_e</v>
          </cell>
          <cell r="B14587" t="str">
            <v>C02712</v>
          </cell>
          <cell r="C14587" t="str">
            <v>N-Acetylmethionine</v>
          </cell>
        </row>
        <row r="14588">
          <cell r="A14588" t="str">
            <v>C05957_e</v>
          </cell>
          <cell r="B14588" t="str">
            <v>C05957</v>
          </cell>
          <cell r="C14588" t="str">
            <v>Prostaglandin J2</v>
          </cell>
        </row>
        <row r="14589">
          <cell r="A14589" t="str">
            <v>C11695_e</v>
          </cell>
          <cell r="B14589" t="str">
            <v>C11695</v>
          </cell>
          <cell r="C14589" t="str">
            <v>Anandamide</v>
          </cell>
        </row>
        <row r="14590">
          <cell r="A14590" t="str">
            <v>C14768_e</v>
          </cell>
          <cell r="B14590" t="str">
            <v>C14768</v>
          </cell>
          <cell r="C14590" t="str">
            <v>5,6-EET</v>
          </cell>
        </row>
        <row r="14591">
          <cell r="A14591" t="str">
            <v>C14771_e</v>
          </cell>
          <cell r="B14591" t="str">
            <v>C14771</v>
          </cell>
          <cell r="C14591" t="str">
            <v>14,15-EET</v>
          </cell>
        </row>
        <row r="14592">
          <cell r="A14592" t="str">
            <v>C14826_e</v>
          </cell>
          <cell r="B14592" t="str">
            <v>C14826</v>
          </cell>
          <cell r="C14592" t="str">
            <v>12(13)-EpOME</v>
          </cell>
        </row>
        <row r="14593">
          <cell r="A14593" t="str">
            <v>CE0955_c</v>
          </cell>
          <cell r="B14593" t="str">
            <v>CE0955</v>
          </cell>
          <cell r="C14593" t="str">
            <v>6-oxo-prostaglandin F1alpha</v>
          </cell>
        </row>
        <row r="14594">
          <cell r="A14594" t="str">
            <v>CE1273_e</v>
          </cell>
          <cell r="B14594" t="str">
            <v>CE1273</v>
          </cell>
          <cell r="C14594" t="str">
            <v>5beta-cholestane-3alpha,7alpha,12alpha,24S,25-pentol</v>
          </cell>
        </row>
        <row r="14595">
          <cell r="A14595" t="str">
            <v>CE1556_e</v>
          </cell>
          <cell r="B14595" t="str">
            <v>CE1556</v>
          </cell>
          <cell r="C14595" t="str">
            <v>N-acetyl-L-asparagine</v>
          </cell>
        </row>
        <row r="14596">
          <cell r="A14596" t="str">
            <v>CE2028_e</v>
          </cell>
          <cell r="B14596" t="str">
            <v>CE2028</v>
          </cell>
          <cell r="C14596" t="str">
            <v>Beta-hydroxy-beta-methylbutyrate</v>
          </cell>
        </row>
        <row r="14597">
          <cell r="A14597" t="str">
            <v>CE2176_e</v>
          </cell>
          <cell r="B14597" t="str">
            <v>CE2176</v>
          </cell>
          <cell r="C14597" t="str">
            <v>3-O-methyldopa</v>
          </cell>
        </row>
        <row r="14598">
          <cell r="A14598" t="str">
            <v>CE2445_e</v>
          </cell>
          <cell r="B14598" t="str">
            <v>CE2445</v>
          </cell>
          <cell r="C14598" t="str">
            <v>6-trans-leukotriene B4</v>
          </cell>
        </row>
        <row r="14599">
          <cell r="A14599" t="str">
            <v>CE2510_e</v>
          </cell>
          <cell r="B14599" t="str">
            <v>CE2510</v>
          </cell>
          <cell r="C14599" t="str">
            <v>11-cis-eicosenoate</v>
          </cell>
        </row>
        <row r="14600">
          <cell r="A14600" t="str">
            <v>CE2537_e</v>
          </cell>
          <cell r="B14600" t="str">
            <v>CE2537</v>
          </cell>
          <cell r="C14600" t="str">
            <v>15-hydroxy-(8Z,11Z,13E)-eicosatrienoate</v>
          </cell>
        </row>
        <row r="14601">
          <cell r="A14601" t="str">
            <v>CE5304_e</v>
          </cell>
          <cell r="B14601" t="str">
            <v>CE5304</v>
          </cell>
          <cell r="C14601" t="str">
            <v>15-deoxy-PGD2</v>
          </cell>
        </row>
        <row r="14602">
          <cell r="A14602" t="str">
            <v>CE6031_e</v>
          </cell>
          <cell r="B14602" t="str">
            <v>CE6031</v>
          </cell>
          <cell r="C14602" t="str">
            <v>Androsterone Sulfate</v>
          </cell>
        </row>
        <row r="14603">
          <cell r="A14603" t="str">
            <v>cortsn_c</v>
          </cell>
          <cell r="B14603" t="str">
            <v>cortsn</v>
          </cell>
          <cell r="C14603" t="str">
            <v>Cortsn r</v>
          </cell>
        </row>
        <row r="14604">
          <cell r="A14604" t="str">
            <v>didecaeth_e</v>
          </cell>
          <cell r="B14604" t="str">
            <v>didecaeth</v>
          </cell>
          <cell r="C14604" t="str">
            <v>C12:0-Ethanolamide, Didecanoyl Ethanolamide</v>
          </cell>
        </row>
        <row r="14605">
          <cell r="A14605" t="str">
            <v>HC00319_e</v>
          </cell>
          <cell r="B14605" t="str">
            <v>HC00319</v>
          </cell>
          <cell r="C14605" t="str">
            <v>Malonate; propanedioate</v>
          </cell>
        </row>
        <row r="14606">
          <cell r="A14606" t="str">
            <v>hgentis_e</v>
          </cell>
          <cell r="B14606" t="str">
            <v>hgentis</v>
          </cell>
          <cell r="C14606" t="str">
            <v>Homogentisate C8H7O4</v>
          </cell>
        </row>
        <row r="14607">
          <cell r="A14607" t="str">
            <v>hmcarn_e</v>
          </cell>
          <cell r="B14607" t="str">
            <v>hmcarn</v>
          </cell>
          <cell r="C14607" t="str">
            <v>Homocarnosine</v>
          </cell>
        </row>
        <row r="14608">
          <cell r="A14608" t="str">
            <v>Lpipecol_e</v>
          </cell>
          <cell r="B14608" t="str">
            <v>Lpipecol</v>
          </cell>
          <cell r="C14608" t="str">
            <v>L-pipecolic acid; piperidine-2-carboxylic acid</v>
          </cell>
        </row>
        <row r="14609">
          <cell r="A14609" t="str">
            <v>oleth_e</v>
          </cell>
          <cell r="B14609" t="str">
            <v>oleth</v>
          </cell>
          <cell r="C14609" t="str">
            <v>Oleoyl Ethanolamide</v>
          </cell>
        </row>
        <row r="14610">
          <cell r="A14610" t="str">
            <v>pcollg5hlys_e</v>
          </cell>
          <cell r="B14610" t="str">
            <v>pcollg5hlys</v>
          </cell>
          <cell r="C14610" t="str">
            <v>Procollagen 5-hydroxy-L-lysine</v>
          </cell>
        </row>
        <row r="14611">
          <cell r="A14611" t="str">
            <v>pmeth_e</v>
          </cell>
          <cell r="B14611" t="str">
            <v>pmeth</v>
          </cell>
          <cell r="C14611" t="str">
            <v>Palmitoylethanolamide</v>
          </cell>
        </row>
        <row r="14612">
          <cell r="A14612" t="str">
            <v>sebacid_e</v>
          </cell>
          <cell r="B14612" t="str">
            <v>sebacid</v>
          </cell>
          <cell r="C14612" t="str">
            <v>Sebacicacid</v>
          </cell>
        </row>
        <row r="14613">
          <cell r="A14613" t="str">
            <v>sphmyln181161_hs_e</v>
          </cell>
          <cell r="B14613" t="str">
            <v>sphmyln181161_hs</v>
          </cell>
          <cell r="C14613" t="str">
            <v>Sm (D18:1/16:1), Sphingomyelin</v>
          </cell>
        </row>
        <row r="14614">
          <cell r="A14614" t="str">
            <v>sphmyln18123_hs_e</v>
          </cell>
          <cell r="B14614" t="str">
            <v>sphmyln18123_hs</v>
          </cell>
          <cell r="C14614" t="str">
            <v>Sm (D18:1/23:0), Sphingomyelin</v>
          </cell>
        </row>
        <row r="14615">
          <cell r="A14615" t="str">
            <v>tetdecaeth_e</v>
          </cell>
          <cell r="B14615" t="str">
            <v>tetdecaeth</v>
          </cell>
          <cell r="C14615" t="str">
            <v>C14:0-Ethanolamide, Tetradecanoyl Ethanolamide</v>
          </cell>
        </row>
        <row r="14616">
          <cell r="A14616" t="str">
            <v>trideceth_e</v>
          </cell>
          <cell r="B14616" t="str">
            <v>trideceth</v>
          </cell>
          <cell r="C14616" t="str">
            <v>Tridecanoyl Thanolamide (C13:0)</v>
          </cell>
        </row>
        <row r="14617">
          <cell r="A14617" t="str">
            <v>hxa_x</v>
          </cell>
          <cell r="B14617" t="str">
            <v>hxa</v>
          </cell>
          <cell r="C14617" t="str">
            <v>Hexanoate (n-C6:0)</v>
          </cell>
        </row>
        <row r="14618">
          <cell r="A14618" t="str">
            <v>achom__L_e</v>
          </cell>
          <cell r="B14618" t="str">
            <v>achom__L</v>
          </cell>
          <cell r="C14618" t="str">
            <v>Acetylhomoserine</v>
          </cell>
        </row>
        <row r="14619">
          <cell r="A14619" t="str">
            <v>pheacgly_c</v>
          </cell>
          <cell r="B14619" t="str">
            <v>pheacgly</v>
          </cell>
          <cell r="C14619" t="str">
            <v>Phenylacetylglycine</v>
          </cell>
        </row>
        <row r="14620">
          <cell r="A14620" t="str">
            <v>pcs_c</v>
          </cell>
          <cell r="B14620" t="str">
            <v>pcs</v>
          </cell>
          <cell r="C14620" t="str">
            <v>P-Cresol Sulfate</v>
          </cell>
        </row>
        <row r="14621">
          <cell r="A14621" t="str">
            <v>alaargcys_e</v>
          </cell>
          <cell r="B14621" t="str">
            <v>alaargcys</v>
          </cell>
          <cell r="C14621" t="str">
            <v>Alanyl-Arginyl-Cysteine</v>
          </cell>
        </row>
        <row r="14622">
          <cell r="A14622" t="str">
            <v>alaasnleu_e</v>
          </cell>
          <cell r="B14622" t="str">
            <v>alaasnleu</v>
          </cell>
          <cell r="C14622" t="str">
            <v>Alanyl-Asparaginyl-Leucine</v>
          </cell>
        </row>
        <row r="14623">
          <cell r="A14623" t="str">
            <v>alaglylys_e</v>
          </cell>
          <cell r="B14623" t="str">
            <v>alaglylys</v>
          </cell>
          <cell r="C14623" t="str">
            <v>Alanyl-Glycyl-Lysine</v>
          </cell>
        </row>
        <row r="14624">
          <cell r="A14624" t="str">
            <v>argarglys_e</v>
          </cell>
          <cell r="B14624" t="str">
            <v>argarglys</v>
          </cell>
          <cell r="C14624" t="str">
            <v>Arginyl-Arginyl-Lysine</v>
          </cell>
        </row>
        <row r="14625">
          <cell r="A14625" t="str">
            <v>argargmet_e</v>
          </cell>
          <cell r="B14625" t="str">
            <v>argargmet</v>
          </cell>
          <cell r="C14625" t="str">
            <v>Arginyl-Arginyl-Metheonine</v>
          </cell>
        </row>
        <row r="14626">
          <cell r="A14626" t="str">
            <v>argleuphe_e</v>
          </cell>
          <cell r="B14626" t="str">
            <v>argleuphe</v>
          </cell>
          <cell r="C14626" t="str">
            <v>Arginyl-Leucyl-Phenylalanine</v>
          </cell>
        </row>
        <row r="14627">
          <cell r="A14627" t="str">
            <v>arglysasp_e</v>
          </cell>
          <cell r="B14627" t="str">
            <v>arglysasp</v>
          </cell>
          <cell r="C14627" t="str">
            <v>Arginyl-Lysyl-Aspartate</v>
          </cell>
        </row>
        <row r="14628">
          <cell r="A14628" t="str">
            <v>argtyrval_e</v>
          </cell>
          <cell r="B14628" t="str">
            <v>argtyrval</v>
          </cell>
          <cell r="C14628" t="str">
            <v>Argtyrval</v>
          </cell>
        </row>
        <row r="14629">
          <cell r="A14629" t="str">
            <v>asnmetpro_e</v>
          </cell>
          <cell r="B14629" t="str">
            <v>asnmetpro</v>
          </cell>
          <cell r="C14629" t="str">
            <v>Asparaginyl-Methionyl-Proline</v>
          </cell>
        </row>
        <row r="14630">
          <cell r="A14630" t="str">
            <v>asnphecys_e</v>
          </cell>
          <cell r="B14630" t="str">
            <v>asnphecys</v>
          </cell>
          <cell r="C14630" t="str">
            <v>Asparaginyl-Phenylalanyl-Cysteine</v>
          </cell>
        </row>
        <row r="14631">
          <cell r="A14631" t="str">
            <v>aspalaarg_e</v>
          </cell>
          <cell r="B14631" t="str">
            <v>aspalaarg</v>
          </cell>
          <cell r="C14631" t="str">
            <v>Asparaginyl-Alanyl-Arginine</v>
          </cell>
        </row>
        <row r="14632">
          <cell r="A14632" t="str">
            <v>aspglu_e</v>
          </cell>
          <cell r="B14632" t="str">
            <v>aspglu</v>
          </cell>
          <cell r="C14632" t="str">
            <v>Aspartyl-Glutamate</v>
          </cell>
        </row>
        <row r="14633">
          <cell r="A14633" t="str">
            <v>asphispro_e</v>
          </cell>
          <cell r="B14633" t="str">
            <v>asphispro</v>
          </cell>
          <cell r="C14633" t="str">
            <v>Aspartyl-Histidyl-Proline</v>
          </cell>
        </row>
        <row r="14634">
          <cell r="A14634" t="str">
            <v>aspprolys_e</v>
          </cell>
          <cell r="B14634" t="str">
            <v>aspprolys</v>
          </cell>
          <cell r="C14634" t="str">
            <v>Aspartyl-Prolyl-Lysine</v>
          </cell>
        </row>
        <row r="14635">
          <cell r="A14635" t="str">
            <v>cyssermet_e</v>
          </cell>
          <cell r="B14635" t="str">
            <v>cyssermet</v>
          </cell>
          <cell r="C14635" t="str">
            <v>Cystyl-Seryl-Methionine</v>
          </cell>
        </row>
        <row r="14636">
          <cell r="A14636" t="str">
            <v>glnlystrp_e</v>
          </cell>
          <cell r="B14636" t="str">
            <v>glnlystrp</v>
          </cell>
          <cell r="C14636" t="str">
            <v>Glutaminyl-Lysyl-Tryptophan</v>
          </cell>
        </row>
        <row r="14637">
          <cell r="A14637" t="str">
            <v>gluthr_e</v>
          </cell>
          <cell r="B14637" t="str">
            <v>gluthr</v>
          </cell>
          <cell r="C14637" t="str">
            <v>Glutamyl-Threonine</v>
          </cell>
        </row>
        <row r="14638">
          <cell r="A14638" t="str">
            <v>hisargcys_e</v>
          </cell>
          <cell r="B14638" t="str">
            <v>hisargcys</v>
          </cell>
          <cell r="C14638" t="str">
            <v>Histidyl-Arginyl-Cysteine</v>
          </cell>
        </row>
        <row r="14639">
          <cell r="A14639" t="str">
            <v>hiscyscys_e</v>
          </cell>
          <cell r="B14639" t="str">
            <v>hiscyscys</v>
          </cell>
          <cell r="C14639" t="str">
            <v>Histidyl-Cystyl-Cysteine</v>
          </cell>
        </row>
        <row r="14640">
          <cell r="A14640" t="str">
            <v>hisglugln_e</v>
          </cell>
          <cell r="B14640" t="str">
            <v>hisglugln</v>
          </cell>
          <cell r="C14640" t="str">
            <v>Histidyl-Glutamyl-Glutamine</v>
          </cell>
        </row>
        <row r="14641">
          <cell r="A14641" t="str">
            <v>hislysval_e</v>
          </cell>
          <cell r="B14641" t="str">
            <v>hislysval</v>
          </cell>
          <cell r="C14641" t="str">
            <v>Histidyl-Lysyl-Valine</v>
          </cell>
        </row>
        <row r="14642">
          <cell r="A14642" t="str">
            <v>hismet_e</v>
          </cell>
          <cell r="B14642" t="str">
            <v>hismet</v>
          </cell>
          <cell r="C14642" t="str">
            <v>Histidyl-Methionine</v>
          </cell>
        </row>
        <row r="14643">
          <cell r="A14643" t="str">
            <v>ileargile_e</v>
          </cell>
          <cell r="B14643" t="str">
            <v>ileargile</v>
          </cell>
          <cell r="C14643" t="str">
            <v>Isoleucyl-Arginyl-Isoleucine</v>
          </cell>
        </row>
        <row r="14644">
          <cell r="A14644" t="str">
            <v>ileasnhis_e</v>
          </cell>
          <cell r="B14644" t="str">
            <v>ileasnhis</v>
          </cell>
          <cell r="C14644" t="str">
            <v>Isoleucyl-Asparaginyl-Histidine</v>
          </cell>
        </row>
        <row r="14645">
          <cell r="A14645" t="str">
            <v>leupro_e</v>
          </cell>
          <cell r="B14645" t="str">
            <v>leupro</v>
          </cell>
          <cell r="C14645" t="str">
            <v>Leucyl-Proline</v>
          </cell>
        </row>
        <row r="14646">
          <cell r="A14646" t="str">
            <v>leusertrp_e</v>
          </cell>
          <cell r="B14646" t="str">
            <v>leusertrp</v>
          </cell>
          <cell r="C14646" t="str">
            <v>Leucyl-Seryl-Tryptophan</v>
          </cell>
        </row>
        <row r="14647">
          <cell r="A14647" t="str">
            <v>leutrparg_e</v>
          </cell>
          <cell r="B14647" t="str">
            <v>leutrparg</v>
          </cell>
          <cell r="C14647" t="str">
            <v>Leucyl-Tryptophanyl-Arginine</v>
          </cell>
        </row>
        <row r="14648">
          <cell r="A14648" t="str">
            <v>lysargleu_e</v>
          </cell>
          <cell r="B14648" t="str">
            <v>lysargleu</v>
          </cell>
          <cell r="C14648" t="str">
            <v>Lysyl-Arginyl-Leucine</v>
          </cell>
        </row>
        <row r="14649">
          <cell r="A14649" t="str">
            <v>lysgluglu_e</v>
          </cell>
          <cell r="B14649" t="str">
            <v>lysgluglu</v>
          </cell>
          <cell r="C14649" t="str">
            <v>Lysyl-Glutamyl-Glutamate</v>
          </cell>
        </row>
        <row r="14650">
          <cell r="A14650" t="str">
            <v>lyspheile_e</v>
          </cell>
          <cell r="B14650" t="str">
            <v>lyspheile</v>
          </cell>
          <cell r="C14650" t="str">
            <v>Lysyl-Phenylalanyl-Isoleucine</v>
          </cell>
        </row>
        <row r="14651">
          <cell r="A14651" t="str">
            <v>lysvalphe_e</v>
          </cell>
          <cell r="B14651" t="str">
            <v>lysvalphe</v>
          </cell>
          <cell r="C14651" t="str">
            <v>Lysyl-Valyl-Phenylalanine</v>
          </cell>
        </row>
        <row r="14652">
          <cell r="A14652" t="str">
            <v>metargleu_e</v>
          </cell>
          <cell r="B14652" t="str">
            <v>metargleu</v>
          </cell>
          <cell r="C14652" t="str">
            <v>Methionyl-Arginyl-Leucine</v>
          </cell>
        </row>
        <row r="14653">
          <cell r="A14653" t="str">
            <v>metphearg_e</v>
          </cell>
          <cell r="B14653" t="str">
            <v>metphearg</v>
          </cell>
          <cell r="C14653" t="str">
            <v>Methionyl-Phenylalanyl-Arginine</v>
          </cell>
        </row>
        <row r="14654">
          <cell r="A14654" t="str">
            <v>pheasnmet_e</v>
          </cell>
          <cell r="B14654" t="str">
            <v>pheasnmet</v>
          </cell>
          <cell r="C14654" t="str">
            <v>Phenylalanyl-Asparaginyl-Methionine</v>
          </cell>
        </row>
        <row r="14655">
          <cell r="A14655" t="str">
            <v>phetyr_e</v>
          </cell>
          <cell r="B14655" t="str">
            <v>phetyr</v>
          </cell>
          <cell r="C14655" t="str">
            <v>Phenylalanyl-Tyrosine</v>
          </cell>
        </row>
        <row r="14656">
          <cell r="A14656" t="str">
            <v>phetyrgln_e</v>
          </cell>
          <cell r="B14656" t="str">
            <v>phetyrgln</v>
          </cell>
          <cell r="C14656" t="str">
            <v>Phenylalanyl-Tyrosinyl-Glutamine</v>
          </cell>
        </row>
        <row r="14657">
          <cell r="A14657" t="str">
            <v>proargasp_e</v>
          </cell>
          <cell r="B14657" t="str">
            <v>proargasp</v>
          </cell>
          <cell r="C14657" t="str">
            <v>Prolyl-Arginyl-Aspartate</v>
          </cell>
        </row>
        <row r="14658">
          <cell r="A14658" t="str">
            <v>proargcys_e</v>
          </cell>
          <cell r="B14658" t="str">
            <v>proargcys</v>
          </cell>
          <cell r="C14658" t="str">
            <v>Prolyl-Arginyl-Cysteine</v>
          </cell>
        </row>
        <row r="14659">
          <cell r="A14659" t="str">
            <v>proasncys_e</v>
          </cell>
          <cell r="B14659" t="str">
            <v>proasncys</v>
          </cell>
          <cell r="C14659" t="str">
            <v>Prolyl-Asparaginyl-Cysteine</v>
          </cell>
        </row>
        <row r="14660">
          <cell r="A14660" t="str">
            <v>procys_e</v>
          </cell>
          <cell r="B14660" t="str">
            <v>procys</v>
          </cell>
          <cell r="C14660" t="str">
            <v>Prolyl-Cysteine</v>
          </cell>
        </row>
        <row r="14661">
          <cell r="A14661" t="str">
            <v>prohistyr_e</v>
          </cell>
          <cell r="B14661" t="str">
            <v>prohistyr</v>
          </cell>
          <cell r="C14661" t="str">
            <v>Prolyl-Histidyl-Tyrosine</v>
          </cell>
        </row>
        <row r="14662">
          <cell r="A14662" t="str">
            <v>proleuarg_e</v>
          </cell>
          <cell r="B14662" t="str">
            <v>proleuarg</v>
          </cell>
          <cell r="C14662" t="str">
            <v>Prolyl-Leucyl-Arginine</v>
          </cell>
        </row>
        <row r="14663">
          <cell r="A14663" t="str">
            <v>proproarg_e</v>
          </cell>
          <cell r="B14663" t="str">
            <v>proproarg</v>
          </cell>
          <cell r="C14663" t="str">
            <v>Prolyl-Prolyl-Arginine</v>
          </cell>
        </row>
        <row r="14664">
          <cell r="A14664" t="str">
            <v>serargtrp_e</v>
          </cell>
          <cell r="B14664" t="str">
            <v>serargtrp</v>
          </cell>
          <cell r="C14664" t="str">
            <v>Seryl-Arginyl-Tryptophan</v>
          </cell>
        </row>
        <row r="14665">
          <cell r="A14665" t="str">
            <v>thrargtyr_e</v>
          </cell>
          <cell r="B14665" t="str">
            <v>thrargtyr</v>
          </cell>
          <cell r="C14665" t="str">
            <v>Threonyl-Arginyl-Tyrosine</v>
          </cell>
        </row>
        <row r="14666">
          <cell r="A14666" t="str">
            <v>thrilearg_e</v>
          </cell>
          <cell r="B14666" t="str">
            <v>thrilearg</v>
          </cell>
          <cell r="C14666" t="str">
            <v>Threonyl-Isoleucyl-Arginine</v>
          </cell>
        </row>
        <row r="14667">
          <cell r="A14667" t="str">
            <v>thrmetarg_e</v>
          </cell>
          <cell r="B14667" t="str">
            <v>thrmetarg</v>
          </cell>
          <cell r="C14667" t="str">
            <v>Threonyl-Methionyl-Arginine</v>
          </cell>
        </row>
        <row r="14668">
          <cell r="A14668" t="str">
            <v>thrphearg_e</v>
          </cell>
          <cell r="B14668" t="str">
            <v>thrphearg</v>
          </cell>
          <cell r="C14668" t="str">
            <v>Threonyl-Phenylalanyl-Arginine</v>
          </cell>
        </row>
        <row r="14669">
          <cell r="A14669" t="str">
            <v>thrthrarg_e</v>
          </cell>
          <cell r="B14669" t="str">
            <v>thrthrarg</v>
          </cell>
          <cell r="C14669" t="str">
            <v>Threonyl-Threonyl-Arginine</v>
          </cell>
        </row>
        <row r="14670">
          <cell r="A14670" t="str">
            <v>trpglyleu_e</v>
          </cell>
          <cell r="B14670" t="str">
            <v>trpglyleu</v>
          </cell>
          <cell r="C14670" t="str">
            <v>Tryptophanyl-Glycyl-Leucine</v>
          </cell>
        </row>
        <row r="14671">
          <cell r="A14671" t="str">
            <v>trphismet_e</v>
          </cell>
          <cell r="B14671" t="str">
            <v>trphismet</v>
          </cell>
          <cell r="C14671" t="str">
            <v>Tryptophanyl-Histidyl-Methionine</v>
          </cell>
        </row>
        <row r="14672">
          <cell r="A14672" t="str">
            <v>trpleuval_e</v>
          </cell>
          <cell r="B14672" t="str">
            <v>trpleuval</v>
          </cell>
          <cell r="C14672" t="str">
            <v>Tryptophanyl-Leucyl-Valine</v>
          </cell>
        </row>
        <row r="14673">
          <cell r="A14673" t="str">
            <v>trpmetval_e</v>
          </cell>
          <cell r="B14673" t="str">
            <v>trpmetval</v>
          </cell>
          <cell r="C14673" t="str">
            <v>Tryptophanyl-Methionyl-Valine</v>
          </cell>
        </row>
        <row r="14674">
          <cell r="A14674" t="str">
            <v>trpthrglu_e</v>
          </cell>
          <cell r="B14674" t="str">
            <v>trpthrglu</v>
          </cell>
          <cell r="C14674" t="str">
            <v>Tryptophanyl-Threonyl-Glutamate</v>
          </cell>
        </row>
        <row r="14675">
          <cell r="A14675" t="str">
            <v>trpvalasp_e</v>
          </cell>
          <cell r="B14675" t="str">
            <v>trpvalasp</v>
          </cell>
          <cell r="C14675" t="str">
            <v>Tryptophanyl-Valyl-Aspartate</v>
          </cell>
        </row>
        <row r="14676">
          <cell r="A14676" t="str">
            <v>tyrargser_e</v>
          </cell>
          <cell r="B14676" t="str">
            <v>tyrargser</v>
          </cell>
          <cell r="C14676" t="str">
            <v>Tyrosyl-Arginyl-Serine</v>
          </cell>
        </row>
        <row r="14677">
          <cell r="A14677" t="str">
            <v>tyrphetyr_e</v>
          </cell>
          <cell r="B14677" t="str">
            <v>tyrphetyr</v>
          </cell>
          <cell r="C14677" t="str">
            <v>Tyrosyl-Phenylalanyl-Tyrosine</v>
          </cell>
        </row>
        <row r="14678">
          <cell r="A14678" t="str">
            <v>tyrthr_e</v>
          </cell>
          <cell r="B14678" t="str">
            <v>tyrthr</v>
          </cell>
          <cell r="C14678" t="str">
            <v>Tyrosyl-Threonine</v>
          </cell>
        </row>
        <row r="14679">
          <cell r="A14679" t="str">
            <v>tyrtyr_e</v>
          </cell>
          <cell r="B14679" t="str">
            <v>tyrtyr</v>
          </cell>
          <cell r="C14679" t="str">
            <v>Tyrosyl-Tyrosine</v>
          </cell>
        </row>
        <row r="14680">
          <cell r="A14680" t="str">
            <v>valarggly_e</v>
          </cell>
          <cell r="B14680" t="str">
            <v>valarggly</v>
          </cell>
          <cell r="C14680" t="str">
            <v>Valyl-Arginyl-Glycine</v>
          </cell>
        </row>
        <row r="14681">
          <cell r="A14681" t="str">
            <v>valleuphe_e</v>
          </cell>
          <cell r="B14681" t="str">
            <v>valleuphe</v>
          </cell>
          <cell r="C14681" t="str">
            <v>Valyl-Leucyl-Phenylalanine</v>
          </cell>
        </row>
        <row r="14682">
          <cell r="A14682" t="str">
            <v>valserarg_e</v>
          </cell>
          <cell r="B14682" t="str">
            <v>valserarg</v>
          </cell>
          <cell r="C14682" t="str">
            <v>Valyl-Seryl-Arginine</v>
          </cell>
        </row>
        <row r="14683">
          <cell r="A14683" t="str">
            <v>alaarggly_c</v>
          </cell>
          <cell r="B14683" t="str">
            <v>alaarggly</v>
          </cell>
          <cell r="C14683" t="str">
            <v>Alanyl-Arginyl-Glycine</v>
          </cell>
        </row>
        <row r="14684">
          <cell r="A14684" t="str">
            <v>alahisala_c</v>
          </cell>
          <cell r="B14684" t="str">
            <v>alahisala</v>
          </cell>
          <cell r="C14684" t="str">
            <v>Alanyl-Histidyl-Alanine</v>
          </cell>
        </row>
        <row r="14685">
          <cell r="A14685" t="str">
            <v>argalaphe_c</v>
          </cell>
          <cell r="B14685" t="str">
            <v>argalaphe</v>
          </cell>
          <cell r="C14685" t="str">
            <v>Arginyl-Alanine-Phenylalanine</v>
          </cell>
        </row>
        <row r="14686">
          <cell r="A14686" t="str">
            <v>argcysgly_c</v>
          </cell>
          <cell r="B14686" t="str">
            <v>argcysgly</v>
          </cell>
          <cell r="C14686" t="str">
            <v>Arginyl-Cystinyl-Glycine</v>
          </cell>
        </row>
        <row r="14687">
          <cell r="A14687" t="str">
            <v>argcysser_c</v>
          </cell>
          <cell r="B14687" t="str">
            <v>argcysser</v>
          </cell>
          <cell r="C14687" t="str">
            <v>Arginyl-Cystinyl-Serine</v>
          </cell>
        </row>
        <row r="14688">
          <cell r="A14688" t="str">
            <v>argglygly_c</v>
          </cell>
          <cell r="B14688" t="str">
            <v>argglygly</v>
          </cell>
          <cell r="C14688" t="str">
            <v>Arginyl-Glycyl-Glycine</v>
          </cell>
        </row>
        <row r="14689">
          <cell r="A14689" t="str">
            <v>arghisthr_c</v>
          </cell>
          <cell r="B14689" t="str">
            <v>arghisthr</v>
          </cell>
          <cell r="C14689" t="str">
            <v>Arginyl-Histidyl-Threonine</v>
          </cell>
        </row>
        <row r="14690">
          <cell r="A14690" t="str">
            <v>argpromet_c</v>
          </cell>
          <cell r="B14690" t="str">
            <v>argpromet</v>
          </cell>
          <cell r="C14690" t="str">
            <v>Arginyl-Prolyl-Methionine</v>
          </cell>
        </row>
        <row r="14691">
          <cell r="A14691" t="str">
            <v>argvaltrp_c</v>
          </cell>
          <cell r="B14691" t="str">
            <v>argvaltrp</v>
          </cell>
          <cell r="C14691" t="str">
            <v>Arginyl-Valyl-Tryptophan</v>
          </cell>
        </row>
        <row r="14692">
          <cell r="A14692" t="str">
            <v>asncyscys_c</v>
          </cell>
          <cell r="B14692" t="str">
            <v>asncyscys</v>
          </cell>
          <cell r="C14692" t="str">
            <v>Asparaginyl-Cysteinyl-Cysteine</v>
          </cell>
        </row>
        <row r="14693">
          <cell r="A14693" t="str">
            <v>asntyrthr_c</v>
          </cell>
          <cell r="B14693" t="str">
            <v>asntyrthr</v>
          </cell>
          <cell r="C14693" t="str">
            <v>Asparaginyl-Tyrosyl-Threonine</v>
          </cell>
        </row>
        <row r="14694">
          <cell r="A14694" t="str">
            <v>aspglutrp_c</v>
          </cell>
          <cell r="B14694" t="str">
            <v>aspglutrp</v>
          </cell>
          <cell r="C14694" t="str">
            <v>Aspartyl-Glutamyl-Tryptophan</v>
          </cell>
        </row>
        <row r="14695">
          <cell r="A14695" t="str">
            <v>aspmetasp_c</v>
          </cell>
          <cell r="B14695" t="str">
            <v>aspmetasp</v>
          </cell>
          <cell r="C14695" t="str">
            <v>Aspartyl-Methionyl-Aspartate</v>
          </cell>
        </row>
        <row r="14696">
          <cell r="A14696" t="str">
            <v>cysaspphe_c</v>
          </cell>
          <cell r="B14696" t="str">
            <v>cysaspphe</v>
          </cell>
          <cell r="C14696" t="str">
            <v>Cystyl-Aspartyl-Phenylalanine</v>
          </cell>
        </row>
        <row r="14697">
          <cell r="A14697" t="str">
            <v>glnhishis_c</v>
          </cell>
          <cell r="B14697" t="str">
            <v>glnhishis</v>
          </cell>
          <cell r="C14697" t="str">
            <v>Glutaminyl-Histidyl-Histidine</v>
          </cell>
        </row>
        <row r="14698">
          <cell r="A14698" t="str">
            <v>glnhislys_c</v>
          </cell>
          <cell r="B14698" t="str">
            <v>glnhislys</v>
          </cell>
          <cell r="C14698" t="str">
            <v>Glutaminyl-Histidyl-Lysine</v>
          </cell>
        </row>
        <row r="14699">
          <cell r="A14699" t="str">
            <v>gluargleu_c</v>
          </cell>
          <cell r="B14699" t="str">
            <v>gluargleu</v>
          </cell>
          <cell r="C14699" t="str">
            <v>Glutaminyl-Arginyl-Leucine</v>
          </cell>
        </row>
        <row r="14700">
          <cell r="A14700" t="str">
            <v>gluasnleu_c</v>
          </cell>
          <cell r="B14700" t="str">
            <v>gluasnleu</v>
          </cell>
          <cell r="C14700" t="str">
            <v>Glutaminyl-Asparaginyl-Leucine</v>
          </cell>
        </row>
        <row r="14701">
          <cell r="A14701" t="str">
            <v>gluglu_c</v>
          </cell>
          <cell r="B14701" t="str">
            <v>gluglu</v>
          </cell>
          <cell r="C14701" t="str">
            <v>Glutamyl-Glutamate</v>
          </cell>
        </row>
        <row r="14702">
          <cell r="A14702" t="str">
            <v>glylysphe_c</v>
          </cell>
          <cell r="B14702" t="str">
            <v>glylysphe</v>
          </cell>
          <cell r="C14702" t="str">
            <v>Glycyl-Lysyl-Phenylalanine</v>
          </cell>
        </row>
        <row r="14703">
          <cell r="A14703" t="str">
            <v>glytyrlys_c</v>
          </cell>
          <cell r="B14703" t="str">
            <v>glytyrlys</v>
          </cell>
          <cell r="C14703" t="str">
            <v>Glycyl-Tyrosyl-Lysine</v>
          </cell>
        </row>
        <row r="14704">
          <cell r="A14704" t="str">
            <v>glyvalhis_c</v>
          </cell>
          <cell r="B14704" t="str">
            <v>glyvalhis</v>
          </cell>
          <cell r="C14704" t="str">
            <v>Glycyl-Valyl-Histidine</v>
          </cell>
        </row>
        <row r="14705">
          <cell r="A14705" t="str">
            <v>hisasp_c</v>
          </cell>
          <cell r="B14705" t="str">
            <v>hisasp</v>
          </cell>
          <cell r="C14705" t="str">
            <v>Histidyl-Aspartate</v>
          </cell>
        </row>
        <row r="14706">
          <cell r="A14706" t="str">
            <v>hisglylys_c</v>
          </cell>
          <cell r="B14706" t="str">
            <v>hisglylys</v>
          </cell>
          <cell r="C14706" t="str">
            <v>Histidyl-Lysyl-Lysine</v>
          </cell>
        </row>
        <row r="14707">
          <cell r="A14707" t="str">
            <v>ileglnglu_c</v>
          </cell>
          <cell r="B14707" t="str">
            <v>ileglnglu</v>
          </cell>
          <cell r="C14707" t="str">
            <v>Isolecyl-Glutaminyl-Glutamate</v>
          </cell>
        </row>
        <row r="14708">
          <cell r="A14708" t="str">
            <v>iletrptyr_c</v>
          </cell>
          <cell r="B14708" t="str">
            <v>iletrptyr</v>
          </cell>
          <cell r="C14708" t="str">
            <v>Isolecyl-Tryptophanyl-Tyrosine</v>
          </cell>
        </row>
        <row r="14709">
          <cell r="A14709" t="str">
            <v>leualaarg_c</v>
          </cell>
          <cell r="B14709" t="str">
            <v>leualaarg</v>
          </cell>
          <cell r="C14709" t="str">
            <v>Leucyl-Alanyl-Arginine</v>
          </cell>
        </row>
        <row r="14710">
          <cell r="A14710" t="str">
            <v>leutrp_c</v>
          </cell>
          <cell r="B14710" t="str">
            <v>leutrp</v>
          </cell>
          <cell r="C14710" t="str">
            <v>Leucyl-Tryptophan</v>
          </cell>
        </row>
        <row r="14711">
          <cell r="A14711" t="str">
            <v>metasntyr_c</v>
          </cell>
          <cell r="B14711" t="str">
            <v>metasntyr</v>
          </cell>
          <cell r="C14711" t="str">
            <v>Methionyl-Asparaginyl-Tyrosine</v>
          </cell>
        </row>
        <row r="14712">
          <cell r="A14712" t="str">
            <v>metmetile_c</v>
          </cell>
          <cell r="B14712" t="str">
            <v>metmetile</v>
          </cell>
          <cell r="C14712" t="str">
            <v>Methionyl-Methionyl-Isoleucine</v>
          </cell>
        </row>
        <row r="14713">
          <cell r="A14713" t="str">
            <v>pheleu_c</v>
          </cell>
          <cell r="B14713" t="str">
            <v>pheleu</v>
          </cell>
          <cell r="C14713" t="str">
            <v>Phenylalanyl-Leucine</v>
          </cell>
        </row>
        <row r="14714">
          <cell r="A14714" t="str">
            <v>pheleuasp_c</v>
          </cell>
          <cell r="B14714" t="str">
            <v>pheleuasp</v>
          </cell>
          <cell r="C14714" t="str">
            <v>Phenylalanyl-Leucyl-Aspartate</v>
          </cell>
        </row>
        <row r="14715">
          <cell r="A14715" t="str">
            <v>phephe_c</v>
          </cell>
          <cell r="B14715" t="str">
            <v>phephe</v>
          </cell>
          <cell r="C14715" t="str">
            <v>Phenylalanyl-Phenylalanine</v>
          </cell>
        </row>
        <row r="14716">
          <cell r="A14716" t="str">
            <v>phethrlys_c</v>
          </cell>
          <cell r="B14716" t="str">
            <v>phethrlys</v>
          </cell>
          <cell r="C14716" t="str">
            <v>Phenylalanyl-Threonyl-Lysine</v>
          </cell>
        </row>
        <row r="14717">
          <cell r="A14717" t="str">
            <v>phetrpleu_c</v>
          </cell>
          <cell r="B14717" t="str">
            <v>phetrpleu</v>
          </cell>
          <cell r="C14717" t="str">
            <v>Phenylalanyl-Tryptophanyl-Leucine</v>
          </cell>
        </row>
        <row r="14718">
          <cell r="A14718" t="str">
            <v>phetyrlys_c</v>
          </cell>
          <cell r="B14718" t="str">
            <v>phetyrlys</v>
          </cell>
          <cell r="C14718" t="str">
            <v>Phenylalanyl-Tyrosinyl-Lysine</v>
          </cell>
        </row>
        <row r="14719">
          <cell r="A14719" t="str">
            <v>prophe_c</v>
          </cell>
          <cell r="B14719" t="str">
            <v>prophe</v>
          </cell>
          <cell r="C14719" t="str">
            <v>Prolyl-Phenylalanine</v>
          </cell>
        </row>
        <row r="14720">
          <cell r="A14720" t="str">
            <v>propropro_c</v>
          </cell>
          <cell r="B14720" t="str">
            <v>propropro</v>
          </cell>
          <cell r="C14720" t="str">
            <v>Prolyl-Prolyl-Proline</v>
          </cell>
        </row>
        <row r="14721">
          <cell r="A14721" t="str">
            <v>serargala_c</v>
          </cell>
          <cell r="B14721" t="str">
            <v>serargala</v>
          </cell>
          <cell r="C14721" t="str">
            <v>Seryl-Arginyl-Alanine</v>
          </cell>
        </row>
        <row r="14722">
          <cell r="A14722" t="str">
            <v>thrasntyr_c</v>
          </cell>
          <cell r="B14722" t="str">
            <v>thrasntyr</v>
          </cell>
          <cell r="C14722" t="str">
            <v>Threonyl-Asparaginyl-Tyrosine</v>
          </cell>
        </row>
        <row r="14723">
          <cell r="A14723" t="str">
            <v>trpalapro_c</v>
          </cell>
          <cell r="B14723" t="str">
            <v>trpalapro</v>
          </cell>
          <cell r="C14723" t="str">
            <v>Tryptophanyl-Alanyl-Proline</v>
          </cell>
        </row>
        <row r="14724">
          <cell r="A14724" t="str">
            <v>trpglngln_c</v>
          </cell>
          <cell r="B14724" t="str">
            <v>trpglngln</v>
          </cell>
          <cell r="C14724" t="str">
            <v>Tryptophanyl-Glutaminyl-Glutamine</v>
          </cell>
        </row>
        <row r="14725">
          <cell r="A14725" t="str">
            <v>trpglugly_c</v>
          </cell>
          <cell r="B14725" t="str">
            <v>trpglugly</v>
          </cell>
          <cell r="C14725" t="str">
            <v>Tryptophanyl-Glutamyl-Glycine</v>
          </cell>
        </row>
        <row r="14726">
          <cell r="A14726" t="str">
            <v>trpglutyr_c</v>
          </cell>
          <cell r="B14726" t="str">
            <v>trpglutyr</v>
          </cell>
          <cell r="C14726" t="str">
            <v>Tryptophanyl-Glutamyl-Tyrosine</v>
          </cell>
        </row>
        <row r="14727">
          <cell r="A14727" t="str">
            <v>trpilelys_c</v>
          </cell>
          <cell r="B14727" t="str">
            <v>trpilelys</v>
          </cell>
          <cell r="C14727" t="str">
            <v>Tryptophanyl-Isoleucyl-Lysine</v>
          </cell>
        </row>
        <row r="14728">
          <cell r="A14728" t="str">
            <v>trplys_c</v>
          </cell>
          <cell r="B14728" t="str">
            <v>trplys</v>
          </cell>
          <cell r="C14728" t="str">
            <v>Tryptophanyl-Lysine</v>
          </cell>
        </row>
        <row r="14729">
          <cell r="A14729" t="str">
            <v>trptyrtyr_c</v>
          </cell>
          <cell r="B14729" t="str">
            <v>trptyrtyr</v>
          </cell>
          <cell r="C14729" t="str">
            <v>Tryptophanyl-Tyrosyl-Tyrosine</v>
          </cell>
        </row>
        <row r="14730">
          <cell r="A14730" t="str">
            <v>tyrala_c</v>
          </cell>
          <cell r="B14730" t="str">
            <v>tyrala</v>
          </cell>
          <cell r="C14730" t="str">
            <v>Tyrosyl-Alanine</v>
          </cell>
        </row>
        <row r="14731">
          <cell r="A14731" t="str">
            <v>tyralaphe_c</v>
          </cell>
          <cell r="B14731" t="str">
            <v>tyralaphe</v>
          </cell>
          <cell r="C14731" t="str">
            <v>Tyrosyl-Alaninyl-Phenylalanine</v>
          </cell>
        </row>
        <row r="14732">
          <cell r="A14732" t="str">
            <v>tyrcysgly_c</v>
          </cell>
          <cell r="B14732" t="str">
            <v>tyrcysgly</v>
          </cell>
          <cell r="C14732" t="str">
            <v>Tyrosyl-Cysteinyl-Glycine</v>
          </cell>
        </row>
        <row r="14733">
          <cell r="A14733" t="str">
            <v>tyrcysthr_c</v>
          </cell>
          <cell r="B14733" t="str">
            <v>tyrcysthr</v>
          </cell>
          <cell r="C14733" t="str">
            <v>Tyrosyl-Cysteinyl-Threonine</v>
          </cell>
        </row>
        <row r="14734">
          <cell r="A14734" t="str">
            <v>tyrleuarg_c</v>
          </cell>
          <cell r="B14734" t="str">
            <v>tyrleuarg</v>
          </cell>
          <cell r="C14734" t="str">
            <v>Tyrosyl-Leucyl-Arginine</v>
          </cell>
        </row>
        <row r="14735">
          <cell r="A14735" t="str">
            <v>tyrtrpphe_c</v>
          </cell>
          <cell r="B14735" t="str">
            <v>tyrtrpphe</v>
          </cell>
          <cell r="C14735" t="str">
            <v>Tyrosyl-Tryptophanyl-Phenylalanine</v>
          </cell>
        </row>
        <row r="14736">
          <cell r="A14736" t="str">
            <v>tyrvalmet_c</v>
          </cell>
          <cell r="B14736" t="str">
            <v>tyrvalmet</v>
          </cell>
          <cell r="C14736" t="str">
            <v>Tyrosyl-Valyl-Methionine</v>
          </cell>
        </row>
        <row r="14737">
          <cell r="A14737" t="str">
            <v>valval_c</v>
          </cell>
          <cell r="B14737" t="str">
            <v>valval</v>
          </cell>
          <cell r="C14737" t="str">
            <v>Valyl-Valine</v>
          </cell>
        </row>
        <row r="14738">
          <cell r="A14738" t="str">
            <v>trpglyasp_c</v>
          </cell>
          <cell r="B14738" t="str">
            <v>trpglyasp</v>
          </cell>
          <cell r="C14738" t="str">
            <v>Tryptophanyl-Glycyl-Aspartate</v>
          </cell>
        </row>
        <row r="14739">
          <cell r="A14739" t="str">
            <v>xolest182_hs_c</v>
          </cell>
          <cell r="B14739" t="str">
            <v>xolest182_hs</v>
          </cell>
          <cell r="C14739" t="str">
            <v>1-Linoleoyl-Cholesterol, Cholesterol-Ester (18:2, Delta 9, 12)</v>
          </cell>
        </row>
        <row r="14740">
          <cell r="A14740" t="str">
            <v>gncore2_e</v>
          </cell>
          <cell r="B14740" t="str">
            <v>gncore2</v>
          </cell>
          <cell r="C14740" t="str">
            <v>GlcNAc-alpha-1,4-Core 2</v>
          </cell>
        </row>
        <row r="14741">
          <cell r="A14741" t="str">
            <v>Lhcystin_e</v>
          </cell>
          <cell r="B14741" t="str">
            <v>Lhcystin</v>
          </cell>
          <cell r="C14741" t="str">
            <v>L-Homocystine</v>
          </cell>
        </row>
        <row r="14742">
          <cell r="A14742" t="str">
            <v>pgp_hs_m</v>
          </cell>
          <cell r="B14742" t="str">
            <v>pgp_hs</v>
          </cell>
          <cell r="C14742" t="str">
            <v>Phosphatidyl glycerol phosphate (homo sapiens)</v>
          </cell>
        </row>
        <row r="14743">
          <cell r="A14743" t="str">
            <v>mqn9_e</v>
          </cell>
          <cell r="B14743" t="str">
            <v>mqn9</v>
          </cell>
          <cell r="C14743" t="str">
            <v>Menaquinone-9</v>
          </cell>
        </row>
        <row r="14744">
          <cell r="A14744" t="str">
            <v>dhcholestanate_e</v>
          </cell>
          <cell r="B14744" t="str">
            <v>dhcholestanate</v>
          </cell>
          <cell r="C14744" t="str">
            <v>3alpha,7alpha-Dihydroxy-5beta-cholestanate</v>
          </cell>
        </row>
        <row r="14745">
          <cell r="A14745" t="str">
            <v>glutar_e</v>
          </cell>
          <cell r="B14745" t="str">
            <v>glutar</v>
          </cell>
          <cell r="C14745" t="str">
            <v>Glutarate</v>
          </cell>
        </row>
        <row r="14746">
          <cell r="A14746" t="str">
            <v>phpyr_e</v>
          </cell>
          <cell r="B14746" t="str">
            <v>phpyr</v>
          </cell>
          <cell r="C14746" t="str">
            <v>Phenylpyruvate</v>
          </cell>
        </row>
        <row r="14747">
          <cell r="A14747" t="str">
            <v>2hyoxplac_e</v>
          </cell>
          <cell r="B14747" t="str">
            <v>2hyoxplac</v>
          </cell>
          <cell r="C14747" t="str">
            <v>2-Hydroxyphenylacetate</v>
          </cell>
        </row>
        <row r="14748">
          <cell r="A14748" t="str">
            <v>CE4970_e</v>
          </cell>
          <cell r="B14748" t="str">
            <v>CE4970</v>
          </cell>
          <cell r="C14748" t="str">
            <v>2-methylbutyrylglycine</v>
          </cell>
        </row>
        <row r="14749">
          <cell r="A14749" t="str">
            <v>CE2026_c</v>
          </cell>
          <cell r="B14749" t="str">
            <v>CE2026</v>
          </cell>
          <cell r="C14749" t="str">
            <v>3-methylcrotonoylglycine</v>
          </cell>
        </row>
        <row r="14750">
          <cell r="A14750" t="str">
            <v>CE4968_c</v>
          </cell>
          <cell r="B14750" t="str">
            <v>CE4968</v>
          </cell>
          <cell r="C14750" t="str">
            <v>Isovalerylglycine</v>
          </cell>
        </row>
        <row r="14751">
          <cell r="A14751" t="str">
            <v>actyr_e</v>
          </cell>
          <cell r="B14751" t="str">
            <v>actyr</v>
          </cell>
          <cell r="C14751" t="str">
            <v>N-Acetyl-Tyrosine</v>
          </cell>
        </row>
        <row r="14752">
          <cell r="A14752" t="str">
            <v>nacvanala_e</v>
          </cell>
          <cell r="B14752" t="str">
            <v>nacvanala</v>
          </cell>
          <cell r="C14752" t="str">
            <v>N-Acetylvanilalanine</v>
          </cell>
        </row>
        <row r="14753">
          <cell r="A14753" t="str">
            <v>2hiv_e</v>
          </cell>
          <cell r="B14753" t="str">
            <v>2hiv</v>
          </cell>
          <cell r="C14753" t="str">
            <v>2-Hydroxy-Isovalerate</v>
          </cell>
        </row>
        <row r="14754">
          <cell r="A14754" t="str">
            <v>2m3hbu_e</v>
          </cell>
          <cell r="B14754" t="str">
            <v>2m3hbu</v>
          </cell>
          <cell r="C14754" t="str">
            <v>2-Methyl-3-Hydroxy-Butyrate</v>
          </cell>
        </row>
        <row r="14755">
          <cell r="A14755" t="str">
            <v>3mglutac_e</v>
          </cell>
          <cell r="B14755" t="str">
            <v>3mglutac</v>
          </cell>
          <cell r="C14755" t="str">
            <v>3-Methyl-Glutaconate</v>
          </cell>
        </row>
        <row r="14756">
          <cell r="A14756" t="str">
            <v>3mglutr_e</v>
          </cell>
          <cell r="B14756" t="str">
            <v>3mglutr</v>
          </cell>
          <cell r="C14756" t="str">
            <v>3-Methyl-Glutarate</v>
          </cell>
        </row>
        <row r="14757">
          <cell r="A14757" t="str">
            <v>ppiogly_c</v>
          </cell>
          <cell r="B14757" t="str">
            <v>ppiogly</v>
          </cell>
          <cell r="C14757" t="str">
            <v>Propionyl-Glycine</v>
          </cell>
        </row>
        <row r="14758">
          <cell r="A14758" t="str">
            <v>mvlac_c</v>
          </cell>
          <cell r="B14758" t="str">
            <v>mvlac</v>
          </cell>
          <cell r="C14758" t="str">
            <v>Mevalonate-Lactone</v>
          </cell>
        </row>
        <row r="14759">
          <cell r="A14759" t="str">
            <v>tiggly_c</v>
          </cell>
          <cell r="B14759" t="str">
            <v>tiggly</v>
          </cell>
          <cell r="C14759" t="str">
            <v>Tiglyl Glycine</v>
          </cell>
        </row>
        <row r="14760">
          <cell r="A14760" t="str">
            <v>td2glutrcoa_m</v>
          </cell>
          <cell r="B14760" t="str">
            <v>td2glutrcoa</v>
          </cell>
          <cell r="C14760" t="str">
            <v>Trans-Delta-2-Glutaryl Coenzyme A</v>
          </cell>
        </row>
        <row r="14761">
          <cell r="A14761" t="str">
            <v>3hglutcoa_m</v>
          </cell>
          <cell r="B14761" t="str">
            <v>3hglutcoa</v>
          </cell>
          <cell r="C14761" t="str">
            <v>3-Hydroxy-Glutaryl Coenzyme A</v>
          </cell>
        </row>
        <row r="14762">
          <cell r="A14762" t="str">
            <v>3ohglutac_e</v>
          </cell>
          <cell r="B14762" t="str">
            <v>3ohglutac</v>
          </cell>
          <cell r="C14762" t="str">
            <v>3-Hydroxy-Glutarate</v>
          </cell>
        </row>
        <row r="14763">
          <cell r="A14763" t="str">
            <v>glutcon_c</v>
          </cell>
          <cell r="B14763" t="str">
            <v>glutcon</v>
          </cell>
          <cell r="C14763" t="str">
            <v>Glutaconate</v>
          </cell>
        </row>
        <row r="14764">
          <cell r="A14764" t="str">
            <v>3hivac_m</v>
          </cell>
          <cell r="B14764" t="str">
            <v>3hivac</v>
          </cell>
          <cell r="C14764" t="str">
            <v>3-Hydroxyisovaleric Acid</v>
          </cell>
        </row>
        <row r="14765">
          <cell r="A14765" t="str">
            <v>3ohsebac_e</v>
          </cell>
          <cell r="B14765" t="str">
            <v>3ohsebac</v>
          </cell>
          <cell r="C14765" t="str">
            <v>3-Hydroxy-Sebacic Acid</v>
          </cell>
        </row>
        <row r="14766">
          <cell r="A14766" t="str">
            <v>3ohsubcoa_x</v>
          </cell>
          <cell r="B14766" t="str">
            <v>3ohsubcoa</v>
          </cell>
          <cell r="C14766" t="str">
            <v>3-Hydoxy-Suberyl Coenzyme A</v>
          </cell>
        </row>
        <row r="14767">
          <cell r="A14767" t="str">
            <v>3ohsubac_x</v>
          </cell>
          <cell r="B14767" t="str">
            <v>3ohsubac</v>
          </cell>
          <cell r="C14767" t="str">
            <v>3-Hydoxy-Suberic Acid</v>
          </cell>
        </row>
        <row r="14768">
          <cell r="A14768" t="str">
            <v>3ohsubac_c</v>
          </cell>
          <cell r="B14768" t="str">
            <v>3ohsubac</v>
          </cell>
          <cell r="C14768" t="str">
            <v>3-Hydoxy-Suberic Acid</v>
          </cell>
        </row>
        <row r="14769">
          <cell r="A14769" t="str">
            <v>hexgly_c</v>
          </cell>
          <cell r="B14769" t="str">
            <v>hexgly</v>
          </cell>
          <cell r="C14769" t="str">
            <v>Hexanoyl-Glycine</v>
          </cell>
        </row>
        <row r="14770">
          <cell r="A14770" t="str">
            <v>methsuccoa_c</v>
          </cell>
          <cell r="B14770" t="str">
            <v>methsuccoa</v>
          </cell>
          <cell r="C14770" t="str">
            <v>Methyl-Succinyl Coenzyme A</v>
          </cell>
        </row>
        <row r="14771">
          <cell r="A14771" t="str">
            <v>thexdd_c</v>
          </cell>
          <cell r="B14771" t="str">
            <v>thexdd</v>
          </cell>
          <cell r="C14771" t="str">
            <v>7Z,10Z-Hexadecadienoic Acid</v>
          </cell>
        </row>
        <row r="14772">
          <cell r="A14772" t="str">
            <v>hexdtr_c</v>
          </cell>
          <cell r="B14772" t="str">
            <v>hexdtr</v>
          </cell>
          <cell r="C14772" t="str">
            <v>(Z,Z,Z)-7,10,13-Hexadecatrienoic Acid</v>
          </cell>
        </row>
        <row r="14773">
          <cell r="A14773" t="str">
            <v>5eipenc_e</v>
          </cell>
          <cell r="B14773" t="str">
            <v>5eipenc</v>
          </cell>
          <cell r="C14773" t="str">
            <v>5,8,11,14,17-Eicosapentenoic Acid</v>
          </cell>
        </row>
        <row r="14774">
          <cell r="A14774" t="str">
            <v>eandrstrn_e</v>
          </cell>
          <cell r="B14774" t="str">
            <v>eandrstrn</v>
          </cell>
          <cell r="C14774" t="str">
            <v>16alpha-hydroxydehydroepiandrosterone</v>
          </cell>
        </row>
        <row r="14775">
          <cell r="A14775" t="str">
            <v>ahandrostan_c</v>
          </cell>
          <cell r="B14775" t="str">
            <v>ahandrostan</v>
          </cell>
          <cell r="C14775" t="str">
            <v>3alpha-Hydroxy-5beta-androstan-17-one</v>
          </cell>
        </row>
        <row r="14776">
          <cell r="A14776" t="str">
            <v>C05302_e</v>
          </cell>
          <cell r="B14776" t="str">
            <v>C05302</v>
          </cell>
          <cell r="C14776" t="str">
            <v>2-Methoxyestradiol-17beta</v>
          </cell>
        </row>
        <row r="14777">
          <cell r="A14777" t="str">
            <v>11docrtsl_e</v>
          </cell>
          <cell r="B14777" t="str">
            <v>11docrtsl</v>
          </cell>
          <cell r="C14777" t="str">
            <v>11docrtsl c</v>
          </cell>
        </row>
        <row r="14778">
          <cell r="A14778" t="str">
            <v>17ahprgstrn_e</v>
          </cell>
          <cell r="B14778" t="str">
            <v>17ahprgstrn</v>
          </cell>
          <cell r="C14778" t="str">
            <v>17alpha-Hydroxyprogesterone</v>
          </cell>
        </row>
        <row r="14779">
          <cell r="A14779" t="str">
            <v>C05769_e</v>
          </cell>
          <cell r="B14779" t="str">
            <v>C05769</v>
          </cell>
          <cell r="C14779" t="str">
            <v>Coproporphyrin I</v>
          </cell>
        </row>
        <row r="14780">
          <cell r="A14780" t="str">
            <v>mhista_e</v>
          </cell>
          <cell r="B14780" t="str">
            <v>mhista</v>
          </cell>
          <cell r="C14780" t="str">
            <v>N-Methylhistamine</v>
          </cell>
        </row>
        <row r="14781">
          <cell r="A14781" t="str">
            <v>CE2006_e</v>
          </cell>
          <cell r="B14781" t="str">
            <v>CE2006</v>
          </cell>
          <cell r="C14781" t="str">
            <v>4-hydroxy-2-nonenal</v>
          </cell>
        </row>
        <row r="14782">
          <cell r="A14782" t="str">
            <v>CE7090_e</v>
          </cell>
          <cell r="B14782" t="str">
            <v>CE7090</v>
          </cell>
          <cell r="C14782" t="str">
            <v>18R-HEPE</v>
          </cell>
        </row>
        <row r="14783">
          <cell r="A14783" t="str">
            <v>CE7085_e</v>
          </cell>
          <cell r="B14783" t="str">
            <v>CE7085</v>
          </cell>
          <cell r="C14783" t="str">
            <v>5-HEPE; 5-hydroxyeicosapentaenoate</v>
          </cell>
        </row>
        <row r="14784">
          <cell r="A14784" t="str">
            <v>CE2705_e</v>
          </cell>
          <cell r="B14784" t="str">
            <v>CE2705</v>
          </cell>
          <cell r="C14784" t="str">
            <v>7,8-Dihydrobiopterin</v>
          </cell>
        </row>
        <row r="14785">
          <cell r="A14785" t="str">
            <v>hdd2crn_e</v>
          </cell>
          <cell r="B14785" t="str">
            <v>hdd2crn</v>
          </cell>
          <cell r="C14785" t="str">
            <v>Trans-Hexadec-2-enoyl carnitine</v>
          </cell>
        </row>
        <row r="14786">
          <cell r="A14786" t="str">
            <v>34dhoxmand_e</v>
          </cell>
          <cell r="B14786" t="str">
            <v>34dhoxmand</v>
          </cell>
          <cell r="C14786" t="str">
            <v>3,4-Dihydroxymandelate</v>
          </cell>
        </row>
        <row r="14787">
          <cell r="A14787" t="str">
            <v>CE4969_e</v>
          </cell>
          <cell r="B14787" t="str">
            <v>CE4969</v>
          </cell>
          <cell r="C14787" t="str">
            <v>Isobutyrylglycine</v>
          </cell>
        </row>
        <row r="14788">
          <cell r="A14788" t="str">
            <v>egme_e</v>
          </cell>
          <cell r="B14788" t="str">
            <v>egme</v>
          </cell>
          <cell r="C14788" t="str">
            <v>Ecgonine methyl ester</v>
          </cell>
        </row>
        <row r="14789">
          <cell r="A14789" t="str">
            <v>C05298_e</v>
          </cell>
          <cell r="B14789" t="str">
            <v>C05298</v>
          </cell>
          <cell r="C14789" t="str">
            <v>2-Hydroxyestrone</v>
          </cell>
        </row>
        <row r="14790">
          <cell r="A14790" t="str">
            <v>HC02020_e</v>
          </cell>
          <cell r="B14790" t="str">
            <v>HC02020</v>
          </cell>
          <cell r="C14790" t="str">
            <v>Cholesterol-ester-palm</v>
          </cell>
        </row>
        <row r="14791">
          <cell r="A14791" t="str">
            <v>xol24oh_c</v>
          </cell>
          <cell r="B14791" t="str">
            <v>xol24oh</v>
          </cell>
          <cell r="C14791" t="str">
            <v>24-Hydroxycholesterol</v>
          </cell>
        </row>
        <row r="14792">
          <cell r="A14792" t="str">
            <v>xol25oh_c</v>
          </cell>
          <cell r="B14792" t="str">
            <v>xol25oh</v>
          </cell>
          <cell r="C14792" t="str">
            <v>25-Hydroxycholesterol</v>
          </cell>
        </row>
        <row r="14793">
          <cell r="A14793" t="str">
            <v>13_cis_retn_e</v>
          </cell>
          <cell r="B14793" t="str">
            <v>13_cis_retn</v>
          </cell>
          <cell r="C14793" t="str">
            <v>13-cis-retinoate</v>
          </cell>
        </row>
        <row r="14794">
          <cell r="A14794" t="str">
            <v>HC00007_e</v>
          </cell>
          <cell r="B14794" t="str">
            <v>HC00007</v>
          </cell>
          <cell r="C14794" t="str">
            <v>ApoC2</v>
          </cell>
        </row>
        <row r="14795">
          <cell r="A14795" t="str">
            <v>hdl_hs_e</v>
          </cell>
          <cell r="B14795" t="str">
            <v>hdl_hs</v>
          </cell>
          <cell r="C14795" t="str">
            <v>High Density Lipoprotein</v>
          </cell>
        </row>
        <row r="14796">
          <cell r="A14796" t="str">
            <v>CE1401_e</v>
          </cell>
          <cell r="B14796" t="str">
            <v>CE1401</v>
          </cell>
          <cell r="C14796" t="str">
            <v>Homocysteine thiolactone</v>
          </cell>
        </row>
        <row r="14797">
          <cell r="A14797" t="str">
            <v>glucys_e</v>
          </cell>
          <cell r="B14797" t="str">
            <v>glucys</v>
          </cell>
          <cell r="C14797" t="str">
            <v>Gamma-L-Glutamyl-L-cysteine</v>
          </cell>
        </row>
        <row r="14798">
          <cell r="A14798" t="str">
            <v>xylu__D_e</v>
          </cell>
          <cell r="B14798" t="str">
            <v>xylu__D</v>
          </cell>
          <cell r="C14798" t="str">
            <v>D-Xylulose</v>
          </cell>
        </row>
        <row r="14799">
          <cell r="A14799" t="str">
            <v>aact_e</v>
          </cell>
          <cell r="B14799" t="str">
            <v>aact</v>
          </cell>
          <cell r="C14799" t="str">
            <v>Aminoacetone</v>
          </cell>
        </row>
        <row r="14800">
          <cell r="A14800" t="str">
            <v>sphgn_e</v>
          </cell>
          <cell r="B14800" t="str">
            <v>sphgn</v>
          </cell>
          <cell r="C14800" t="str">
            <v>Sphinganine C18H40NO2</v>
          </cell>
        </row>
        <row r="14801">
          <cell r="A14801" t="str">
            <v>prist_e</v>
          </cell>
          <cell r="B14801" t="str">
            <v>prist</v>
          </cell>
          <cell r="C14801" t="str">
            <v>Pristanic acid</v>
          </cell>
        </row>
        <row r="14802">
          <cell r="A14802" t="str">
            <v>5a2opntn_c</v>
          </cell>
          <cell r="B14802" t="str">
            <v>5a2opntn</v>
          </cell>
          <cell r="C14802" t="str">
            <v>5-Amino-2-oxopentanoate</v>
          </cell>
        </row>
        <row r="14803">
          <cell r="A14803" t="str">
            <v>arg__D_c</v>
          </cell>
          <cell r="B14803" t="str">
            <v>arg__D</v>
          </cell>
          <cell r="C14803" t="str">
            <v>D-Arginine</v>
          </cell>
        </row>
        <row r="14804">
          <cell r="A14804" t="str">
            <v>34dhpe_c</v>
          </cell>
          <cell r="B14804" t="str">
            <v>34dhpe</v>
          </cell>
          <cell r="C14804" t="str">
            <v>3,4-Dihydroxyphenylethanol</v>
          </cell>
        </row>
        <row r="14805">
          <cell r="A14805" t="str">
            <v>dopa3glcur_e</v>
          </cell>
          <cell r="B14805" t="str">
            <v>dopa3glcur</v>
          </cell>
          <cell r="C14805" t="str">
            <v>Dopamine-3-O-Glucuronide</v>
          </cell>
        </row>
        <row r="14806">
          <cell r="A14806" t="str">
            <v>5cysdopa_c</v>
          </cell>
          <cell r="B14806" t="str">
            <v>5cysdopa</v>
          </cell>
          <cell r="C14806" t="str">
            <v>5-S-Cysteinyldopamine</v>
          </cell>
        </row>
        <row r="14807">
          <cell r="A14807" t="str">
            <v>ind56qn_c</v>
          </cell>
          <cell r="B14807" t="str">
            <v>ind56qn</v>
          </cell>
          <cell r="C14807" t="str">
            <v>Indole-5,6-Quinone</v>
          </cell>
        </row>
        <row r="14808">
          <cell r="A14808" t="str">
            <v>4glu56dihdind_e</v>
          </cell>
          <cell r="B14808" t="str">
            <v>4glu56dihdind</v>
          </cell>
          <cell r="C14808" t="str">
            <v>4-S-Glutathionyl-5,6-Dihydroxyindoline</v>
          </cell>
        </row>
        <row r="14809">
          <cell r="A14809" t="str">
            <v>dhcrm_hs_r</v>
          </cell>
          <cell r="B14809" t="str">
            <v>dhcrm_hs</v>
          </cell>
          <cell r="C14809" t="str">
            <v>Dihydroceramide (homo sapiens)</v>
          </cell>
        </row>
        <row r="14810">
          <cell r="A14810" t="str">
            <v>gluside_hs_e</v>
          </cell>
          <cell r="B14810" t="str">
            <v>gluside_hs</v>
          </cell>
          <cell r="C14810" t="str">
            <v>Glucocerebroside (homo sapiens)</v>
          </cell>
        </row>
        <row r="14811">
          <cell r="A14811" t="str">
            <v>ga2_hs_l</v>
          </cell>
          <cell r="B14811" t="str">
            <v>ga2_hs</v>
          </cell>
          <cell r="C14811" t="str">
            <v>GA2 (homo sapiens)</v>
          </cell>
        </row>
        <row r="14812">
          <cell r="A14812" t="str">
            <v>ga1_hs_l</v>
          </cell>
          <cell r="B14812" t="str">
            <v>ga1_hs</v>
          </cell>
          <cell r="C14812" t="str">
            <v>GA1 (homo sapiens)</v>
          </cell>
        </row>
        <row r="14813">
          <cell r="A14813" t="str">
            <v>gm2_hs_c</v>
          </cell>
          <cell r="B14813" t="str">
            <v>gm2_hs</v>
          </cell>
          <cell r="C14813" t="str">
            <v>Ganglioside GM2 (homo sapiens)</v>
          </cell>
        </row>
        <row r="14814">
          <cell r="A14814" t="str">
            <v>gd1b_hs_e</v>
          </cell>
          <cell r="B14814" t="str">
            <v>gd1b_hs</v>
          </cell>
          <cell r="C14814" t="str">
            <v>GD1b (homo sapiens)</v>
          </cell>
        </row>
        <row r="14815">
          <cell r="A14815" t="str">
            <v>gt1b_hs_e</v>
          </cell>
          <cell r="B14815" t="str">
            <v>gt1b_hs</v>
          </cell>
          <cell r="C14815" t="str">
            <v>GT1b (homo sapiens)</v>
          </cell>
        </row>
        <row r="14816">
          <cell r="A14816" t="str">
            <v>gd2_hs_e</v>
          </cell>
          <cell r="B14816" t="str">
            <v>gd2_hs</v>
          </cell>
          <cell r="C14816" t="str">
            <v>GD2 (homo sapiens)</v>
          </cell>
        </row>
        <row r="14817">
          <cell r="A14817" t="str">
            <v>gm1_hs_n</v>
          </cell>
          <cell r="B14817" t="str">
            <v>gm1_hs</v>
          </cell>
          <cell r="C14817" t="str">
            <v>Ganglioside GM1 (homo sapiens)</v>
          </cell>
        </row>
        <row r="14818">
          <cell r="A14818" t="str">
            <v>pchol_hs_n</v>
          </cell>
          <cell r="B14818" t="str">
            <v>pchol_hs</v>
          </cell>
          <cell r="C14818" t="str">
            <v>Phosphatidylcholine (homo sapiens)</v>
          </cell>
        </row>
        <row r="14819">
          <cell r="A14819" t="str">
            <v>cmpacna_e</v>
          </cell>
          <cell r="B14819" t="str">
            <v>cmpacna</v>
          </cell>
          <cell r="C14819" t="str">
            <v>CMP-N-acetylneuraminate</v>
          </cell>
        </row>
        <row r="14820">
          <cell r="A14820" t="str">
            <v>M01820_e</v>
          </cell>
          <cell r="B14820" t="str">
            <v>M01820</v>
          </cell>
          <cell r="C14820" t="str">
            <v>Fatty-Acid-VLDL-Pool</v>
          </cell>
        </row>
        <row r="14821">
          <cell r="A14821" t="str">
            <v>M00510_e</v>
          </cell>
          <cell r="B14821" t="str">
            <v>M00510</v>
          </cell>
          <cell r="C14821" t="str">
            <v>1-Acylglycerol-VLDL-Pool</v>
          </cell>
        </row>
        <row r="14822">
          <cell r="A14822" t="str">
            <v>M00019_e</v>
          </cell>
          <cell r="B14822" t="str">
            <v>M00019</v>
          </cell>
          <cell r="C14822" t="str">
            <v>13Z-Octadecenoic Acid</v>
          </cell>
        </row>
        <row r="14823">
          <cell r="A14823" t="str">
            <v>M00260_e</v>
          </cell>
          <cell r="B14823" t="str">
            <v>M00260</v>
          </cell>
          <cell r="C14823" t="str">
            <v>10Z,13Z,16Z,19Z-Docosatetraenoic Acid</v>
          </cell>
        </row>
        <row r="14824">
          <cell r="A14824" t="str">
            <v>M00315_e</v>
          </cell>
          <cell r="B14824" t="str">
            <v>M00315</v>
          </cell>
          <cell r="C14824" t="str">
            <v>12Z,15Z,18Z,21Z-Tetracosatetraenoic Acid</v>
          </cell>
        </row>
        <row r="14825">
          <cell r="A14825" t="str">
            <v>M00341_e</v>
          </cell>
          <cell r="B14825" t="str">
            <v>M00341</v>
          </cell>
          <cell r="C14825" t="str">
            <v>13Z,16Z,19Z-Docosatrienoic Acid</v>
          </cell>
        </row>
        <row r="14826">
          <cell r="A14826" t="str">
            <v>M02613_e</v>
          </cell>
          <cell r="B14826" t="str">
            <v>M02613</v>
          </cell>
          <cell r="C14826" t="str">
            <v>Nonadecanoic Acid</v>
          </cell>
        </row>
        <row r="14827">
          <cell r="A14827" t="str">
            <v>M02560_e</v>
          </cell>
          <cell r="B14827" t="str">
            <v>M02560</v>
          </cell>
          <cell r="C14827" t="str">
            <v>Nefa-Blood-Pool-In</v>
          </cell>
        </row>
        <row r="14828">
          <cell r="A14828" t="str">
            <v>C01601_e</v>
          </cell>
          <cell r="B14828" t="str">
            <v>C01601</v>
          </cell>
          <cell r="C14828" t="str">
            <v>Nonanoate</v>
          </cell>
        </row>
        <row r="14829">
          <cell r="A14829" t="str">
            <v>M03117_e</v>
          </cell>
          <cell r="B14829" t="str">
            <v>M03117</v>
          </cell>
          <cell r="C14829" t="str">
            <v>Undecylic Acid</v>
          </cell>
        </row>
        <row r="14830">
          <cell r="A14830" t="str">
            <v>xolest2_hs_l</v>
          </cell>
          <cell r="B14830" t="str">
            <v>xolest2_hs</v>
          </cell>
          <cell r="C14830" t="str">
            <v>Cholesterol ester (from FULLR2)</v>
          </cell>
        </row>
        <row r="14831">
          <cell r="A14831" t="str">
            <v>M02108_c</v>
          </cell>
          <cell r="B14831" t="str">
            <v>M02108</v>
          </cell>
          <cell r="C14831" t="str">
            <v>Heptylic Acid</v>
          </cell>
        </row>
        <row r="14832">
          <cell r="A14832" t="str">
            <v>M02616_c</v>
          </cell>
          <cell r="B14832" t="str">
            <v>M02616</v>
          </cell>
          <cell r="C14832" t="str">
            <v>Nonanoyl Coenzyme A</v>
          </cell>
        </row>
        <row r="14833">
          <cell r="A14833" t="str">
            <v>M03116_m</v>
          </cell>
          <cell r="B14833" t="str">
            <v>M03116</v>
          </cell>
          <cell r="C14833" t="str">
            <v>Undecanoyl Coenzyme A</v>
          </cell>
        </row>
        <row r="14834">
          <cell r="A14834" t="str">
            <v>M03050_c</v>
          </cell>
          <cell r="B14834" t="str">
            <v>M03050</v>
          </cell>
          <cell r="C14834" t="str">
            <v>Tridecanoyl Coenzyme A</v>
          </cell>
        </row>
        <row r="14835">
          <cell r="A14835" t="str">
            <v>M00129_c</v>
          </cell>
          <cell r="B14835" t="str">
            <v>M00129</v>
          </cell>
          <cell r="C14835" t="str">
            <v>9E-Tetradecenoyl Coenzyme A</v>
          </cell>
        </row>
        <row r="14836">
          <cell r="A14836" t="str">
            <v>M01197_c</v>
          </cell>
          <cell r="B14836" t="str">
            <v>M01197</v>
          </cell>
          <cell r="C14836" t="str">
            <v>7Z-Hexadecenoic Acid</v>
          </cell>
        </row>
        <row r="14837">
          <cell r="A14837" t="str">
            <v>M01191_c</v>
          </cell>
          <cell r="B14837" t="str">
            <v>M01191</v>
          </cell>
          <cell r="C14837" t="str">
            <v>7Z-Hexadecenoyl Coenzyme A</v>
          </cell>
        </row>
        <row r="14838">
          <cell r="A14838" t="str">
            <v>M00020_c</v>
          </cell>
          <cell r="B14838" t="str">
            <v>M00020</v>
          </cell>
          <cell r="C14838" t="str">
            <v>13Z-Octadecenoyl Coenzyme A</v>
          </cell>
        </row>
        <row r="14839">
          <cell r="A14839" t="str">
            <v>M01236_c</v>
          </cell>
          <cell r="B14839" t="str">
            <v>M01236</v>
          </cell>
          <cell r="C14839" t="str">
            <v>9Z-Eicosenoyl Coenzyme A</v>
          </cell>
        </row>
        <row r="14840">
          <cell r="A14840" t="str">
            <v>M02457_c</v>
          </cell>
          <cell r="B14840" t="str">
            <v>M02457</v>
          </cell>
          <cell r="C14840" t="str">
            <v>5Z,8Z,11Z-Eicosatrienoic Acid</v>
          </cell>
        </row>
        <row r="14841">
          <cell r="A14841" t="str">
            <v>M03045_c</v>
          </cell>
          <cell r="B14841" t="str">
            <v>M03045</v>
          </cell>
          <cell r="C14841" t="str">
            <v>Tricosanoic Acid</v>
          </cell>
        </row>
        <row r="14842">
          <cell r="A14842" t="str">
            <v>M00010_c</v>
          </cell>
          <cell r="B14842" t="str">
            <v>M00010</v>
          </cell>
          <cell r="C14842" t="str">
            <v>11Z,14Z,17Z-Eicosatrienoic Acid</v>
          </cell>
        </row>
        <row r="14843">
          <cell r="A14843" t="str">
            <v>M00012_c</v>
          </cell>
          <cell r="B14843" t="str">
            <v>M00012</v>
          </cell>
          <cell r="C14843" t="str">
            <v>11Z,14Z,17Z-Eicosatrienoyl Coenzyme A</v>
          </cell>
        </row>
        <row r="14844">
          <cell r="A14844" t="str">
            <v>M00008_c</v>
          </cell>
          <cell r="B14844" t="str">
            <v>M00008</v>
          </cell>
          <cell r="C14844" t="str">
            <v>11Z,14Z-Eicosadienoic Acid</v>
          </cell>
        </row>
        <row r="14845">
          <cell r="A14845" t="str">
            <v>M00021_c</v>
          </cell>
          <cell r="B14845" t="str">
            <v>M00021</v>
          </cell>
          <cell r="C14845" t="str">
            <v>13Z,16Z-Docosadienoic Acid</v>
          </cell>
        </row>
        <row r="14846">
          <cell r="A14846" t="str">
            <v>clpn_hs_m</v>
          </cell>
          <cell r="B14846" t="str">
            <v>clpn_hs</v>
          </cell>
          <cell r="C14846" t="str">
            <v>Cardiolipin (homo sapiens)</v>
          </cell>
        </row>
        <row r="14847">
          <cell r="A14847" t="str">
            <v>HC02057_c</v>
          </cell>
          <cell r="B14847" t="str">
            <v>HC02057</v>
          </cell>
          <cell r="C14847" t="str">
            <v>1,2-Diacylglycerol-Ld-Pe-Pool</v>
          </cell>
        </row>
        <row r="14848">
          <cell r="A14848" t="str">
            <v>M02686_c</v>
          </cell>
          <cell r="B14848" t="str">
            <v>M02686</v>
          </cell>
          <cell r="C14848" t="str">
            <v>Pe-Nme-Ld-Pool</v>
          </cell>
        </row>
        <row r="14849">
          <cell r="A14849" t="str">
            <v>HC02070_c</v>
          </cell>
          <cell r="B14849" t="str">
            <v>HC02070</v>
          </cell>
          <cell r="C14849" t="str">
            <v>Fatty-Acid-Ld-Sm-Pool</v>
          </cell>
        </row>
        <row r="14850">
          <cell r="A14850" t="str">
            <v>M02197_c</v>
          </cell>
          <cell r="B14850" t="str">
            <v>M02197</v>
          </cell>
          <cell r="C14850" t="str">
            <v>N-Acetyl-D-galactosaminyl-N-Acetyl-D-galactosaminyl-1,3-D-galactosyl-1,4-D-galactosyl-1,4-D-glucosylceramide</v>
          </cell>
        </row>
        <row r="14851">
          <cell r="A14851" t="str">
            <v>12HPET_r</v>
          </cell>
          <cell r="B14851" t="str">
            <v>12HPET</v>
          </cell>
          <cell r="C14851" t="str">
            <v>12-Hydroperoxyeicosa-5,8,10,14-tetraenoate</v>
          </cell>
        </row>
        <row r="14852">
          <cell r="A14852" t="str">
            <v>M01111_e</v>
          </cell>
          <cell r="B14852" t="str">
            <v>M01111</v>
          </cell>
          <cell r="C14852" t="str">
            <v>5-L-Gamma-Glutamyl Amino Acid</v>
          </cell>
        </row>
        <row r="14853">
          <cell r="A14853" t="str">
            <v>HC02180_r</v>
          </cell>
          <cell r="B14853" t="str">
            <v>HC02180</v>
          </cell>
          <cell r="C14853" t="str">
            <v>Thromboxane-b2</v>
          </cell>
        </row>
        <row r="14854">
          <cell r="A14854" t="str">
            <v>HC01118_c</v>
          </cell>
          <cell r="B14854" t="str">
            <v>HC01118</v>
          </cell>
          <cell r="C14854" t="str">
            <v>Presqualene Diphosphate</v>
          </cell>
        </row>
        <row r="14855">
          <cell r="A14855" t="str">
            <v>M00961_c</v>
          </cell>
          <cell r="B14855" t="str">
            <v>M00961</v>
          </cell>
          <cell r="C14855" t="str">
            <v>4'-Hydroxymethyl-4'-Methyl-5'-Cholesta-8,24-Dien-3'-Ol</v>
          </cell>
        </row>
        <row r="14856">
          <cell r="A14856" t="str">
            <v>HC02110_c</v>
          </cell>
          <cell r="B14856" t="str">
            <v>HC02110</v>
          </cell>
          <cell r="C14856" t="str">
            <v>4Alpha-Methylzymosterol</v>
          </cell>
        </row>
        <row r="14857">
          <cell r="A14857" t="str">
            <v>M00938_c</v>
          </cell>
          <cell r="B14857" t="str">
            <v>M00938</v>
          </cell>
          <cell r="C14857" t="str">
            <v>4,4-Dimethyl-14Alpha-Formyl-5Alpha-Cholest-8-En-3Beta-Ol</v>
          </cell>
        </row>
        <row r="14858">
          <cell r="A14858" t="str">
            <v>M00954_c</v>
          </cell>
          <cell r="B14858" t="str">
            <v>M00954</v>
          </cell>
          <cell r="C14858" t="str">
            <v>4'-Carboxy-4'-Methyl-5'-Cholesta-8-En-3'-Ol</v>
          </cell>
        </row>
        <row r="14859">
          <cell r="A14859" t="str">
            <v>M00966_c</v>
          </cell>
          <cell r="B14859" t="str">
            <v>M00966</v>
          </cell>
          <cell r="C14859" t="str">
            <v>4'-Methyl-5'-Cholesta-8-En-3-One</v>
          </cell>
        </row>
        <row r="14860">
          <cell r="A14860" t="str">
            <v>M00964_c</v>
          </cell>
          <cell r="B14860" t="str">
            <v>M00964</v>
          </cell>
          <cell r="C14860" t="str">
            <v>4Alpha-Hydroxymethyl-5Alpha-Cholesta-8-En-3Beta-Ol</v>
          </cell>
        </row>
        <row r="14861">
          <cell r="A14861" t="str">
            <v>M01068_c</v>
          </cell>
          <cell r="B14861" t="str">
            <v>M01068</v>
          </cell>
          <cell r="C14861" t="str">
            <v>5Alpha-Cholest-8-En-3-One</v>
          </cell>
        </row>
        <row r="14862">
          <cell r="A14862" t="str">
            <v>cholcoas_m</v>
          </cell>
          <cell r="B14862" t="str">
            <v>cholcoas</v>
          </cell>
          <cell r="C14862" t="str">
            <v>3alpha,7alpha,12alpha-Trihydroxy-5beta-cholestanoyl-CoA(S)</v>
          </cell>
        </row>
        <row r="14863">
          <cell r="A14863" t="str">
            <v>M00976_c</v>
          </cell>
          <cell r="B14863" t="str">
            <v>M00976</v>
          </cell>
          <cell r="C14863" t="str">
            <v>4-Cholesten-7',12',24-Triol-3-One</v>
          </cell>
        </row>
        <row r="14864">
          <cell r="A14864" t="str">
            <v>M01079_m</v>
          </cell>
          <cell r="B14864" t="str">
            <v>M01079</v>
          </cell>
          <cell r="C14864" t="str">
            <v>5Beta-Cholestane-3Alpha,7Alpha,24,26-Tetrol</v>
          </cell>
        </row>
        <row r="14865">
          <cell r="A14865" t="str">
            <v>M00746_m</v>
          </cell>
          <cell r="B14865" t="str">
            <v>M00746</v>
          </cell>
          <cell r="C14865" t="str">
            <v>3Alpha,7Alpha,12Alpha,24-Tetrahydroxy-5Beta-Cholestan-26-Al</v>
          </cell>
        </row>
        <row r="14866">
          <cell r="A14866" t="str">
            <v>M00753_m</v>
          </cell>
          <cell r="B14866" t="str">
            <v>M00753</v>
          </cell>
          <cell r="C14866" t="str">
            <v>3Alpha,7Alpha,24-Trihydroxy-5Beta-Cholestan-26-Al</v>
          </cell>
        </row>
        <row r="14867">
          <cell r="A14867" t="str">
            <v>M00742_c</v>
          </cell>
          <cell r="B14867" t="str">
            <v>M00742</v>
          </cell>
          <cell r="C14867" t="str">
            <v>3,7,24THCA</v>
          </cell>
        </row>
        <row r="14868">
          <cell r="A14868" t="str">
            <v>M00743_c</v>
          </cell>
          <cell r="B14868" t="str">
            <v>M00743</v>
          </cell>
          <cell r="C14868" t="str">
            <v>3,7,24Thca Coenzyme A</v>
          </cell>
        </row>
        <row r="14869">
          <cell r="A14869" t="str">
            <v>M00743_x</v>
          </cell>
          <cell r="B14869" t="str">
            <v>M00743</v>
          </cell>
          <cell r="C14869" t="str">
            <v>3,7,24Thca Coenzyme A</v>
          </cell>
        </row>
        <row r="14870">
          <cell r="A14870" t="str">
            <v>M01082_c</v>
          </cell>
          <cell r="B14870" t="str">
            <v>M01082</v>
          </cell>
          <cell r="C14870" t="str">
            <v>5Beta-Cholestan-7Alpha,12Alpha,27-Triol-3-One</v>
          </cell>
        </row>
        <row r="14871">
          <cell r="A14871" t="str">
            <v>M01989_c</v>
          </cell>
          <cell r="B14871" t="str">
            <v>M01989</v>
          </cell>
          <cell r="C14871" t="str">
            <v>Glycodeoxycholic Acid</v>
          </cell>
        </row>
        <row r="14872">
          <cell r="A14872" t="str">
            <v>M00606_m</v>
          </cell>
          <cell r="B14872" t="str">
            <v>M00606</v>
          </cell>
          <cell r="C14872" t="str">
            <v>Cholest-5-En-3Beta,22R-Diol</v>
          </cell>
        </row>
        <row r="14873">
          <cell r="A14873" t="str">
            <v>M00579_m</v>
          </cell>
          <cell r="B14873" t="str">
            <v>M00579</v>
          </cell>
          <cell r="C14873" t="str">
            <v>Cholest-5-En-3Beta,20R,22R-Triol</v>
          </cell>
        </row>
        <row r="14874">
          <cell r="A14874" t="str">
            <v>3ohxccoa_c</v>
          </cell>
          <cell r="B14874" t="str">
            <v>3ohxccoa</v>
          </cell>
          <cell r="C14874" t="str">
            <v>3 Oxohexacosyl CoA C47H80N7O18P3S</v>
          </cell>
        </row>
        <row r="14875">
          <cell r="A14875" t="str">
            <v>M00044_c</v>
          </cell>
          <cell r="B14875" t="str">
            <v>M00044</v>
          </cell>
          <cell r="C14875" t="str">
            <v>(2E)-Heneicosenoyl Coenzyme A</v>
          </cell>
        </row>
        <row r="14876">
          <cell r="A14876" t="str">
            <v>M00879_c</v>
          </cell>
          <cell r="B14876" t="str">
            <v>M00879</v>
          </cell>
          <cell r="C14876" t="str">
            <v>3-Oxo-Hexacosenoyl Coenzyme A</v>
          </cell>
        </row>
        <row r="14877">
          <cell r="A14877" t="str">
            <v>M00871_c</v>
          </cell>
          <cell r="B14877" t="str">
            <v>M00871</v>
          </cell>
          <cell r="C14877" t="str">
            <v>3-Oxo-Eicosadienoyl Coenzyme A</v>
          </cell>
        </row>
        <row r="14878">
          <cell r="A14878" t="str">
            <v>M03008_c</v>
          </cell>
          <cell r="B14878" t="str">
            <v>M03008</v>
          </cell>
          <cell r="C14878" t="str">
            <v>Trans,Cis,Cis-2,13,16-Docasatrienoyl Coenzyme A</v>
          </cell>
        </row>
        <row r="14879">
          <cell r="A14879" t="str">
            <v>M00869_c</v>
          </cell>
          <cell r="B14879" t="str">
            <v>M00869</v>
          </cell>
          <cell r="C14879" t="str">
            <v>3-Oxoeicosa-Cis,Cis,Cis-11,14,17-Trienoyl Coenzyme A</v>
          </cell>
        </row>
        <row r="14880">
          <cell r="A14880" t="str">
            <v>M01729_c</v>
          </cell>
          <cell r="B14880" t="str">
            <v>M01729</v>
          </cell>
          <cell r="C14880" t="str">
            <v>Dodecanoylcarnitine</v>
          </cell>
        </row>
        <row r="14881">
          <cell r="A14881" t="str">
            <v>M02973_c</v>
          </cell>
          <cell r="B14881" t="str">
            <v>M02973</v>
          </cell>
          <cell r="C14881" t="str">
            <v>Tetradecanoylcarnitine</v>
          </cell>
        </row>
        <row r="14882">
          <cell r="A14882" t="str">
            <v>M02102_m</v>
          </cell>
          <cell r="B14882" t="str">
            <v>M02102</v>
          </cell>
          <cell r="C14882" t="str">
            <v>Heptadecenoylcarnitine(7)</v>
          </cell>
        </row>
        <row r="14883">
          <cell r="A14883" t="str">
            <v>M00004_m</v>
          </cell>
          <cell r="B14883" t="str">
            <v>M00004</v>
          </cell>
          <cell r="C14883" t="str">
            <v>10Z-Heptadecenoyl Coenzyme A</v>
          </cell>
        </row>
        <row r="14884">
          <cell r="A14884" t="str">
            <v>M01237_m</v>
          </cell>
          <cell r="B14884" t="str">
            <v>M01237</v>
          </cell>
          <cell r="C14884" t="str">
            <v>9Z-Heptadecenoyl Coenzyme A</v>
          </cell>
        </row>
        <row r="14885">
          <cell r="A14885" t="str">
            <v>M02638_m</v>
          </cell>
          <cell r="B14885" t="str">
            <v>M02638</v>
          </cell>
          <cell r="C14885" t="str">
            <v>Octadecenoylcarnitine(11)</v>
          </cell>
        </row>
        <row r="14886">
          <cell r="A14886" t="str">
            <v>M02611_m</v>
          </cell>
          <cell r="B14886" t="str">
            <v>M02611</v>
          </cell>
          <cell r="C14886" t="str">
            <v>Nonadecanoylcarnitine</v>
          </cell>
        </row>
        <row r="14887">
          <cell r="A14887" t="str">
            <v>M00018_m</v>
          </cell>
          <cell r="B14887" t="str">
            <v>M00018</v>
          </cell>
          <cell r="C14887" t="str">
            <v>13Z-Eicosenoyl Coenzyme A</v>
          </cell>
        </row>
        <row r="14888">
          <cell r="A14888" t="str">
            <v>M00100_m</v>
          </cell>
          <cell r="B14888" t="str">
            <v>M00100</v>
          </cell>
          <cell r="C14888" t="str">
            <v>5Z,8Z,11Z-Eicosatrienoylcarnitine</v>
          </cell>
        </row>
        <row r="14889">
          <cell r="A14889" t="str">
            <v>M00101_m</v>
          </cell>
          <cell r="B14889" t="str">
            <v>M00101</v>
          </cell>
          <cell r="C14889" t="str">
            <v>5Z,8Z,11Z-Eicosatrienoyl Coenzyme A</v>
          </cell>
        </row>
        <row r="14890">
          <cell r="A14890" t="str">
            <v>M02051_c</v>
          </cell>
          <cell r="B14890" t="str">
            <v>M02051</v>
          </cell>
          <cell r="C14890" t="str">
            <v>Heneicosanoylcarnitine</v>
          </cell>
        </row>
        <row r="14891">
          <cell r="A14891" t="str">
            <v>M01726_c</v>
          </cell>
          <cell r="B14891" t="str">
            <v>M01726</v>
          </cell>
          <cell r="C14891" t="str">
            <v>Docosenoylcarnitine(11)</v>
          </cell>
        </row>
        <row r="14892">
          <cell r="A14892" t="str">
            <v>M00006_m</v>
          </cell>
          <cell r="B14892" t="str">
            <v>M00006</v>
          </cell>
          <cell r="C14892" t="str">
            <v>11Z-Docosenoyl Coenzyme A</v>
          </cell>
        </row>
        <row r="14893">
          <cell r="A14893" t="str">
            <v>M00342_c</v>
          </cell>
          <cell r="B14893" t="str">
            <v>M00342</v>
          </cell>
          <cell r="C14893" t="str">
            <v>13Z,16Z,19Z-Docosatrienoylcarnitine</v>
          </cell>
        </row>
        <row r="14894">
          <cell r="A14894" t="str">
            <v>CE4843_m</v>
          </cell>
          <cell r="B14894" t="str">
            <v>CE4843</v>
          </cell>
          <cell r="C14894" t="str">
            <v>Cis,cis-11,14-eicosadienoyl-CoA</v>
          </cell>
        </row>
        <row r="14895">
          <cell r="A14895" t="str">
            <v>M00023_m</v>
          </cell>
          <cell r="B14895" t="str">
            <v>M00023</v>
          </cell>
          <cell r="C14895" t="str">
            <v>13Z,16Z-Docosadienoyl Coenzyme A</v>
          </cell>
        </row>
        <row r="14896">
          <cell r="A14896" t="str">
            <v>M00263_c</v>
          </cell>
          <cell r="B14896" t="str">
            <v>M00263</v>
          </cell>
          <cell r="C14896" t="str">
            <v>10Z,13Z,16Z-Docosatrienoylcarnitine</v>
          </cell>
        </row>
        <row r="14897">
          <cell r="A14897" t="str">
            <v>CE4847_m</v>
          </cell>
          <cell r="B14897" t="str">
            <v>CE4847</v>
          </cell>
          <cell r="C14897" t="str">
            <v>Cis,cis,cis-10,13,16-docosatrienoyl-CoA</v>
          </cell>
        </row>
        <row r="14898">
          <cell r="A14898" t="str">
            <v>M03050_r</v>
          </cell>
          <cell r="B14898" t="str">
            <v>M03050</v>
          </cell>
          <cell r="C14898" t="str">
            <v>Tridecanoyl Coenzyme A</v>
          </cell>
        </row>
        <row r="14899">
          <cell r="A14899" t="str">
            <v>tdcoa_r</v>
          </cell>
          <cell r="B14899" t="str">
            <v>tdcoa</v>
          </cell>
          <cell r="C14899" t="str">
            <v>Tetradecanoyl-CoA (n-C14:0CoA)</v>
          </cell>
        </row>
        <row r="14900">
          <cell r="A14900" t="str">
            <v>M00129_r</v>
          </cell>
          <cell r="B14900" t="str">
            <v>M00129</v>
          </cell>
          <cell r="C14900" t="str">
            <v>9E-Tetradecenoyl Coenzyme A</v>
          </cell>
        </row>
        <row r="14901">
          <cell r="A14901" t="str">
            <v>M01191_r</v>
          </cell>
          <cell r="B14901" t="str">
            <v>M01191</v>
          </cell>
          <cell r="C14901" t="str">
            <v>7Z-Hexadecenoyl Coenzyme A</v>
          </cell>
        </row>
        <row r="14902">
          <cell r="A14902" t="str">
            <v>M00020_r</v>
          </cell>
          <cell r="B14902" t="str">
            <v>M00020</v>
          </cell>
          <cell r="C14902" t="str">
            <v>13Z-Octadecenoyl Coenzyme A</v>
          </cell>
        </row>
        <row r="14903">
          <cell r="A14903" t="str">
            <v>arachcoa_r</v>
          </cell>
          <cell r="B14903" t="str">
            <v>arachcoa</v>
          </cell>
          <cell r="C14903" t="str">
            <v>Arachidyl coenzyme A</v>
          </cell>
        </row>
        <row r="14904">
          <cell r="A14904" t="str">
            <v>M01236_r</v>
          </cell>
          <cell r="B14904" t="str">
            <v>M01236</v>
          </cell>
          <cell r="C14904" t="str">
            <v>9Z-Eicosenoyl Coenzyme A</v>
          </cell>
        </row>
        <row r="14905">
          <cell r="A14905" t="str">
            <v>docoscoa_r</v>
          </cell>
          <cell r="B14905" t="str">
            <v>docoscoa</v>
          </cell>
          <cell r="C14905" t="str">
            <v>Docosanoyl Coenzyme A</v>
          </cell>
        </row>
        <row r="14906">
          <cell r="A14906" t="str">
            <v>M00012_r</v>
          </cell>
          <cell r="B14906" t="str">
            <v>M00012</v>
          </cell>
          <cell r="C14906" t="str">
            <v>11Z,14Z,17Z-Eicosatrienoyl Coenzyme A</v>
          </cell>
        </row>
        <row r="14907">
          <cell r="A14907" t="str">
            <v>dlnlcgcrn_r</v>
          </cell>
          <cell r="B14907" t="str">
            <v>dlnlcgcrn</v>
          </cell>
          <cell r="C14907" t="str">
            <v>Dihomo-gamma-linolenyl carnitine</v>
          </cell>
        </row>
        <row r="14908">
          <cell r="A14908" t="str">
            <v>dcsptn1coa_r</v>
          </cell>
          <cell r="B14908" t="str">
            <v>dcsptn1coa</v>
          </cell>
          <cell r="C14908" t="str">
            <v>Docosa-4,7,10,13,16-pentaenoyl coenzyme A</v>
          </cell>
        </row>
        <row r="14909">
          <cell r="A14909" t="str">
            <v>tetpent3coa_r</v>
          </cell>
          <cell r="B14909" t="str">
            <v>tetpent3coa</v>
          </cell>
          <cell r="C14909" t="str">
            <v>Tetracosapentaenoyl coenzyme A, n-3</v>
          </cell>
        </row>
        <row r="14910">
          <cell r="A14910" t="str">
            <v>ttdca_r</v>
          </cell>
          <cell r="B14910" t="str">
            <v>ttdca</v>
          </cell>
          <cell r="C14910" t="str">
            <v>Tetradecanoate (n-C14:0)</v>
          </cell>
        </row>
        <row r="14911">
          <cell r="A14911" t="str">
            <v>ptdca_r</v>
          </cell>
          <cell r="B14911" t="str">
            <v>ptdca</v>
          </cell>
          <cell r="C14911" t="str">
            <v>Pentadecanoate  C150  C15H29O2</v>
          </cell>
        </row>
        <row r="14912">
          <cell r="A14912" t="str">
            <v>M01197_r</v>
          </cell>
          <cell r="B14912" t="str">
            <v>M01197</v>
          </cell>
          <cell r="C14912" t="str">
            <v>7Z-Hexadecenoic Acid</v>
          </cell>
        </row>
        <row r="14913">
          <cell r="A14913" t="str">
            <v>vacc_r</v>
          </cell>
          <cell r="B14913" t="str">
            <v>vacc</v>
          </cell>
          <cell r="C14913" t="str">
            <v>Vaccenic acid</v>
          </cell>
        </row>
        <row r="14914">
          <cell r="A14914" t="str">
            <v>M02457_r</v>
          </cell>
          <cell r="B14914" t="str">
            <v>M02457</v>
          </cell>
          <cell r="C14914" t="str">
            <v>5Z,8Z,11Z-Eicosatrienoic Acid</v>
          </cell>
        </row>
        <row r="14915">
          <cell r="A14915" t="str">
            <v>M03045_r</v>
          </cell>
          <cell r="B14915" t="str">
            <v>M03045</v>
          </cell>
          <cell r="C14915" t="str">
            <v>Tricosanoic Acid</v>
          </cell>
        </row>
        <row r="14916">
          <cell r="A14916" t="str">
            <v>nrvnc_r</v>
          </cell>
          <cell r="B14916" t="str">
            <v>nrvnc</v>
          </cell>
          <cell r="C14916" t="str">
            <v>Nervonic acid</v>
          </cell>
        </row>
        <row r="14917">
          <cell r="A14917" t="str">
            <v>eicostet_r</v>
          </cell>
          <cell r="B14917" t="str">
            <v>eicostet</v>
          </cell>
          <cell r="C14917" t="str">
            <v>Eicosatetranoic acid</v>
          </cell>
        </row>
        <row r="14918">
          <cell r="A14918" t="str">
            <v>M00010_r</v>
          </cell>
          <cell r="B14918" t="str">
            <v>M00010</v>
          </cell>
          <cell r="C14918" t="str">
            <v>11Z,14Z,17Z-Eicosatrienoic Acid</v>
          </cell>
        </row>
        <row r="14919">
          <cell r="A14919" t="str">
            <v>dcsptn1_r</v>
          </cell>
          <cell r="B14919" t="str">
            <v>dcsptn1</v>
          </cell>
          <cell r="C14919" t="str">
            <v>Docosa-4,7,10,13,16-pentaenoic acid (n-6)</v>
          </cell>
        </row>
        <row r="14920">
          <cell r="A14920" t="str">
            <v>M00008_r</v>
          </cell>
          <cell r="B14920" t="str">
            <v>M00008</v>
          </cell>
          <cell r="C14920" t="str">
            <v>11Z,14Z-Eicosadienoic Acid</v>
          </cell>
        </row>
        <row r="14921">
          <cell r="A14921" t="str">
            <v>M00021_r</v>
          </cell>
          <cell r="B14921" t="str">
            <v>M00021</v>
          </cell>
          <cell r="C14921" t="str">
            <v>13Z,16Z-Docosadienoic Acid</v>
          </cell>
        </row>
        <row r="14922">
          <cell r="A14922" t="str">
            <v>CE2245_x</v>
          </cell>
          <cell r="B14922" t="str">
            <v>CE2245</v>
          </cell>
          <cell r="C14922" t="str">
            <v>Trans-tetracos-2-enoyl-CoA</v>
          </cell>
        </row>
        <row r="14923">
          <cell r="A14923" t="str">
            <v>CE2248_x</v>
          </cell>
          <cell r="B14923" t="str">
            <v>CE2248</v>
          </cell>
          <cell r="C14923" t="str">
            <v>3-hydroxyoctadecanoyl-CoA(4-)</v>
          </cell>
        </row>
        <row r="14924">
          <cell r="A14924" t="str">
            <v>HC01405_x</v>
          </cell>
          <cell r="B14924" t="str">
            <v>HC01405</v>
          </cell>
          <cell r="C14924" t="str">
            <v>3S-Hydroxy-Octanoyl Coenzyme A</v>
          </cell>
        </row>
        <row r="14925">
          <cell r="A14925" t="str">
            <v>HC01406_x</v>
          </cell>
          <cell r="B14925" t="str">
            <v>HC01406</v>
          </cell>
          <cell r="C14925" t="str">
            <v>3-Oxo-Octanoyl Coenzyme A</v>
          </cell>
        </row>
        <row r="14926">
          <cell r="A14926" t="str">
            <v>CE2242_m</v>
          </cell>
          <cell r="B14926" t="str">
            <v>CE2242</v>
          </cell>
          <cell r="C14926" t="str">
            <v>Trans-docos-2-enoyl-CoA</v>
          </cell>
        </row>
        <row r="14927">
          <cell r="A14927" t="str">
            <v>CE2246_m</v>
          </cell>
          <cell r="B14927" t="str">
            <v>CE2246</v>
          </cell>
          <cell r="C14927" t="str">
            <v>3-hydroxydocosanoyl-CoA (4-)</v>
          </cell>
        </row>
        <row r="14928">
          <cell r="A14928" t="str">
            <v>M00054_m</v>
          </cell>
          <cell r="B14928" t="str">
            <v>M00054</v>
          </cell>
          <cell r="C14928" t="str">
            <v>(2E)-Nonadecenoyl Coenzyme A</v>
          </cell>
        </row>
        <row r="14929">
          <cell r="A14929" t="str">
            <v>M00790_m</v>
          </cell>
          <cell r="B14929" t="str">
            <v>M00790</v>
          </cell>
          <cell r="C14929" t="str">
            <v>3-Hydroxynonadecanoyl Coenzyme A</v>
          </cell>
        </row>
        <row r="14930">
          <cell r="A14930" t="str">
            <v>M00875_m</v>
          </cell>
          <cell r="B14930" t="str">
            <v>M00875</v>
          </cell>
          <cell r="C14930" t="str">
            <v>3-Oxoheptadecanoyl Coenzyme A</v>
          </cell>
        </row>
        <row r="14931">
          <cell r="A14931" t="str">
            <v>M00069_m</v>
          </cell>
          <cell r="B14931" t="str">
            <v>M00069</v>
          </cell>
          <cell r="C14931" t="str">
            <v>(2E)-Tridecenoyl Coenzyme A</v>
          </cell>
        </row>
        <row r="14932">
          <cell r="A14932" t="str">
            <v>M00909_m</v>
          </cell>
          <cell r="B14932" t="str">
            <v>M00909</v>
          </cell>
          <cell r="C14932" t="str">
            <v>3-Oxotridecanoyl Coenzyme A</v>
          </cell>
        </row>
        <row r="14933">
          <cell r="A14933" t="str">
            <v>M00889_m</v>
          </cell>
          <cell r="B14933" t="str">
            <v>M00889</v>
          </cell>
          <cell r="C14933" t="str">
            <v>3-Oxononanoyl Coenzyme A</v>
          </cell>
        </row>
        <row r="14934">
          <cell r="A14934" t="str">
            <v>M00797_m</v>
          </cell>
          <cell r="B14934" t="str">
            <v>M00797</v>
          </cell>
          <cell r="C14934" t="str">
            <v>3-Hydroxypentanoyl Coenzyme A</v>
          </cell>
        </row>
        <row r="14935">
          <cell r="A14935" t="str">
            <v>M00172_m</v>
          </cell>
          <cell r="B14935" t="str">
            <v>M00172</v>
          </cell>
          <cell r="C14935" t="str">
            <v>(S)-3-Hydroxy-7-Hexadecenoyl Coenzyme A</v>
          </cell>
        </row>
        <row r="14936">
          <cell r="A14936" t="str">
            <v>M03022_m</v>
          </cell>
          <cell r="B14936" t="str">
            <v>M03022</v>
          </cell>
          <cell r="C14936" t="str">
            <v>Trans,Cis-Myristo-2,5-Dienoyl Coenzyme A</v>
          </cell>
        </row>
        <row r="14937">
          <cell r="A14937" t="str">
            <v>M00702_m</v>
          </cell>
          <cell r="B14937" t="str">
            <v>M00702</v>
          </cell>
          <cell r="C14937" t="str">
            <v>3(S)-Hydroxy-13-Cis-Eicosenoyl Coenzyme A</v>
          </cell>
        </row>
        <row r="14938">
          <cell r="A14938" t="str">
            <v>M03024_m</v>
          </cell>
          <cell r="B14938" t="str">
            <v>M03024</v>
          </cell>
          <cell r="C14938" t="str">
            <v>Trans,Cis-Octadeca-2,11-Dienoyl Coenzyme A</v>
          </cell>
        </row>
        <row r="14939">
          <cell r="A14939" t="str">
            <v>M00841_m</v>
          </cell>
          <cell r="B14939" t="str">
            <v>M00841</v>
          </cell>
          <cell r="C14939" t="str">
            <v>3-Oxo-11-Cis-Octadecenoyl Coenzyme A</v>
          </cell>
        </row>
        <row r="14940">
          <cell r="A14940" t="str">
            <v>M00879_x</v>
          </cell>
          <cell r="B14940" t="str">
            <v>M00879</v>
          </cell>
          <cell r="C14940" t="str">
            <v>3-Oxo-Hexacosenoyl Coenzyme A</v>
          </cell>
        </row>
        <row r="14941">
          <cell r="A14941" t="str">
            <v>CE5154_x</v>
          </cell>
          <cell r="B14941" t="str">
            <v>CE5154</v>
          </cell>
          <cell r="C14941" t="str">
            <v>Trans,cis-2,13-docosadienoyl-CoA</v>
          </cell>
        </row>
        <row r="14942">
          <cell r="A14942" t="str">
            <v>CE5152_x</v>
          </cell>
          <cell r="B14942" t="str">
            <v>CE5152</v>
          </cell>
          <cell r="C14942" t="str">
            <v>3-oxo-13cis-docosenoyl-CoA</v>
          </cell>
        </row>
        <row r="14943">
          <cell r="A14943" t="str">
            <v>CE5151_x</v>
          </cell>
          <cell r="B14943" t="str">
            <v>CE5151</v>
          </cell>
          <cell r="C14943" t="str">
            <v>11-cis-eicosenoyl-CoA</v>
          </cell>
        </row>
        <row r="14944">
          <cell r="A14944" t="str">
            <v>HC10856_x</v>
          </cell>
          <cell r="B14944" t="str">
            <v>HC10856</v>
          </cell>
          <cell r="C14944" t="str">
            <v>Trans,Cis-Octadeca-2,9-Dienoyl Coenzyme A</v>
          </cell>
        </row>
        <row r="14945">
          <cell r="A14945" t="str">
            <v>M01191_x</v>
          </cell>
          <cell r="B14945" t="str">
            <v>M01191</v>
          </cell>
          <cell r="C14945" t="str">
            <v>7Z-Hexadecenoyl Coenzyme A</v>
          </cell>
        </row>
        <row r="14946">
          <cell r="A14946" t="str">
            <v>M03019_x</v>
          </cell>
          <cell r="B14946" t="str">
            <v>M03019</v>
          </cell>
          <cell r="C14946" t="str">
            <v>Trans,Cis-Hexadeca-2,7-Dienoyl Coenzyme A</v>
          </cell>
        </row>
        <row r="14947">
          <cell r="A14947" t="str">
            <v>M00849_x</v>
          </cell>
          <cell r="B14947" t="str">
            <v>M00849</v>
          </cell>
          <cell r="C14947" t="str">
            <v>3-Oxo-7-Hexadecenoyl Coenzyme A</v>
          </cell>
        </row>
        <row r="14948">
          <cell r="A14948" t="str">
            <v>CE2438_m</v>
          </cell>
          <cell r="B14948" t="str">
            <v>CE2438</v>
          </cell>
          <cell r="C14948" t="str">
            <v>3(S)-Hydroxy-6Z,9Z,12Z-Octadecatrienoyl Coenzyme A</v>
          </cell>
        </row>
        <row r="14949">
          <cell r="A14949" t="str">
            <v>M01466_r</v>
          </cell>
          <cell r="B14949" t="str">
            <v>M01466</v>
          </cell>
          <cell r="C14949" t="str">
            <v>Cholest-5-En-3Beta-Yl (4Z,7Z,10Z,13Z,16Z,19Z-Docosahexaenoate)</v>
          </cell>
        </row>
        <row r="14950">
          <cell r="A14950" t="str">
            <v>M01468_r</v>
          </cell>
          <cell r="B14950" t="str">
            <v>M01468</v>
          </cell>
          <cell r="C14950" t="str">
            <v>Cholest-5-En-3Beta-Yl (5Z,8Z,11Z,14Z,17Z-Eicosapentaenoate)</v>
          </cell>
        </row>
        <row r="14951">
          <cell r="A14951" t="str">
            <v>M01469_r</v>
          </cell>
          <cell r="B14951" t="str">
            <v>M01469</v>
          </cell>
          <cell r="C14951" t="str">
            <v>Cholesterol-Ester-5,8,11-Eico</v>
          </cell>
        </row>
        <row r="14952">
          <cell r="A14952" t="str">
            <v>M01471_r</v>
          </cell>
          <cell r="B14952" t="str">
            <v>M01471</v>
          </cell>
          <cell r="C14952" t="str">
            <v>Cholesterol-Ester-6,9,12,15,18,21-Tetra</v>
          </cell>
        </row>
        <row r="14953">
          <cell r="A14953" t="str">
            <v>M01477_r</v>
          </cell>
          <cell r="B14953" t="str">
            <v>M01477</v>
          </cell>
          <cell r="C14953" t="str">
            <v>Cholesterol-Ester-7-Hexa</v>
          </cell>
        </row>
        <row r="14954">
          <cell r="A14954" t="str">
            <v>M01487_r</v>
          </cell>
          <cell r="B14954" t="str">
            <v>M01487</v>
          </cell>
          <cell r="C14954" t="str">
            <v>Cholest-5-En-3B-Yl (9Z-Tetradecenoate)</v>
          </cell>
        </row>
        <row r="14955">
          <cell r="A14955" t="str">
            <v>HC01609_c</v>
          </cell>
          <cell r="B14955" t="str">
            <v>HC01609</v>
          </cell>
          <cell r="C14955" t="str">
            <v>Uroporphyrinogen I(8-)</v>
          </cell>
        </row>
        <row r="14956">
          <cell r="A14956" t="str">
            <v>dsT_antigen_c</v>
          </cell>
          <cell r="B14956" t="str">
            <v>dsT_antigen</v>
          </cell>
          <cell r="C14956" t="str">
            <v>DsT antigen g</v>
          </cell>
        </row>
        <row r="14957">
          <cell r="A14957" t="str">
            <v>M00658_m</v>
          </cell>
          <cell r="B14957" t="str">
            <v>M00658</v>
          </cell>
          <cell r="C14957" t="str">
            <v>2-Methoxy-6-All Trans-Decaprenyl-2-Methoxy-1,4-Benzoquinol</v>
          </cell>
        </row>
        <row r="14958">
          <cell r="A14958" t="str">
            <v>M00213_c</v>
          </cell>
          <cell r="B14958" t="str">
            <v>M00213</v>
          </cell>
          <cell r="C14958" t="str">
            <v>Protein N6-Methyl-L-Lysine</v>
          </cell>
        </row>
        <row r="14959">
          <cell r="A14959" t="str">
            <v>M01871_g</v>
          </cell>
          <cell r="B14959" t="str">
            <v>M01871</v>
          </cell>
          <cell r="C14959" t="str">
            <v>(GalNAc)1 (GlcNAc)1 (Ser/Thr)1</v>
          </cell>
        </row>
        <row r="14960">
          <cell r="A14960" t="str">
            <v>doldp__L_c</v>
          </cell>
          <cell r="B14960" t="str">
            <v>doldp__L</v>
          </cell>
          <cell r="C14960" t="str">
            <v>Dolichol diphosphate, human liver homolog</v>
          </cell>
        </row>
        <row r="14961">
          <cell r="A14961" t="str">
            <v>Ser_Gly_Ala_X_Gly_g</v>
          </cell>
          <cell r="B14961" t="str">
            <v>Ser_Gly_Ala_X_Gly</v>
          </cell>
          <cell r="C14961" t="str">
            <v>Protein-linked serine residue (glycosaminoglycan attachment site)</v>
          </cell>
        </row>
        <row r="14962">
          <cell r="A14962" t="str">
            <v>HC02057_r</v>
          </cell>
          <cell r="B14962" t="str">
            <v>HC02057</v>
          </cell>
          <cell r="C14962" t="str">
            <v>1,2-Diacylglycerol-Ld-Pe-Pool</v>
          </cell>
        </row>
        <row r="14963">
          <cell r="A14963" t="str">
            <v>M02446_c</v>
          </cell>
          <cell r="B14963" t="str">
            <v>M02446</v>
          </cell>
          <cell r="C14963" t="str">
            <v>Maltoheptaose</v>
          </cell>
        </row>
        <row r="14964">
          <cell r="A14964" t="str">
            <v>M02447_c</v>
          </cell>
          <cell r="B14964" t="str">
            <v>M02447</v>
          </cell>
          <cell r="C14964" t="str">
            <v>Maltohexaose</v>
          </cell>
        </row>
        <row r="14965">
          <cell r="A14965" t="str">
            <v>itacon_c</v>
          </cell>
          <cell r="B14965" t="str">
            <v>itacon</v>
          </cell>
          <cell r="C14965" t="str">
            <v>Itaconate C5H4O4</v>
          </cell>
        </row>
        <row r="14966">
          <cell r="A14966" t="str">
            <v>rbl__D_e</v>
          </cell>
          <cell r="B14966" t="str">
            <v>rbl__D</v>
          </cell>
          <cell r="C14966" t="str">
            <v>D-Ribulose</v>
          </cell>
        </row>
        <row r="14967">
          <cell r="A14967" t="str">
            <v>M02155_e</v>
          </cell>
          <cell r="B14967" t="str">
            <v>M02155</v>
          </cell>
          <cell r="C14967" t="str">
            <v>Hyodesoxycholic Acid</v>
          </cell>
        </row>
        <row r="14968">
          <cell r="A14968" t="str">
            <v>M02467_e</v>
          </cell>
          <cell r="B14968" t="str">
            <v>M02467</v>
          </cell>
          <cell r="C14968" t="str">
            <v>Metformin</v>
          </cell>
        </row>
        <row r="14969">
          <cell r="A14969" t="str">
            <v>m3gacpail_prot_hs_c</v>
          </cell>
          <cell r="B14969" t="str">
            <v>m3gacpail_prot_hs</v>
          </cell>
          <cell r="C14969" t="str">
            <v>M3Gacpail Prot Heparan Sulfate</v>
          </cell>
        </row>
        <row r="14970">
          <cell r="A14970" t="str">
            <v>gpi_sig_e</v>
          </cell>
          <cell r="B14970" t="str">
            <v>gpi_sig</v>
          </cell>
          <cell r="C14970" t="str">
            <v>Glycophosphatidylinositol (GPI) signal sequence (C-terminal peptide)</v>
          </cell>
        </row>
        <row r="14971">
          <cell r="A14971" t="str">
            <v>n5m2masn_e</v>
          </cell>
          <cell r="B14971" t="str">
            <v>n5m2masn</v>
          </cell>
          <cell r="C14971" t="str">
            <v>((N-acetyl-D-glucosaminyl)5-(alpha-D-mannosyl)2-beta-D-mannosyl-diacetylchitobiosyl)-L-asparagine (protein)</v>
          </cell>
        </row>
        <row r="14972">
          <cell r="A14972" t="str">
            <v>hretn_e</v>
          </cell>
          <cell r="B14972" t="str">
            <v>hretn</v>
          </cell>
          <cell r="C14972" t="str">
            <v>4 hydroxy retinoic acid</v>
          </cell>
        </row>
        <row r="14973">
          <cell r="A14973" t="str">
            <v>core5_c</v>
          </cell>
          <cell r="B14973" t="str">
            <v>core5</v>
          </cell>
          <cell r="C14973" t="str">
            <v>Core5 g</v>
          </cell>
        </row>
        <row r="14974">
          <cell r="A14974" t="str">
            <v>core8_c</v>
          </cell>
          <cell r="B14974" t="str">
            <v>core8</v>
          </cell>
          <cell r="C14974" t="str">
            <v>Core8 g</v>
          </cell>
        </row>
        <row r="14975">
          <cell r="A14975" t="str">
            <v>dolichol__L_e</v>
          </cell>
          <cell r="B14975" t="str">
            <v>dolichol__L</v>
          </cell>
          <cell r="C14975" t="str">
            <v>Dolichol, human liver homolog</v>
          </cell>
        </row>
        <row r="14976">
          <cell r="A14976" t="str">
            <v>M03167_c</v>
          </cell>
          <cell r="B14976" t="str">
            <v>M03167</v>
          </cell>
          <cell r="C14976" t="str">
            <v>5-Phosphonooxy-L-Lysine</v>
          </cell>
        </row>
        <row r="14977">
          <cell r="A14977" t="str">
            <v>3dhchol_e</v>
          </cell>
          <cell r="B14977" t="str">
            <v>3dhchol</v>
          </cell>
          <cell r="C14977" t="str">
            <v>3-Dehydrocholic acid; 3oxo-7alpha,12alpha-Dihydroxy-5beta-cholan-24-oic acid</v>
          </cell>
        </row>
        <row r="14978">
          <cell r="A14978" t="str">
            <v>3dhdchol_c</v>
          </cell>
          <cell r="B14978" t="str">
            <v>3dhdchol</v>
          </cell>
          <cell r="C14978" t="str">
            <v>3-dehydro-Deoxycholate</v>
          </cell>
        </row>
        <row r="14979">
          <cell r="A14979" t="str">
            <v>7dhcdchol_c</v>
          </cell>
          <cell r="B14979" t="str">
            <v>7dhcdchol</v>
          </cell>
          <cell r="C14979" t="str">
            <v>7-Dehydrochenodeoxycholic acid; 7oxo-3alpha-hydroxy-5beta-cholan-24-oic acid</v>
          </cell>
        </row>
        <row r="14980">
          <cell r="A14980" t="str">
            <v>7dhchol_e</v>
          </cell>
          <cell r="B14980" t="str">
            <v>7dhchol</v>
          </cell>
          <cell r="C14980" t="str">
            <v>7-Dehydrocholic acid; 7-Oxodeoxycholic acid; 7oxo-3alpha,12alpha-Dihydroxy-5beta-cholan-24-oic acid</v>
          </cell>
        </row>
        <row r="14981">
          <cell r="A14981" t="str">
            <v>ca3s_e</v>
          </cell>
          <cell r="B14981" t="str">
            <v>ca3s</v>
          </cell>
          <cell r="C14981" t="str">
            <v>Cholic acid 3-sulfate</v>
          </cell>
        </row>
        <row r="14982">
          <cell r="A14982" t="str">
            <v>cdca3g_e</v>
          </cell>
          <cell r="B14982" t="str">
            <v>cdca3g</v>
          </cell>
          <cell r="C14982" t="str">
            <v>Chenodeoxycholic acid-3glucuronide, CDCA-3G</v>
          </cell>
        </row>
        <row r="14983">
          <cell r="A14983" t="str">
            <v>coprost_e</v>
          </cell>
          <cell r="B14983" t="str">
            <v>coprost</v>
          </cell>
          <cell r="C14983" t="str">
            <v>Coprostanol</v>
          </cell>
        </row>
        <row r="14984">
          <cell r="A14984" t="str">
            <v>dca24g_e</v>
          </cell>
          <cell r="B14984" t="str">
            <v>dca24g</v>
          </cell>
          <cell r="C14984" t="str">
            <v>Deoxycholic acid-24glucuronide, CDA-24G</v>
          </cell>
        </row>
        <row r="14985">
          <cell r="A14985" t="str">
            <v>dca3g_c</v>
          </cell>
          <cell r="B14985" t="str">
            <v>dca3g</v>
          </cell>
          <cell r="C14985" t="str">
            <v>Deoxycholic acid-3glucuronide, CDA-3G</v>
          </cell>
        </row>
        <row r="14986">
          <cell r="A14986" t="str">
            <v>dca3g_r</v>
          </cell>
          <cell r="B14986" t="str">
            <v>dca3g</v>
          </cell>
          <cell r="C14986" t="str">
            <v>Deoxycholic acid-3glucuronide, CDA-3G</v>
          </cell>
        </row>
        <row r="14987">
          <cell r="A14987" t="str">
            <v>gudca3s_c</v>
          </cell>
          <cell r="B14987" t="str">
            <v>gudca3s</v>
          </cell>
          <cell r="C14987" t="str">
            <v>Glycoursodeoxycholic acid 3-sulfate</v>
          </cell>
        </row>
        <row r="14988">
          <cell r="A14988" t="str">
            <v>isochol_c</v>
          </cell>
          <cell r="B14988" t="str">
            <v>isochol</v>
          </cell>
          <cell r="C14988" t="str">
            <v>Isochenodeoxycholic acid; 3beta,7alpha,12alpha-Trihydroxy-5beta-cholanic acid</v>
          </cell>
        </row>
        <row r="14989">
          <cell r="A14989" t="str">
            <v>lca3s_c</v>
          </cell>
          <cell r="B14989" t="str">
            <v>lca3s</v>
          </cell>
          <cell r="C14989" t="str">
            <v>Lithocholic acid 3-sulfate</v>
          </cell>
        </row>
        <row r="14990">
          <cell r="A14990" t="str">
            <v>tca3s_c</v>
          </cell>
          <cell r="B14990" t="str">
            <v>tca3s</v>
          </cell>
          <cell r="C14990" t="str">
            <v>Taurocholic acid 3-sulfate</v>
          </cell>
        </row>
        <row r="14991">
          <cell r="A14991" t="str">
            <v>uchol_c</v>
          </cell>
          <cell r="B14991" t="str">
            <v>uchol</v>
          </cell>
          <cell r="C14991" t="str">
            <v>Ursocholic acid; 3alpha,7beta,12alpha-Trihydroxy-5beta-cholan-24-oic acid; 3alpha,7beta,12alpha-Trihydroxy-5beta-cholanic acid; 7beta-Hydroxyisocholic acid; 7-Epicholic acid</v>
          </cell>
        </row>
        <row r="14992">
          <cell r="A14992" t="str">
            <v>lca24g_e</v>
          </cell>
          <cell r="B14992" t="str">
            <v>lca24g</v>
          </cell>
          <cell r="C14992" t="str">
            <v>Lithocholic acid-24glucuronide, CDCA-24G</v>
          </cell>
        </row>
        <row r="14993">
          <cell r="A14993" t="str">
            <v>tcdca3s_e</v>
          </cell>
          <cell r="B14993" t="str">
            <v>tcdca3s</v>
          </cell>
          <cell r="C14993" t="str">
            <v>Taurochenodeoxycholic acid 3-sulfate</v>
          </cell>
        </row>
        <row r="14994">
          <cell r="A14994" t="str">
            <v>udca3s_e</v>
          </cell>
          <cell r="B14994" t="str">
            <v>udca3s</v>
          </cell>
          <cell r="C14994" t="str">
            <v>Ursodeoxycholic acid 3-sulfate</v>
          </cell>
        </row>
        <row r="14995">
          <cell r="A14995" t="str">
            <v>tacr_r</v>
          </cell>
          <cell r="B14995" t="str">
            <v>tacr</v>
          </cell>
          <cell r="C14995" t="str">
            <v>Tacrolimus</v>
          </cell>
        </row>
        <row r="14996">
          <cell r="A14996" t="str">
            <v>31dmt_r</v>
          </cell>
          <cell r="B14996" t="str">
            <v>31dmt</v>
          </cell>
          <cell r="C14996" t="str">
            <v>31-DMT or M-II, 31-O-desmethyl tacrolimus</v>
          </cell>
        </row>
        <row r="14997">
          <cell r="A14997" t="str">
            <v>1ohmdz_r</v>
          </cell>
          <cell r="B14997" t="str">
            <v>1ohmdz</v>
          </cell>
          <cell r="C14997" t="str">
            <v>1'-OH-midazolam</v>
          </cell>
        </row>
        <row r="14998">
          <cell r="A14998" t="str">
            <v>1513tacr_e</v>
          </cell>
          <cell r="B14998" t="str">
            <v>1513tacr</v>
          </cell>
          <cell r="C14998" t="str">
            <v>13,15-O-didesmethyl tacrolimus</v>
          </cell>
        </row>
        <row r="14999">
          <cell r="A14999" t="str">
            <v>1531tacr_e</v>
          </cell>
          <cell r="B14999" t="str">
            <v>1531tacr</v>
          </cell>
          <cell r="C14999" t="str">
            <v>15, 31-O-Didesmethyl-tacrolimus</v>
          </cell>
        </row>
        <row r="15000">
          <cell r="A15000" t="str">
            <v>15dmt_e</v>
          </cell>
          <cell r="B15000" t="str">
            <v>15dmt</v>
          </cell>
          <cell r="C15000" t="str">
            <v>15-DMT or M-III, 15-O-desmethyl tacrolimus</v>
          </cell>
        </row>
        <row r="15001">
          <cell r="A15001" t="str">
            <v>1hibupglu__S_c</v>
          </cell>
          <cell r="B15001" t="str">
            <v>1hibupglu__S</v>
          </cell>
          <cell r="C15001" t="str">
            <v>1-hydroxy S-ibuprofen-glucuronide</v>
          </cell>
        </row>
        <row r="15002">
          <cell r="A15002" t="str">
            <v>1hibupglu__S_r</v>
          </cell>
          <cell r="B15002" t="str">
            <v>1hibupglu__S</v>
          </cell>
          <cell r="C15002" t="str">
            <v>1-hydroxy S-ibuprofen-glucuronide</v>
          </cell>
        </row>
        <row r="15003">
          <cell r="A15003" t="str">
            <v>1hibup__S_e</v>
          </cell>
          <cell r="B15003" t="str">
            <v>1hibup__S</v>
          </cell>
          <cell r="C15003" t="str">
            <v>1-hydroxy S-ibuprofen</v>
          </cell>
        </row>
        <row r="15004">
          <cell r="A15004" t="str">
            <v>1ohmdz_c</v>
          </cell>
          <cell r="B15004" t="str">
            <v>1ohmdz</v>
          </cell>
          <cell r="C15004" t="str">
            <v>1'-OH-midazolam</v>
          </cell>
        </row>
        <row r="15005">
          <cell r="A15005" t="str">
            <v>2hatvacidgluc_r</v>
          </cell>
          <cell r="B15005" t="str">
            <v>2hatvacidgluc</v>
          </cell>
          <cell r="C15005" t="str">
            <v>2-hydroxy-atorvastatin-acyl-glucuronide</v>
          </cell>
        </row>
        <row r="15006">
          <cell r="A15006" t="str">
            <v>2hatvacidgluc_c</v>
          </cell>
          <cell r="B15006" t="str">
            <v>2hatvacidgluc</v>
          </cell>
          <cell r="C15006" t="str">
            <v>2-hydroxy-atorvastatin-acyl-glucuronide</v>
          </cell>
        </row>
        <row r="15007">
          <cell r="A15007" t="str">
            <v>atvacid_r</v>
          </cell>
          <cell r="B15007" t="str">
            <v>atvacid</v>
          </cell>
          <cell r="C15007" t="str">
            <v>Atorvastatin-acid</v>
          </cell>
        </row>
        <row r="15008">
          <cell r="A15008" t="str">
            <v>atvlac_r</v>
          </cell>
          <cell r="B15008" t="str">
            <v>atvlac</v>
          </cell>
          <cell r="C15008" t="str">
            <v>Atorvastatin-lactone</v>
          </cell>
        </row>
        <row r="15009">
          <cell r="A15009" t="str">
            <v>2hibupglu__S_c</v>
          </cell>
          <cell r="B15009" t="str">
            <v>2hibupglu__S</v>
          </cell>
          <cell r="C15009" t="str">
            <v>2-hydroxy S-ibuprofen-glucuronide</v>
          </cell>
        </row>
        <row r="15010">
          <cell r="A15010" t="str">
            <v>2hibupglu__S_r</v>
          </cell>
          <cell r="B15010" t="str">
            <v>2hibupglu__S</v>
          </cell>
          <cell r="C15010" t="str">
            <v>2-hydroxy S-ibuprofen-glucuronide</v>
          </cell>
        </row>
        <row r="15011">
          <cell r="A15011" t="str">
            <v>31dmt_c</v>
          </cell>
          <cell r="B15011" t="str">
            <v>31dmt</v>
          </cell>
          <cell r="C15011" t="str">
            <v>31-DMT or M-II, 31-O-desmethyl tacrolimus</v>
          </cell>
        </row>
        <row r="15012">
          <cell r="A15012" t="str">
            <v>pvs_r</v>
          </cell>
          <cell r="B15012" t="str">
            <v>pvs</v>
          </cell>
          <cell r="C15012" t="str">
            <v>Pravastatin</v>
          </cell>
        </row>
        <row r="15013">
          <cell r="A15013" t="str">
            <v>35dsmv_r</v>
          </cell>
          <cell r="B15013" t="str">
            <v>35dsmv</v>
          </cell>
          <cell r="C15013" t="str">
            <v>3',5'-dihydrodiol-simvastatin-lactone form</v>
          </cell>
        </row>
        <row r="15014">
          <cell r="A15014" t="str">
            <v>35dsmv_c</v>
          </cell>
          <cell r="B15014" t="str">
            <v>35dsmv</v>
          </cell>
          <cell r="C15014" t="str">
            <v>3',5'-dihydrodiol-simvastatin-lactone form</v>
          </cell>
        </row>
        <row r="15015">
          <cell r="A15015" t="str">
            <v>3hibup__R_e</v>
          </cell>
          <cell r="B15015" t="str">
            <v>3hibup__R</v>
          </cell>
          <cell r="C15015" t="str">
            <v>3-hydroxy R-ibuprofen</v>
          </cell>
        </row>
        <row r="15016">
          <cell r="A15016" t="str">
            <v>3hpvstetcoa_m</v>
          </cell>
          <cell r="B15016" t="str">
            <v>3hpvstetcoa</v>
          </cell>
          <cell r="C15016" t="str">
            <v>3'-S-hydroxy-pravastatin-tetranor-CoA</v>
          </cell>
        </row>
        <row r="15017">
          <cell r="A15017" t="str">
            <v>3hpvstet_e</v>
          </cell>
          <cell r="B15017" t="str">
            <v>3hpvstet</v>
          </cell>
          <cell r="C15017" t="str">
            <v>3'-S-hydroxy-pravastatin-tetranor</v>
          </cell>
        </row>
        <row r="15018">
          <cell r="A15018" t="str">
            <v>3hpvs_e</v>
          </cell>
          <cell r="B15018" t="str">
            <v>3hpvs</v>
          </cell>
          <cell r="C15018" t="str">
            <v>3'-S-hydroxy-pravastatin</v>
          </cell>
        </row>
        <row r="15019">
          <cell r="A15019" t="str">
            <v>3hsmvacid_c</v>
          </cell>
          <cell r="B15019" t="str">
            <v>3hsmvacid</v>
          </cell>
          <cell r="C15019" t="str">
            <v>3'-hydroxy-simvastatin-acid form</v>
          </cell>
        </row>
        <row r="15020">
          <cell r="A15020" t="str">
            <v>pvs_c</v>
          </cell>
          <cell r="B15020" t="str">
            <v>pvs</v>
          </cell>
          <cell r="C15020" t="str">
            <v>Pravastatin</v>
          </cell>
        </row>
        <row r="15021">
          <cell r="A15021" t="str">
            <v>3ispvs_e</v>
          </cell>
          <cell r="B15021" t="str">
            <v>3ispvs</v>
          </cell>
          <cell r="C15021" t="str">
            <v>3-alpha-iso-pravastatin</v>
          </cell>
        </row>
        <row r="15022">
          <cell r="A15022" t="str">
            <v>4hatvlac_c</v>
          </cell>
          <cell r="B15022" t="str">
            <v>4hatvlac</v>
          </cell>
          <cell r="C15022" t="str">
            <v>4-hydroxy-atorvastatin-lactone / para-hydroxy-atorvastatin lactone</v>
          </cell>
        </row>
        <row r="15023">
          <cell r="A15023" t="str">
            <v>4hatvlac_r</v>
          </cell>
          <cell r="B15023" t="str">
            <v>4hatvlac</v>
          </cell>
          <cell r="C15023" t="str">
            <v>4-hydroxy-atorvastatin-lactone / para-hydroxy-atorvastatin lactone</v>
          </cell>
        </row>
        <row r="15024">
          <cell r="A15024" t="str">
            <v>tripvs_r</v>
          </cell>
          <cell r="B15024" t="str">
            <v>tripvs</v>
          </cell>
          <cell r="C15024" t="str">
            <v>Triol metabolite of pravastatin</v>
          </cell>
        </row>
        <row r="15025">
          <cell r="A15025" t="str">
            <v>56dhpvs_e</v>
          </cell>
          <cell r="B15025" t="str">
            <v>56dhpvs</v>
          </cell>
          <cell r="C15025" t="str">
            <v>3-keto-5,6,-dihydroxy-pravastatin</v>
          </cell>
        </row>
        <row r="15026">
          <cell r="A15026" t="str">
            <v>5ohfvsglu_r</v>
          </cell>
          <cell r="B15026" t="str">
            <v>5ohfvsglu</v>
          </cell>
          <cell r="C15026" t="str">
            <v>5-hydroxy-fluvastatin-glucuronide</v>
          </cell>
        </row>
        <row r="15027">
          <cell r="A15027" t="str">
            <v>5ohfvsglu_c</v>
          </cell>
          <cell r="B15027" t="str">
            <v>5ohfvsglu</v>
          </cell>
          <cell r="C15027" t="str">
            <v>5-hydroxy-fluvastatin-glucuronide</v>
          </cell>
        </row>
        <row r="15028">
          <cell r="A15028" t="str">
            <v>5ohfvs_e</v>
          </cell>
          <cell r="B15028" t="str">
            <v>5ohfvs</v>
          </cell>
          <cell r="C15028" t="str">
            <v>5-hydroxy-fluvastatin</v>
          </cell>
        </row>
        <row r="15029">
          <cell r="A15029" t="str">
            <v>6bhglz_e</v>
          </cell>
          <cell r="B15029" t="str">
            <v>6bhglz</v>
          </cell>
          <cell r="C15029" t="str">
            <v>6-beta-OH-gliclazide</v>
          </cell>
        </row>
        <row r="15030">
          <cell r="A15030" t="str">
            <v>6csmv_c</v>
          </cell>
          <cell r="B15030" t="str">
            <v>6csmv</v>
          </cell>
          <cell r="C15030" t="str">
            <v>6'-beta-carboxy-simvastatin-lactone form</v>
          </cell>
        </row>
        <row r="15031">
          <cell r="A15031" t="str">
            <v>6csmv_r</v>
          </cell>
          <cell r="B15031" t="str">
            <v>6csmv</v>
          </cell>
          <cell r="C15031" t="str">
            <v>6'-beta-carboxy-simvastatin-lactone form</v>
          </cell>
        </row>
        <row r="15032">
          <cell r="A15032" t="str">
            <v>6epvs_c</v>
          </cell>
          <cell r="B15032" t="str">
            <v>6epvs</v>
          </cell>
          <cell r="C15032" t="str">
            <v>6-epipravastatin</v>
          </cell>
        </row>
        <row r="15033">
          <cell r="A15033" t="str">
            <v>6hsmvacid_e</v>
          </cell>
          <cell r="B15033" t="str">
            <v>6hsmvacid</v>
          </cell>
          <cell r="C15033" t="str">
            <v>6'-beta-hydroxy simvastatin acid</v>
          </cell>
        </row>
        <row r="15034">
          <cell r="A15034" t="str">
            <v>6melvst_c</v>
          </cell>
          <cell r="B15034" t="str">
            <v>6melvst</v>
          </cell>
          <cell r="C15034" t="str">
            <v>6'-exomethylene-lovastatin lactone form</v>
          </cell>
        </row>
        <row r="15035">
          <cell r="A15035" t="str">
            <v>6melvacid_e</v>
          </cell>
          <cell r="B15035" t="str">
            <v>6melvacid</v>
          </cell>
          <cell r="C15035" t="str">
            <v>6'-exomethylene-lovastatin-acid form</v>
          </cell>
        </row>
        <row r="15036">
          <cell r="A15036" t="str">
            <v>6ohfvsglu_r</v>
          </cell>
          <cell r="B15036" t="str">
            <v>6ohfvsglu</v>
          </cell>
          <cell r="C15036" t="str">
            <v>6-hydroxy-fluvastatin-glucuronide</v>
          </cell>
        </row>
        <row r="15037">
          <cell r="A15037" t="str">
            <v>6ohfvsglu_c</v>
          </cell>
          <cell r="B15037" t="str">
            <v>6ohfvsglu</v>
          </cell>
          <cell r="C15037" t="str">
            <v>6-hydroxy-fluvastatin-glucuronide</v>
          </cell>
        </row>
        <row r="15038">
          <cell r="A15038" t="str">
            <v>7bhglz_e</v>
          </cell>
          <cell r="B15038" t="str">
            <v>7bhglz</v>
          </cell>
          <cell r="C15038" t="str">
            <v>7-beta-OH-gliclazide</v>
          </cell>
        </row>
        <row r="15039">
          <cell r="A15039" t="str">
            <v>7bhglzglc_e</v>
          </cell>
          <cell r="B15039" t="str">
            <v>7bhglzglc</v>
          </cell>
          <cell r="C15039" t="str">
            <v>7-beta-OH-gliclazide-glucuronide</v>
          </cell>
        </row>
        <row r="15040">
          <cell r="A15040" t="str">
            <v>allop_e</v>
          </cell>
          <cell r="B15040" t="str">
            <v>allop</v>
          </cell>
          <cell r="C15040" t="str">
            <v>Allopurinol</v>
          </cell>
        </row>
        <row r="15041">
          <cell r="A15041" t="str">
            <v>acmpglut_e</v>
          </cell>
          <cell r="B15041" t="str">
            <v>acmpglut</v>
          </cell>
          <cell r="C15041" t="str">
            <v>Acetaminophen-glutathione-conjugate</v>
          </cell>
        </row>
        <row r="15042">
          <cell r="A15042" t="str">
            <v>oxyp_c</v>
          </cell>
          <cell r="B15042" t="str">
            <v>oxyp</v>
          </cell>
          <cell r="C15042" t="str">
            <v>Oxypurinol</v>
          </cell>
        </row>
        <row r="15043">
          <cell r="A15043" t="str">
            <v>am9csa_r</v>
          </cell>
          <cell r="B15043" t="str">
            <v>am9csa</v>
          </cell>
          <cell r="C15043" t="str">
            <v>AM9 (cyclosporine)</v>
          </cell>
        </row>
        <row r="15044">
          <cell r="A15044" t="str">
            <v>am19cs_e</v>
          </cell>
          <cell r="B15044" t="str">
            <v>am19cs</v>
          </cell>
          <cell r="C15044" t="str">
            <v>AM19 (cyclosporine)</v>
          </cell>
        </row>
        <row r="15045">
          <cell r="A15045" t="str">
            <v>am1acs_e</v>
          </cell>
          <cell r="B15045" t="str">
            <v>am1acs</v>
          </cell>
          <cell r="C15045" t="str">
            <v>AM1A (cyclosporine)</v>
          </cell>
        </row>
        <row r="15046">
          <cell r="A15046" t="str">
            <v>am9csa_c</v>
          </cell>
          <cell r="B15046" t="str">
            <v>am9csa</v>
          </cell>
          <cell r="C15046" t="str">
            <v>AM9 (cyclosporine)</v>
          </cell>
        </row>
        <row r="15047">
          <cell r="A15047" t="str">
            <v>am4n9cs_e</v>
          </cell>
          <cell r="B15047" t="str">
            <v>am4n9cs</v>
          </cell>
          <cell r="C15047" t="str">
            <v>AM4N9 (cyclosporine)</v>
          </cell>
        </row>
        <row r="15048">
          <cell r="A15048" t="str">
            <v>atvacid_c</v>
          </cell>
          <cell r="B15048" t="str">
            <v>atvacid</v>
          </cell>
          <cell r="C15048" t="str">
            <v>Atorvastatin-acid</v>
          </cell>
        </row>
        <row r="15049">
          <cell r="A15049" t="str">
            <v>atvlac_c</v>
          </cell>
          <cell r="B15049" t="str">
            <v>atvlac</v>
          </cell>
          <cell r="C15049" t="str">
            <v>Atorvastatin-lactone</v>
          </cell>
        </row>
        <row r="15050">
          <cell r="A15050" t="str">
            <v>caribup_s_e</v>
          </cell>
          <cell r="B15050" t="str">
            <v>caribup_s</v>
          </cell>
          <cell r="C15050" t="str">
            <v>S-carboxy ibuprofen</v>
          </cell>
        </row>
        <row r="15051">
          <cell r="A15051" t="str">
            <v>crvsm24_r</v>
          </cell>
          <cell r="B15051" t="str">
            <v>crvsm24</v>
          </cell>
          <cell r="C15051" t="str">
            <v>Cerivastatin-M24</v>
          </cell>
        </row>
        <row r="15052">
          <cell r="A15052" t="str">
            <v>crvsm23_r</v>
          </cell>
          <cell r="B15052" t="str">
            <v>crvsm23</v>
          </cell>
          <cell r="C15052" t="str">
            <v>Cerivastatin-M23</v>
          </cell>
        </row>
        <row r="15053">
          <cell r="A15053" t="str">
            <v>crvsm22_c</v>
          </cell>
          <cell r="B15053" t="str">
            <v>crvsm22</v>
          </cell>
          <cell r="C15053" t="str">
            <v>Cerivastatin-M22</v>
          </cell>
        </row>
        <row r="15054">
          <cell r="A15054" t="str">
            <v>crvsm22_r</v>
          </cell>
          <cell r="B15054" t="str">
            <v>crvsm22</v>
          </cell>
          <cell r="C15054" t="str">
            <v>Cerivastatin-M22</v>
          </cell>
        </row>
        <row r="15055">
          <cell r="A15055" t="str">
            <v>crvsm23_c</v>
          </cell>
          <cell r="B15055" t="str">
            <v>crvsm23</v>
          </cell>
          <cell r="C15055" t="str">
            <v>Cerivastatin-M23</v>
          </cell>
        </row>
        <row r="15056">
          <cell r="A15056" t="str">
            <v>crvsm24_c</v>
          </cell>
          <cell r="B15056" t="str">
            <v>crvsm24</v>
          </cell>
          <cell r="C15056" t="str">
            <v>Cerivastatin-M24</v>
          </cell>
        </row>
        <row r="15057">
          <cell r="A15057" t="str">
            <v>crvsm31_r</v>
          </cell>
          <cell r="B15057" t="str">
            <v>crvsm31</v>
          </cell>
          <cell r="C15057" t="str">
            <v>Cerivastatin-M31</v>
          </cell>
        </row>
        <row r="15058">
          <cell r="A15058" t="str">
            <v>csa_e</v>
          </cell>
          <cell r="B15058" t="str">
            <v>csa</v>
          </cell>
          <cell r="C15058" t="str">
            <v>Cyclosporine</v>
          </cell>
        </row>
        <row r="15059">
          <cell r="A15059" t="str">
            <v>crvsm31_c</v>
          </cell>
          <cell r="B15059" t="str">
            <v>crvsm31</v>
          </cell>
          <cell r="C15059" t="str">
            <v>Cerivastatin-M31</v>
          </cell>
        </row>
        <row r="15060">
          <cell r="A15060" t="str">
            <v>dhglz_e</v>
          </cell>
          <cell r="B15060" t="str">
            <v>dhglz</v>
          </cell>
          <cell r="C15060" t="str">
            <v>Dehydro-gliclazide</v>
          </cell>
        </row>
        <row r="15061">
          <cell r="A15061" t="str">
            <v>dspvs_e</v>
          </cell>
          <cell r="B15061" t="str">
            <v>dspvs</v>
          </cell>
          <cell r="C15061" t="str">
            <v>Desacyl dehydro-pravastatin</v>
          </cell>
        </row>
        <row r="15062">
          <cell r="A15062" t="str">
            <v>epoxtac_r</v>
          </cell>
          <cell r="B15062" t="str">
            <v>epoxtac</v>
          </cell>
          <cell r="C15062" t="str">
            <v>31-O-Desmethyl,19-Hydroxy,37, 39-Epoxy-tacrolimus</v>
          </cell>
        </row>
        <row r="15063">
          <cell r="A15063" t="str">
            <v>epoxtac_c</v>
          </cell>
          <cell r="B15063" t="str">
            <v>epoxtac</v>
          </cell>
          <cell r="C15063" t="str">
            <v>31-O-Desmethyl,19-Hydroxy,37, 39-Epoxy-tacrolimus</v>
          </cell>
        </row>
        <row r="15064">
          <cell r="A15064" t="str">
            <v>lst4exp_e</v>
          </cell>
          <cell r="B15064" t="str">
            <v>lst4exp</v>
          </cell>
          <cell r="C15064" t="str">
            <v>Losartan-E3174/ losartan-M6</v>
          </cell>
        </row>
        <row r="15065">
          <cell r="A15065" t="str">
            <v>lstn_e</v>
          </cell>
          <cell r="B15065" t="str">
            <v>lstn</v>
          </cell>
          <cell r="C15065" t="str">
            <v>Losartan</v>
          </cell>
        </row>
        <row r="15066">
          <cell r="A15066" t="str">
            <v>lstnm4_e</v>
          </cell>
          <cell r="B15066" t="str">
            <v>lstnm4</v>
          </cell>
          <cell r="C15066" t="str">
            <v>Losartan-M4 (glucuronide derivative)</v>
          </cell>
        </row>
        <row r="15067">
          <cell r="A15067" t="str">
            <v>mhglz_e</v>
          </cell>
          <cell r="B15067" t="str">
            <v>mhglz</v>
          </cell>
          <cell r="C15067" t="str">
            <v>Methyl-hydroxy-gliclazide</v>
          </cell>
        </row>
        <row r="15068">
          <cell r="A15068" t="str">
            <v>nfdnpy_e</v>
          </cell>
          <cell r="B15068" t="str">
            <v>nfdnpy</v>
          </cell>
          <cell r="C15068" t="str">
            <v>Nitropyridine metabolite of nifedipine</v>
          </cell>
        </row>
        <row r="15069">
          <cell r="A15069" t="str">
            <v>oxy7rb_e</v>
          </cell>
          <cell r="B15069" t="str">
            <v>oxy7rb</v>
          </cell>
          <cell r="C15069" t="str">
            <v>Oxypurinol-7-riboside</v>
          </cell>
        </row>
        <row r="15070">
          <cell r="A15070" t="str">
            <v>profvs_e</v>
          </cell>
          <cell r="B15070" t="str">
            <v>profvs</v>
          </cell>
          <cell r="C15070" t="str">
            <v>Des-isoproylpropionic-acid-fluvastatin</v>
          </cell>
        </row>
        <row r="15071">
          <cell r="A15071" t="str">
            <v>ptvstlac_e</v>
          </cell>
          <cell r="B15071" t="str">
            <v>ptvstlac</v>
          </cell>
          <cell r="C15071" t="str">
            <v>Pitavastatin-lactone</v>
          </cell>
        </row>
        <row r="15072">
          <cell r="A15072" t="str">
            <v>rsv_e</v>
          </cell>
          <cell r="B15072" t="str">
            <v>rsv</v>
          </cell>
          <cell r="C15072" t="str">
            <v>Rosuvastatin</v>
          </cell>
        </row>
        <row r="15073">
          <cell r="A15073" t="str">
            <v>rsvlac_e</v>
          </cell>
          <cell r="B15073" t="str">
            <v>rsvlac</v>
          </cell>
          <cell r="C15073" t="str">
            <v>Rosuvastatin-5S-lactone</v>
          </cell>
        </row>
        <row r="15074">
          <cell r="A15074" t="str">
            <v>tlacfvs_e</v>
          </cell>
          <cell r="B15074" t="str">
            <v>tlacfvs</v>
          </cell>
          <cell r="C15074" t="str">
            <v>Trans-lactone-fluvastatin</v>
          </cell>
        </row>
        <row r="15075">
          <cell r="A15075" t="str">
            <v>tmd_e</v>
          </cell>
          <cell r="B15075" t="str">
            <v>tmd</v>
          </cell>
          <cell r="C15075" t="str">
            <v>Torasemide</v>
          </cell>
        </row>
        <row r="15076">
          <cell r="A15076" t="str">
            <v>tmdm5_e</v>
          </cell>
          <cell r="B15076" t="str">
            <v>tmdm5</v>
          </cell>
          <cell r="C15076" t="str">
            <v>Torasemide-M5</v>
          </cell>
        </row>
        <row r="15077">
          <cell r="A15077" t="str">
            <v>glc3meacp_r</v>
          </cell>
          <cell r="B15077" t="str">
            <v>glc3meacp</v>
          </cell>
          <cell r="C15077" t="str">
            <v>Glucuronide-conjugate of 3-methoxy-acetaminophen</v>
          </cell>
        </row>
        <row r="15078">
          <cell r="A15078" t="str">
            <v>glc3meacp_c</v>
          </cell>
          <cell r="B15078" t="str">
            <v>glc3meacp</v>
          </cell>
          <cell r="C15078" t="str">
            <v>Glucuronide-conjugate of 3-methoxy-acetaminophen</v>
          </cell>
        </row>
        <row r="15079">
          <cell r="A15079" t="str">
            <v>gtacmp_r</v>
          </cell>
          <cell r="B15079" t="str">
            <v>gtacmp</v>
          </cell>
          <cell r="C15079" t="str">
            <v>Glucuronide-thiomethyl-acetaminophen conjugate</v>
          </cell>
        </row>
        <row r="15080">
          <cell r="A15080" t="str">
            <v>gtacmp_c</v>
          </cell>
          <cell r="B15080" t="str">
            <v>gtacmp</v>
          </cell>
          <cell r="C15080" t="str">
            <v>Glucuronide-thiomethyl-acetaminophen conjugate</v>
          </cell>
        </row>
        <row r="15081">
          <cell r="A15081" t="str">
            <v>ibupcoa__R_c</v>
          </cell>
          <cell r="B15081" t="str">
            <v>ibupcoa__R</v>
          </cell>
          <cell r="C15081" t="str">
            <v>Ibuprofen-CoA-R form</v>
          </cell>
        </row>
        <row r="15082">
          <cell r="A15082" t="str">
            <v>lstnm7_c</v>
          </cell>
          <cell r="B15082" t="str">
            <v>lstnm7</v>
          </cell>
          <cell r="C15082" t="str">
            <v>Losartan-N2-glucuronide / Losartan-M7</v>
          </cell>
        </row>
        <row r="15083">
          <cell r="A15083" t="str">
            <v>lstnm7_r</v>
          </cell>
          <cell r="B15083" t="str">
            <v>lstnm7</v>
          </cell>
          <cell r="C15083" t="str">
            <v>Losartan-N2-glucuronide / Losartan-M7</v>
          </cell>
        </row>
        <row r="15084">
          <cell r="A15084" t="str">
            <v>6melvst_r</v>
          </cell>
          <cell r="B15084" t="str">
            <v>6melvst</v>
          </cell>
          <cell r="C15084" t="str">
            <v>6'-exomethylene-lovastatin lactone form</v>
          </cell>
        </row>
        <row r="15085">
          <cell r="A15085" t="str">
            <v>nfdoh_r</v>
          </cell>
          <cell r="B15085" t="str">
            <v>nfdoh</v>
          </cell>
          <cell r="C15085" t="str">
            <v>Hydroxy metabolite of nifedipine</v>
          </cell>
        </row>
        <row r="15086">
          <cell r="A15086" t="str">
            <v>nfdoh_c</v>
          </cell>
          <cell r="B15086" t="str">
            <v>nfdoh</v>
          </cell>
          <cell r="C15086" t="str">
            <v>Hydroxy metabolite of nifedipine</v>
          </cell>
        </row>
        <row r="15087">
          <cell r="A15087" t="str">
            <v>nfd_c</v>
          </cell>
          <cell r="B15087" t="str">
            <v>nfd</v>
          </cell>
          <cell r="C15087" t="str">
            <v>Nifedipine</v>
          </cell>
        </row>
        <row r="15088">
          <cell r="A15088" t="str">
            <v>fvscoa_x</v>
          </cell>
          <cell r="B15088" t="str">
            <v>fvscoa</v>
          </cell>
          <cell r="C15088" t="str">
            <v>Fluvastatin-CoA form</v>
          </cell>
        </row>
        <row r="15089">
          <cell r="A15089" t="str">
            <v>ptvst_c</v>
          </cell>
          <cell r="B15089" t="str">
            <v>ptvst</v>
          </cell>
          <cell r="C15089" t="str">
            <v>Pitavastatin</v>
          </cell>
        </row>
        <row r="15090">
          <cell r="A15090" t="str">
            <v>ptvst_r</v>
          </cell>
          <cell r="B15090" t="str">
            <v>ptvst</v>
          </cell>
          <cell r="C15090" t="str">
            <v>Pitavastatin</v>
          </cell>
        </row>
        <row r="15091">
          <cell r="A15091" t="str">
            <v>smvacid_c</v>
          </cell>
          <cell r="B15091" t="str">
            <v>smvacid</v>
          </cell>
          <cell r="C15091" t="str">
            <v>Simvastatin dihydroxy acid form</v>
          </cell>
        </row>
        <row r="15092">
          <cell r="A15092" t="str">
            <v>smvacid_r</v>
          </cell>
          <cell r="B15092" t="str">
            <v>smvacid</v>
          </cell>
          <cell r="C15092" t="str">
            <v>Simvastatin dihydroxy acid form</v>
          </cell>
        </row>
        <row r="15093">
          <cell r="A15093" t="str">
            <v>stacmp_c</v>
          </cell>
          <cell r="B15093" t="str">
            <v>stacmp</v>
          </cell>
          <cell r="C15093" t="str">
            <v>Sulphate-conjugate of thiomethyl-acetaminophen</v>
          </cell>
        </row>
        <row r="15094">
          <cell r="A15094" t="str">
            <v>tacr_c</v>
          </cell>
          <cell r="B15094" t="str">
            <v>tacr</v>
          </cell>
          <cell r="C15094" t="str">
            <v>Tacrolimus</v>
          </cell>
        </row>
        <row r="15095">
          <cell r="A15095" t="str">
            <v>thrfvs_c</v>
          </cell>
          <cell r="B15095" t="str">
            <v>thrfvs</v>
          </cell>
          <cell r="C15095" t="str">
            <v>Threo-isomer of fluvastain</v>
          </cell>
        </row>
        <row r="15096">
          <cell r="A15096" t="str">
            <v>thsacmp_r</v>
          </cell>
          <cell r="B15096" t="str">
            <v>thsacmp</v>
          </cell>
          <cell r="C15096" t="str">
            <v>Thiomethyl-sulphoxide-conjugate-acetaminophen</v>
          </cell>
        </row>
        <row r="15097">
          <cell r="A15097" t="str">
            <v>tripvs_c</v>
          </cell>
          <cell r="B15097" t="str">
            <v>tripvs</v>
          </cell>
          <cell r="C15097" t="str">
            <v>Triol metabolite of pravastatin</v>
          </cell>
        </row>
        <row r="15098">
          <cell r="A15098" t="str">
            <v>tsacmgluc_c</v>
          </cell>
          <cell r="B15098" t="str">
            <v>tsacmgluc</v>
          </cell>
          <cell r="C15098" t="str">
            <v>Thiomethyl-sulphoxide-acetaminophen-glucuronide</v>
          </cell>
        </row>
        <row r="15099">
          <cell r="A15099" t="str">
            <v>tsacmgluc_r</v>
          </cell>
          <cell r="B15099" t="str">
            <v>tsacmgluc</v>
          </cell>
          <cell r="C15099" t="str">
            <v>Thiomethyl-sulphoxide-acetaminophen-glucuronide</v>
          </cell>
        </row>
        <row r="15100">
          <cell r="A15100" t="str">
            <v>thsacmp_c</v>
          </cell>
          <cell r="B15100" t="str">
            <v>thsacmp</v>
          </cell>
          <cell r="C15100" t="str">
            <v>Thiomethyl-sulphoxide-conjugate-acetaminophen</v>
          </cell>
        </row>
        <row r="15101">
          <cell r="A15101" t="str">
            <v>tsacmsul_c</v>
          </cell>
          <cell r="B15101" t="str">
            <v>tsacmsul</v>
          </cell>
          <cell r="C15101" t="str">
            <v>Thiomethyl-sulphoxide-acetaminophen-sulphate</v>
          </cell>
        </row>
        <row r="15102">
          <cell r="A15102" t="str">
            <v>fvscoa_c</v>
          </cell>
          <cell r="B15102" t="str">
            <v>fvscoa</v>
          </cell>
          <cell r="C15102" t="str">
            <v>Fluvastatin-CoA form</v>
          </cell>
        </row>
        <row r="15103">
          <cell r="A15103" t="str">
            <v>caproic_e</v>
          </cell>
          <cell r="B15103" t="str">
            <v>caproic</v>
          </cell>
          <cell r="C15103" t="str">
            <v>Caproic Acid</v>
          </cell>
        </row>
        <row r="15104">
          <cell r="A15104" t="str">
            <v>protein_c</v>
          </cell>
          <cell r="B15104" t="str">
            <v>protein</v>
          </cell>
          <cell r="C15104" t="str">
            <v>Torasemide-M3</v>
          </cell>
        </row>
        <row r="15105">
          <cell r="A15105" t="str">
            <v>hexscoa_c</v>
          </cell>
          <cell r="B15105" t="str">
            <v>hexscoa</v>
          </cell>
          <cell r="C15105" t="str">
            <v>Hexsanoyl-CoA</v>
          </cell>
        </row>
        <row r="15106">
          <cell r="A15106" t="str">
            <v>octdcoa_c</v>
          </cell>
          <cell r="B15106" t="str">
            <v>octdcoa</v>
          </cell>
          <cell r="C15106" t="str">
            <v>Octadecanoyl-CoA</v>
          </cell>
        </row>
        <row r="15107">
          <cell r="A15107" t="str">
            <v>dodcoa_c</v>
          </cell>
          <cell r="B15107" t="str">
            <v>dodcoa</v>
          </cell>
          <cell r="C15107" t="str">
            <v>Dodecanoyl-CoA</v>
          </cell>
        </row>
        <row r="15108">
          <cell r="A15108" t="str">
            <v>hexcoa_c</v>
          </cell>
          <cell r="B15108" t="str">
            <v>hexcoa</v>
          </cell>
          <cell r="C15108" t="str">
            <v>Hexacosanoyl-CoA</v>
          </cell>
        </row>
        <row r="15109">
          <cell r="A15109" t="str">
            <v>c5tetdcoa_c</v>
          </cell>
          <cell r="B15109" t="str">
            <v>c5tetdcoa</v>
          </cell>
          <cell r="C15109" t="str">
            <v>C5-tetradecanoyl-CoA</v>
          </cell>
        </row>
        <row r="15110">
          <cell r="A15110" t="str">
            <v>hipecoa_c</v>
          </cell>
          <cell r="B15110" t="str">
            <v>hipecoa</v>
          </cell>
          <cell r="C15110" t="str">
            <v>(2E)-3-[(3aS,4S,5R,7aS)-5-hydroxy-7a-methyl-1-oxo-octahydro-1H-inden-4-yl]prop-2-enoyl-CoA</v>
          </cell>
        </row>
        <row r="15111">
          <cell r="A15111" t="str">
            <v>hcholc5coa_c</v>
          </cell>
          <cell r="B15111" t="str">
            <v>hcholc5coa</v>
          </cell>
          <cell r="C15111" t="str">
            <v>CoA-22-hydroxy-cholest-4-en-3-one C5 side chain</v>
          </cell>
        </row>
        <row r="15112">
          <cell r="A15112" t="str">
            <v>9ohadd_c</v>
          </cell>
          <cell r="B15112" t="str">
            <v>9ohadd</v>
          </cell>
          <cell r="C15112" t="str">
            <v>9alpha-Hydroxyandrosta-1,4-diene-3,17-dione</v>
          </cell>
        </row>
        <row r="15113">
          <cell r="A15113" t="str">
            <v>cholc8coa_c</v>
          </cell>
          <cell r="B15113" t="str">
            <v>cholc8coa</v>
          </cell>
          <cell r="C15113" t="str">
            <v>CoA-cholest-4-en-3-one C8 side chain</v>
          </cell>
        </row>
        <row r="15114">
          <cell r="A15114" t="str">
            <v>sl1278_c</v>
          </cell>
          <cell r="B15114" t="str">
            <v>sl1278</v>
          </cell>
          <cell r="C15114" t="str">
            <v>SL1278 (SL-1 precursor)</v>
          </cell>
        </row>
        <row r="15115">
          <cell r="A15115" t="str">
            <v>sl659_c</v>
          </cell>
          <cell r="B15115" t="str">
            <v>sl659</v>
          </cell>
          <cell r="C15115" t="str">
            <v>SL659</v>
          </cell>
        </row>
        <row r="15116">
          <cell r="A15116" t="str">
            <v>mas_c</v>
          </cell>
          <cell r="B15116" t="str">
            <v>mas</v>
          </cell>
          <cell r="C15116" t="str">
            <v>Mycocerosic acid synthase</v>
          </cell>
        </row>
        <row r="15117">
          <cell r="A15117" t="str">
            <v>cysO_c</v>
          </cell>
          <cell r="B15117" t="str">
            <v>cysO</v>
          </cell>
          <cell r="C15117" t="str">
            <v>CysO</v>
          </cell>
        </row>
        <row r="15118">
          <cell r="A15118" t="str">
            <v>mcbtm_c</v>
          </cell>
          <cell r="B15118" t="str">
            <v>mcbtm</v>
          </cell>
          <cell r="C15118" t="str">
            <v>Mycobactin with malonyl group</v>
          </cell>
        </row>
        <row r="15119">
          <cell r="A15119" t="str">
            <v>malt1p_c</v>
          </cell>
          <cell r="B15119" t="str">
            <v>malt1p</v>
          </cell>
          <cell r="C15119" t="str">
            <v>Alpha-maltose 1-phosphate</v>
          </cell>
        </row>
        <row r="15120">
          <cell r="A15120" t="str">
            <v>tbsinol_c</v>
          </cell>
          <cell r="B15120" t="str">
            <v>tbsinol</v>
          </cell>
          <cell r="C15120" t="str">
            <v>Tuberculosinol</v>
          </cell>
        </row>
        <row r="15121">
          <cell r="A15121" t="str">
            <v>isotbsinol_13R_c</v>
          </cell>
          <cell r="B15121" t="str">
            <v>isotbsinol_13R</v>
          </cell>
          <cell r="C15121" t="str">
            <v>(13R)-edaxadiene</v>
          </cell>
        </row>
        <row r="15122">
          <cell r="A15122" t="str">
            <v>rbzn_c</v>
          </cell>
          <cell r="B15122" t="str">
            <v>rbzn</v>
          </cell>
          <cell r="C15122" t="str">
            <v>Rhamnose-benzoic acid</v>
          </cell>
        </row>
        <row r="15123">
          <cell r="A15123" t="str">
            <v>hercyso_c</v>
          </cell>
          <cell r="B15123" t="str">
            <v>hercyso</v>
          </cell>
          <cell r="C15123" t="str">
            <v>Hercynylcysteine sulfoxide</v>
          </cell>
        </row>
        <row r="15124">
          <cell r="A15124" t="str">
            <v>c78mycolatepp_c</v>
          </cell>
          <cell r="B15124" t="str">
            <v>c78mycolatepp</v>
          </cell>
          <cell r="C15124" t="str">
            <v>C78-alpha-mycolate-PP</v>
          </cell>
        </row>
        <row r="15125">
          <cell r="A15125" t="str">
            <v>ppm_c</v>
          </cell>
          <cell r="B15125" t="str">
            <v>ppm</v>
          </cell>
          <cell r="C15125" t="str">
            <v>D-Mannosyl-1-phosphoundecaprenol</v>
          </cell>
        </row>
        <row r="15126">
          <cell r="A15126" t="str">
            <v>c78mycolateACP_c</v>
          </cell>
          <cell r="B15126" t="str">
            <v>c78mycolateACP</v>
          </cell>
          <cell r="C15126" t="str">
            <v>C78-alpha-mycolate-ACP</v>
          </cell>
        </row>
        <row r="15127">
          <cell r="A15127" t="str">
            <v>dhocdc_c</v>
          </cell>
          <cell r="B15127" t="str">
            <v>dhocdc</v>
          </cell>
          <cell r="C15127" t="str">
            <v>Dihydroxyoctadecadienoate</v>
          </cell>
        </row>
        <row r="15128">
          <cell r="A15128" t="str">
            <v>epox_c</v>
          </cell>
          <cell r="B15128" t="str">
            <v>epox</v>
          </cell>
          <cell r="C15128" t="str">
            <v>An epoxide</v>
          </cell>
        </row>
        <row r="15129">
          <cell r="A15129" t="str">
            <v>8oxdgtp_c</v>
          </cell>
          <cell r="B15129" t="str">
            <v>8oxdgtp</v>
          </cell>
          <cell r="C15129" t="str">
            <v>8-oxo-dGTP</v>
          </cell>
        </row>
        <row r="15130">
          <cell r="A15130" t="str">
            <v>12dgr_TB_c</v>
          </cell>
          <cell r="B15130" t="str">
            <v>12dgr_TB</v>
          </cell>
          <cell r="C15130" t="str">
            <v>1,2-Diacyl-sn-glycerol</v>
          </cell>
        </row>
        <row r="15131">
          <cell r="A15131" t="str">
            <v>nondca_c</v>
          </cell>
          <cell r="B15131" t="str">
            <v>nondca</v>
          </cell>
          <cell r="C15131" t="str">
            <v>Nonadecanoic acid</v>
          </cell>
        </row>
        <row r="15132">
          <cell r="A15132" t="str">
            <v>bccp_c</v>
          </cell>
          <cell r="B15132" t="str">
            <v>bccp</v>
          </cell>
          <cell r="C15132" t="str">
            <v>[Acetyl-CoA:carbon-dioxide ligase (ADP-forming)]</v>
          </cell>
        </row>
        <row r="15133">
          <cell r="A15133" t="str">
            <v>10m3ouACP_c</v>
          </cell>
          <cell r="B15133" t="str">
            <v>10m3ouACP</v>
          </cell>
          <cell r="C15133" t="str">
            <v>10-methyl-3-oxo-undecanoyl-ACP</v>
          </cell>
        </row>
        <row r="15134">
          <cell r="A15134" t="str">
            <v>10m3uACP_c</v>
          </cell>
          <cell r="B15134" t="str">
            <v>10m3uACP</v>
          </cell>
          <cell r="C15134" t="str">
            <v>10-methyl-3-hydroxy-undecanoyl-ACP</v>
          </cell>
        </row>
        <row r="15135">
          <cell r="A15135" t="str">
            <v>10muACP_c</v>
          </cell>
          <cell r="B15135" t="str">
            <v>10muACP</v>
          </cell>
          <cell r="C15135" t="str">
            <v>10-methyl-undecanoyl-ACP</v>
          </cell>
        </row>
        <row r="15136">
          <cell r="A15136" t="str">
            <v>11m3hdACP_c</v>
          </cell>
          <cell r="B15136" t="str">
            <v>11m3hdACP</v>
          </cell>
          <cell r="C15136" t="str">
            <v>11-methyl-3-hydroxy-dodecanoyl-ACP</v>
          </cell>
        </row>
        <row r="15137">
          <cell r="A15137" t="str">
            <v>12mtACP_c</v>
          </cell>
          <cell r="B15137" t="str">
            <v>12mtACP</v>
          </cell>
          <cell r="C15137" t="str">
            <v>12-methyl-tridecanoyl-ACP</v>
          </cell>
        </row>
        <row r="15138">
          <cell r="A15138" t="str">
            <v>13m3otdACP_c</v>
          </cell>
          <cell r="B15138" t="str">
            <v>13m3otdACP</v>
          </cell>
          <cell r="C15138" t="str">
            <v>13-methyl-3-oxo-tetra-decanoyl-ACP</v>
          </cell>
        </row>
        <row r="15139">
          <cell r="A15139" t="str">
            <v>13mtdACP_c</v>
          </cell>
          <cell r="B15139" t="str">
            <v>13mtdACP</v>
          </cell>
          <cell r="C15139" t="str">
            <v>13-methyl-tetra-decanoyl-ACP</v>
          </cell>
        </row>
        <row r="15140">
          <cell r="A15140" t="str">
            <v>14m3ohdACP_c</v>
          </cell>
          <cell r="B15140" t="str">
            <v>14m3ohdACP</v>
          </cell>
          <cell r="C15140" t="str">
            <v>14-methyl-3-oxo-hexa-decanoyl-ACP</v>
          </cell>
        </row>
        <row r="15141">
          <cell r="A15141" t="str">
            <v>14mthdeACP_c</v>
          </cell>
          <cell r="B15141" t="str">
            <v>14mthdeACP</v>
          </cell>
          <cell r="C15141" t="str">
            <v>14-methyl-trans-hexa-dec-2-enoyl-ACP</v>
          </cell>
        </row>
        <row r="15142">
          <cell r="A15142" t="str">
            <v>15methexeACP_c</v>
          </cell>
          <cell r="B15142" t="str">
            <v>15methexeACP</v>
          </cell>
          <cell r="C15142" t="str">
            <v>15-methyl-trans-hexa-dec-2-enoyl-ACP</v>
          </cell>
        </row>
        <row r="15143">
          <cell r="A15143" t="str">
            <v>15mhdACP_c</v>
          </cell>
          <cell r="B15143" t="str">
            <v>15mhdACP</v>
          </cell>
          <cell r="C15143" t="str">
            <v>15-methyl-hexa-decanoyl-ACP</v>
          </cell>
        </row>
        <row r="15144">
          <cell r="A15144" t="str">
            <v>16m3hdACP_c</v>
          </cell>
          <cell r="B15144" t="str">
            <v>16m3hdACP</v>
          </cell>
          <cell r="C15144" t="str">
            <v>16-methyl-3-hydroxy-hexa-decanoyl-ACP</v>
          </cell>
        </row>
        <row r="15145">
          <cell r="A15145" t="str">
            <v>16m3hpACP_c</v>
          </cell>
          <cell r="B15145" t="str">
            <v>16m3hpACP</v>
          </cell>
          <cell r="C15145" t="str">
            <v>16-methyl-3-hydroxy-pentadecanoyl-ACP</v>
          </cell>
        </row>
        <row r="15146">
          <cell r="A15146" t="str">
            <v>16mhdACP_c</v>
          </cell>
          <cell r="B15146" t="str">
            <v>16mhdACP</v>
          </cell>
          <cell r="C15146" t="str">
            <v>16-methyl-hexa-decanoyl-ACP</v>
          </cell>
        </row>
        <row r="15147">
          <cell r="A15147" t="str">
            <v>16mtp2eACP_c</v>
          </cell>
          <cell r="B15147" t="str">
            <v>16mtp2eACP</v>
          </cell>
          <cell r="C15147" t="str">
            <v xml:space="preserve">16-methyl-trans-pentadec-2-enoyl-ACP NAD oxidoreductase A-specific </v>
          </cell>
        </row>
        <row r="15148">
          <cell r="A15148" t="str">
            <v>17mhdACP_e</v>
          </cell>
          <cell r="B15148" t="str">
            <v>17mhdACP</v>
          </cell>
          <cell r="C15148" t="str">
            <v>17-methyl-hexa-decanoyl-ACP</v>
          </cell>
        </row>
        <row r="15149">
          <cell r="A15149" t="str">
            <v>17mthdeACP_c</v>
          </cell>
          <cell r="B15149" t="str">
            <v>17mthdeACP</v>
          </cell>
          <cell r="C15149" t="str">
            <v>17-methyl-trans-hexa-dec-2-enoyl-ACP</v>
          </cell>
        </row>
        <row r="15150">
          <cell r="A15150" t="str">
            <v>1agpg181_c</v>
          </cell>
          <cell r="B15150" t="str">
            <v>1agpg181</v>
          </cell>
          <cell r="C15150" t="str">
            <v>1-Acyl-sn-glycero-3-phosphoglycerol (n-C18:1)</v>
          </cell>
        </row>
        <row r="15151">
          <cell r="A15151" t="str">
            <v>1gDNA2_c</v>
          </cell>
          <cell r="B15151" t="str">
            <v>1gDNA2</v>
          </cell>
          <cell r="C15151" t="str">
            <v/>
          </cell>
        </row>
        <row r="15152">
          <cell r="A15152" t="str">
            <v>1gLIPIDS_c</v>
          </cell>
          <cell r="B15152" t="str">
            <v>1gLIPIDS</v>
          </cell>
          <cell r="C15152" t="str">
            <v/>
          </cell>
        </row>
        <row r="15153">
          <cell r="A15153" t="str">
            <v>1h2nap_c</v>
          </cell>
          <cell r="B15153" t="str">
            <v>1h2nap</v>
          </cell>
          <cell r="C15153" t="str">
            <v>1-Hydroxy-2-naphthoate</v>
          </cell>
        </row>
        <row r="15154">
          <cell r="A15154" t="str">
            <v>2bdgsglyc_e</v>
          </cell>
          <cell r="B15154" t="str">
            <v>2bdgsglyc</v>
          </cell>
          <cell r="C15154" t="str">
            <v>2-beta-D-Glucosyl-sn-glycerol</v>
          </cell>
        </row>
        <row r="15155">
          <cell r="A15155" t="str">
            <v>2mbutACP_c</v>
          </cell>
          <cell r="B15155" t="str">
            <v>2mbutACP</v>
          </cell>
          <cell r="C15155" t="str">
            <v>2-methylbutyryl-ACP</v>
          </cell>
        </row>
        <row r="15156">
          <cell r="A15156" t="str">
            <v>2mehbtpp_c</v>
          </cell>
          <cell r="B15156" t="str">
            <v>2mehbtpp</v>
          </cell>
          <cell r="C15156" t="str">
            <v>2-Methyl-1-hydroxybutyl-TPP</v>
          </cell>
        </row>
        <row r="15157">
          <cell r="A15157" t="str">
            <v>3g12dgr_MRSA_c</v>
          </cell>
          <cell r="B15157" t="str">
            <v>3g12dgr_MRSA</v>
          </cell>
          <cell r="C15157" t="str">
            <v>1,2-diacyl-3-O-(beta-D-glucopyranosyl-(1-&gt;6)-O-beta-D-glucopyranosyl)-sn-glycerol</v>
          </cell>
        </row>
        <row r="15158">
          <cell r="A15158" t="str">
            <v>3h3mop_c</v>
          </cell>
          <cell r="B15158" t="str">
            <v>3h3mop</v>
          </cell>
          <cell r="C15158" t="str">
            <v>(R)-3-Hydroxy-3-methyl-2-oxopentanoate</v>
          </cell>
        </row>
        <row r="15159">
          <cell r="A15159" t="str">
            <v>3hgmeACP_c</v>
          </cell>
          <cell r="B15159" t="str">
            <v>3hgmeACP</v>
          </cell>
          <cell r="C15159" t="str">
            <v>3-Hydroxyglutaryl-ACP methyl ester</v>
          </cell>
        </row>
        <row r="15160">
          <cell r="A15160" t="str">
            <v>3hoddecACP_c</v>
          </cell>
          <cell r="B15160" t="str">
            <v>3hoddecACP</v>
          </cell>
          <cell r="C15160" t="str">
            <v>10-methyl-3-hydroxy-dodecanoyl-ACP</v>
          </cell>
        </row>
        <row r="15161">
          <cell r="A15161" t="str">
            <v>3hpaACP_c</v>
          </cell>
          <cell r="B15161" t="str">
            <v>3hpaACP</v>
          </cell>
          <cell r="C15161" t="str">
            <v>R-3-hydroxypalmitoyl-acyl-carrierprotein-</v>
          </cell>
        </row>
        <row r="15162">
          <cell r="A15162" t="str">
            <v>3m1hbtpp_c</v>
          </cell>
          <cell r="B15162" t="str">
            <v>3m1hbtpp</v>
          </cell>
          <cell r="C15162" t="str">
            <v>3-Methyl-1-hydroxybutyl-TPP</v>
          </cell>
        </row>
        <row r="15163">
          <cell r="A15163" t="str">
            <v>3oxddACP_c</v>
          </cell>
          <cell r="B15163" t="str">
            <v>3oxddACP</v>
          </cell>
          <cell r="C15163" t="str">
            <v>3-oxododecanoyl-acp</v>
          </cell>
        </row>
        <row r="15164">
          <cell r="A15164" t="str">
            <v>44dpptf_c</v>
          </cell>
          <cell r="B15164" t="str">
            <v>44dpptf</v>
          </cell>
          <cell r="C15164" t="str">
            <v>All-trans-4,4'-diapophytofluene</v>
          </cell>
        </row>
        <row r="15165">
          <cell r="A15165" t="str">
            <v>4hmsial_c</v>
          </cell>
          <cell r="B15165" t="str">
            <v>4hmsial</v>
          </cell>
          <cell r="C15165" t="str">
            <v>4-Hydroxymethylsalicylate</v>
          </cell>
        </row>
        <row r="15166">
          <cell r="A15166" t="str">
            <v>4m3hhexACP_c</v>
          </cell>
          <cell r="B15166" t="str">
            <v>4m3hhexACP</v>
          </cell>
          <cell r="C15166" t="str">
            <v>4-methyl-3-hydroxy-hexanoyl-ACP</v>
          </cell>
        </row>
        <row r="15167">
          <cell r="A15167" t="str">
            <v>4m3hpAPC_c</v>
          </cell>
          <cell r="B15167" t="str">
            <v>4m3hpAPC</v>
          </cell>
          <cell r="C15167" t="str">
            <v>4-methyl-3-hydroxy-pentanoyl-ACP</v>
          </cell>
        </row>
        <row r="15168">
          <cell r="A15168" t="str">
            <v>4methexACP_c</v>
          </cell>
          <cell r="B15168" t="str">
            <v>4methexACP</v>
          </cell>
          <cell r="C15168" t="str">
            <v>4-methyl-hexanoyl-ACP</v>
          </cell>
        </row>
        <row r="15169">
          <cell r="A15169" t="str">
            <v>4mpACP_c</v>
          </cell>
          <cell r="B15169" t="str">
            <v>4mpACP</v>
          </cell>
          <cell r="C15169" t="str">
            <v>4-methyl-pentanoyl-ACP</v>
          </cell>
        </row>
        <row r="15170">
          <cell r="A15170" t="str">
            <v>8mcACP_c</v>
          </cell>
          <cell r="B15170" t="str">
            <v>8mcACP</v>
          </cell>
          <cell r="C15170" t="str">
            <v>8-methyl-nonanoyl-ACP</v>
          </cell>
        </row>
        <row r="15171">
          <cell r="A15171" t="str">
            <v>8mtd2eACP_c</v>
          </cell>
          <cell r="B15171" t="str">
            <v>8mtd2eACP</v>
          </cell>
          <cell r="C15171" t="str">
            <v>8-methyl-trans-dec-2-enoyl-ACP</v>
          </cell>
        </row>
        <row r="15172">
          <cell r="A15172" t="str">
            <v>9mtd2eACP_c</v>
          </cell>
          <cell r="B15172" t="str">
            <v>9mtd2eACP</v>
          </cell>
          <cell r="C15172" t="str">
            <v>9-methyl-trans-dec-2-enoyl-ACP</v>
          </cell>
        </row>
        <row r="15173">
          <cell r="A15173" t="str">
            <v>LTA_MRSA_w</v>
          </cell>
          <cell r="B15173" t="str">
            <v>LTA_MRSA</v>
          </cell>
          <cell r="C15173" t="str">
            <v xml:space="preserve">Lipoteichoic acid </v>
          </cell>
        </row>
        <row r="15174">
          <cell r="A15174" t="str">
            <v>PG__L_w</v>
          </cell>
          <cell r="B15174" t="str">
            <v>PG__L</v>
          </cell>
          <cell r="C15174" t="str">
            <v>Acetylglucosamine--N-acetylmuramoyl-(tetrapeptide) diphospho-undecaprenol dimer with L-(gly)5-D cross-link strand length 26</v>
          </cell>
        </row>
        <row r="15175">
          <cell r="A15175" t="str">
            <v>WTA40r_glcnac_w</v>
          </cell>
          <cell r="B15175" t="str">
            <v>WTA40r_glcnac</v>
          </cell>
          <cell r="C15175" t="str">
            <v>[2-(betaGlcNac)-Rbo-P]n-[2-(alphaGlcNac)-Rbo-P]-Gro-P-Gro-P-ManNAc-GlcNAc-PP-undecaprenol</v>
          </cell>
        </row>
        <row r="15176">
          <cell r="A15176" t="str">
            <v>acadl_c</v>
          </cell>
          <cell r="B15176" t="str">
            <v>acadl</v>
          </cell>
          <cell r="C15176" t="str">
            <v>Acetyl adenylate</v>
          </cell>
        </row>
        <row r="15177">
          <cell r="A15177" t="str">
            <v>accoa_w</v>
          </cell>
          <cell r="B15177" t="str">
            <v>accoa</v>
          </cell>
          <cell r="C15177" t="str">
            <v>Acetyl-CoA</v>
          </cell>
        </row>
        <row r="15178">
          <cell r="A15178" t="str">
            <v>acgam_w</v>
          </cell>
          <cell r="B15178" t="str">
            <v>acgam</v>
          </cell>
          <cell r="C15178" t="str">
            <v>N-Acetyl-D-glucosamine</v>
          </cell>
        </row>
        <row r="15179">
          <cell r="A15179" t="str">
            <v>act_c</v>
          </cell>
          <cell r="B15179" t="str">
            <v>act</v>
          </cell>
          <cell r="C15179" t="str">
            <v>Average acetyl-PO4- molecule</v>
          </cell>
        </row>
        <row r="15180">
          <cell r="A15180" t="str">
            <v>alaACP_c</v>
          </cell>
          <cell r="B15180" t="str">
            <v>alaACP</v>
          </cell>
          <cell r="C15180" t="str">
            <v xml:space="preserve"> D-alanyl-[D-alanyl carrier protein]</v>
          </cell>
        </row>
        <row r="15181">
          <cell r="A15181" t="str">
            <v>ala_his_c</v>
          </cell>
          <cell r="B15181" t="str">
            <v>ala_his</v>
          </cell>
          <cell r="C15181" t="str">
            <v>Ala-His</v>
          </cell>
        </row>
        <row r="15182">
          <cell r="A15182" t="str">
            <v>amdglc_c</v>
          </cell>
          <cell r="B15182" t="str">
            <v>amdglc</v>
          </cell>
          <cell r="C15182" t="str">
            <v>Alpha-Methyl-D-glucoside</v>
          </cell>
        </row>
        <row r="15183">
          <cell r="A15183" t="str">
            <v>antcard_c</v>
          </cell>
          <cell r="B15183" t="str">
            <v>antcard</v>
          </cell>
          <cell r="C15183" t="str">
            <v>Anteisoheptadecanoylcardiolipin B. subtilis</v>
          </cell>
        </row>
        <row r="15184">
          <cell r="A15184" t="str">
            <v>antp24u_c</v>
          </cell>
          <cell r="B15184" t="str">
            <v>antp24u</v>
          </cell>
          <cell r="C15184" t="str">
            <v>Anteisopentadecanoyllipoteichoic acid n=24  linked  unsubstituted</v>
          </cell>
        </row>
        <row r="15185">
          <cell r="A15185" t="str">
            <v>arbt_c</v>
          </cell>
          <cell r="B15185" t="str">
            <v>arbt</v>
          </cell>
          <cell r="C15185" t="str">
            <v>Arbutin C12H16O7</v>
          </cell>
        </row>
        <row r="15186">
          <cell r="A15186" t="str">
            <v>b12_e</v>
          </cell>
          <cell r="B15186" t="str">
            <v>b12</v>
          </cell>
          <cell r="C15186" t="str">
            <v>Vitamin B12</v>
          </cell>
        </row>
        <row r="15187">
          <cell r="A15187" t="str">
            <v>c15812_c</v>
          </cell>
          <cell r="B15187" t="str">
            <v>c15812</v>
          </cell>
          <cell r="C15187" t="str">
            <v>C15812</v>
          </cell>
        </row>
        <row r="15188">
          <cell r="A15188" t="str">
            <v>coa_w</v>
          </cell>
          <cell r="B15188" t="str">
            <v>coa</v>
          </cell>
          <cell r="C15188" t="str">
            <v>Coenzyme A</v>
          </cell>
        </row>
        <row r="15189">
          <cell r="A15189" t="str">
            <v>cystine__L_c</v>
          </cell>
          <cell r="B15189" t="str">
            <v>cystine__L</v>
          </cell>
          <cell r="C15189" t="str">
            <v>L-cystine</v>
          </cell>
        </row>
        <row r="15190">
          <cell r="A15190" t="str">
            <v>dglu12m_c</v>
          </cell>
          <cell r="B15190" t="str">
            <v>dglu12m</v>
          </cell>
          <cell r="C15190" t="str">
            <v>Diglucosyl-1 2 dimyristoylglycerol</v>
          </cell>
        </row>
        <row r="15191">
          <cell r="A15191" t="str">
            <v>diitpgly_c</v>
          </cell>
          <cell r="B15191" t="str">
            <v>diitpgly</v>
          </cell>
          <cell r="C15191" t="str">
            <v>Diisotetradecanoylphosphatidylglycerol</v>
          </cell>
        </row>
        <row r="15192">
          <cell r="A15192" t="str">
            <v>fosbsh_c</v>
          </cell>
          <cell r="B15192" t="str">
            <v>fosbsh</v>
          </cell>
          <cell r="C15192" t="str">
            <v>Fosfomycin-bacillithiol</v>
          </cell>
        </row>
        <row r="15193">
          <cell r="A15193" t="str">
            <v>g44dpnspo_c</v>
          </cell>
          <cell r="B15193" t="str">
            <v>g44dpnspo</v>
          </cell>
          <cell r="C15193" t="str">
            <v>Glucosyl-4,4'-diaponeurosporenoate</v>
          </cell>
        </row>
        <row r="15194">
          <cell r="A15194" t="str">
            <v>gcvHL_ADPr_c</v>
          </cell>
          <cell r="B15194" t="str">
            <v>gcvHL_ADPr</v>
          </cell>
          <cell r="C15194" t="str">
            <v>N-Lipoyl ADP-ribose gcvh-L protein</v>
          </cell>
        </row>
        <row r="15195">
          <cell r="A15195" t="str">
            <v>gcvHL_nh3_c</v>
          </cell>
          <cell r="B15195" t="str">
            <v>gcvHL_nh3</v>
          </cell>
          <cell r="C15195" t="str">
            <v>Ammonium bound gcvh-L protein</v>
          </cell>
        </row>
        <row r="15196">
          <cell r="A15196" t="str">
            <v>gcvH_LA_c</v>
          </cell>
          <cell r="B15196" t="str">
            <v>gcvH_LA</v>
          </cell>
          <cell r="C15196" t="str">
            <v>N-Lipoyl gcvh protein</v>
          </cell>
        </row>
        <row r="15197">
          <cell r="A15197" t="str">
            <v>ggbca_c</v>
          </cell>
          <cell r="B15197" t="str">
            <v>ggbca</v>
          </cell>
          <cell r="C15197" t="str">
            <v>Gamma-Glutamyl-beta-cyanoalanine</v>
          </cell>
        </row>
        <row r="15198">
          <cell r="A15198" t="str">
            <v>gly_gln_c</v>
          </cell>
          <cell r="B15198" t="str">
            <v>gly_gln</v>
          </cell>
          <cell r="C15198" t="str">
            <v>Gly-Gln</v>
          </cell>
        </row>
        <row r="15199">
          <cell r="A15199" t="str">
            <v>gly_leu_e</v>
          </cell>
          <cell r="B15199" t="str">
            <v>gly_leu</v>
          </cell>
          <cell r="C15199" t="str">
            <v>Gly-Leu</v>
          </cell>
        </row>
        <row r="15200">
          <cell r="A15200" t="str">
            <v>gly_phe_e</v>
          </cell>
          <cell r="B15200" t="str">
            <v>gly_phe</v>
          </cell>
          <cell r="C15200" t="str">
            <v>Gly-Phe</v>
          </cell>
        </row>
        <row r="15201">
          <cell r="A15201" t="str">
            <v>glyglygln_c</v>
          </cell>
          <cell r="B15201" t="str">
            <v>glyglygln</v>
          </cell>
          <cell r="C15201" t="str">
            <v>Glycine-glycine-glutamine tripeptide</v>
          </cell>
        </row>
        <row r="15202">
          <cell r="A15202" t="str">
            <v>hedACP_e</v>
          </cell>
          <cell r="B15202" t="str">
            <v>hedACP</v>
          </cell>
          <cell r="C15202" t="str">
            <v>Hexadecanoyl-acp</v>
          </cell>
        </row>
        <row r="15203">
          <cell r="A15203" t="str">
            <v>isohdcard_c</v>
          </cell>
          <cell r="B15203" t="str">
            <v>isohdcard</v>
          </cell>
          <cell r="C15203" t="str">
            <v>Isohexadecanoylcardiolipin B. subtilis</v>
          </cell>
        </row>
        <row r="15204">
          <cell r="A15204" t="str">
            <v>isohep24s_c</v>
          </cell>
          <cell r="B15204" t="str">
            <v>isohep24s</v>
          </cell>
          <cell r="C15204" t="str">
            <v>Isoheptadecanoyllipoteichoic acid n=24  linked  glucose substituted</v>
          </cell>
        </row>
        <row r="15205">
          <cell r="A15205" t="str">
            <v>istfrnB_e</v>
          </cell>
          <cell r="B15205" t="str">
            <v>istfrnB</v>
          </cell>
          <cell r="C15205" t="str">
            <v>Iron bound extracellular staphyloferrin B</v>
          </cell>
        </row>
        <row r="15206">
          <cell r="A15206" t="str">
            <v>ldpcde_c</v>
          </cell>
          <cell r="B15206" t="str">
            <v>ldpcde</v>
          </cell>
          <cell r="C15206" t="str">
            <v xml:space="preserve"> L-2,3-diaminopropionyl-citryl-diaminoethane</v>
          </cell>
        </row>
        <row r="15207">
          <cell r="A15207" t="str">
            <v>mttdca_c</v>
          </cell>
          <cell r="B15207" t="str">
            <v>mttdca</v>
          </cell>
          <cell r="C15207" t="str">
            <v>12-methyltetradecanoate</v>
          </cell>
        </row>
        <row r="15208">
          <cell r="A15208" t="str">
            <v>nacetlbdglg_c</v>
          </cell>
          <cell r="B15208" t="str">
            <v>nacetlbdglg</v>
          </cell>
          <cell r="C15208" t="str">
            <v>Gro-P-ManNAc-GlcNAc-PP-undecaprenol</v>
          </cell>
        </row>
        <row r="15209">
          <cell r="A15209" t="str">
            <v>nacg_c</v>
          </cell>
          <cell r="B15209" t="str">
            <v>nacg</v>
          </cell>
          <cell r="C15209" t="str">
            <v>N-(1-amino-1-carboxy-2-ethyl)-glutamic acid</v>
          </cell>
        </row>
        <row r="15210">
          <cell r="A15210" t="str">
            <v>obiliverd_c</v>
          </cell>
          <cell r="B15210" t="str">
            <v>obiliverd</v>
          </cell>
          <cell r="C15210" t="str">
            <v>5-oxo-delta-bilirubin</v>
          </cell>
        </row>
        <row r="15211">
          <cell r="A15211" t="str">
            <v>osuc_c</v>
          </cell>
          <cell r="B15211" t="str">
            <v>osuc</v>
          </cell>
          <cell r="C15211" t="str">
            <v>Oxalosuccinate</v>
          </cell>
        </row>
        <row r="15212">
          <cell r="A15212" t="str">
            <v>pb_e</v>
          </cell>
          <cell r="B15212" t="str">
            <v>pb</v>
          </cell>
          <cell r="C15212" t="str">
            <v>Pb</v>
          </cell>
        </row>
        <row r="15213">
          <cell r="A15213" t="str">
            <v>ppadn_c</v>
          </cell>
          <cell r="B15213" t="str">
            <v>ppadn</v>
          </cell>
          <cell r="C15213" t="str">
            <v>Propionyladenylate</v>
          </cell>
        </row>
        <row r="15214">
          <cell r="A15214" t="str">
            <v>pplhis_c</v>
          </cell>
          <cell r="B15214" t="str">
            <v>pplhis</v>
          </cell>
          <cell r="C15214" t="str">
            <v>Protein N(pi)-phospho-L-histidine</v>
          </cell>
        </row>
        <row r="15215">
          <cell r="A15215" t="str">
            <v>prohisglu_c</v>
          </cell>
          <cell r="B15215" t="str">
            <v>prohisglu</v>
          </cell>
          <cell r="C15215" t="str">
            <v>Proline-histidine-glutamine tripeptide</v>
          </cell>
        </row>
        <row r="15216">
          <cell r="A15216" t="str">
            <v>serglugly_e</v>
          </cell>
          <cell r="B15216" t="str">
            <v>serglugly</v>
          </cell>
          <cell r="C15216" t="str">
            <v>Serine-glutamine-glycine tripeptide</v>
          </cell>
        </row>
        <row r="15217">
          <cell r="A15217" t="str">
            <v>stfrnB_c</v>
          </cell>
          <cell r="B15217" t="str">
            <v>stfrnB</v>
          </cell>
          <cell r="C15217" t="str">
            <v>Staphyloferrin B</v>
          </cell>
        </row>
        <row r="15218">
          <cell r="A15218" t="str">
            <v>ttrcyc_c</v>
          </cell>
          <cell r="B15218" t="str">
            <v>ttrcyc</v>
          </cell>
          <cell r="C15218" t="str">
            <v>Tetracycline</v>
          </cell>
        </row>
        <row r="15219">
          <cell r="A15219" t="str">
            <v>uamagl_c</v>
          </cell>
          <cell r="B15219" t="str">
            <v>uamagl</v>
          </cell>
          <cell r="C15219" t="str">
            <v>UDP-N-acetyl-alpha-D-muramoyl-L-alanyl-gamma-D-glutamyl-L-lysine</v>
          </cell>
        </row>
        <row r="15220">
          <cell r="A15220" t="str">
            <v>vegACP_e</v>
          </cell>
          <cell r="B15220" t="str">
            <v>vegACP</v>
          </cell>
          <cell r="C15220" t="str">
            <v>Veganoyl-ACP</v>
          </cell>
        </row>
        <row r="15221">
          <cell r="A15221" t="str">
            <v>xsiderophore_c</v>
          </cell>
          <cell r="B15221" t="str">
            <v>xsiderophore</v>
          </cell>
          <cell r="C15221" t="str">
            <v>Xenosiderophore</v>
          </cell>
        </row>
        <row r="15222">
          <cell r="A15222" t="str">
            <v>butACP_e</v>
          </cell>
          <cell r="B15222" t="str">
            <v>butACP</v>
          </cell>
          <cell r="C15222" t="str">
            <v>Butyryl-ACP (n-C4:0ACP)</v>
          </cell>
        </row>
        <row r="15223">
          <cell r="A15223" t="str">
            <v>salc_e</v>
          </cell>
          <cell r="B15223" t="str">
            <v>salc</v>
          </cell>
          <cell r="C15223" t="str">
            <v>Salicylate</v>
          </cell>
        </row>
        <row r="15224">
          <cell r="A15224" t="str">
            <v>chms_c</v>
          </cell>
          <cell r="B15224" t="str">
            <v>chms</v>
          </cell>
          <cell r="C15224" t="str">
            <v>5 Carboxymethyl 2 hydroxymuconic semialdehyde C8H8O6</v>
          </cell>
        </row>
        <row r="15225">
          <cell r="A15225" t="str">
            <v>lipidA_LptA_p</v>
          </cell>
          <cell r="B15225" t="str">
            <v>lipidA_LptA</v>
          </cell>
          <cell r="C15225" t="str">
            <v>2 3 2'3' Tetrakis beta hydroxymyristoyl  D glucosaminyl 1 6 beta D glucosamine 1 4' bisphosphate C68H126N2O23P2</v>
          </cell>
        </row>
        <row r="15226">
          <cell r="A15226" t="str">
            <v>lipidA_e</v>
          </cell>
          <cell r="B15226" t="str">
            <v>lipidA</v>
          </cell>
          <cell r="C15226" t="str">
            <v>2,3,2'3'-Tetrakis(beta-hydroxymyristoyl)-D-glucosaminyl-1,6-beta-D-glucosamine 1,4'-bisphosphate</v>
          </cell>
        </row>
        <row r="15227">
          <cell r="A15227" t="str">
            <v>14denlipidA_p</v>
          </cell>
          <cell r="B15227" t="str">
            <v>14denlipidA</v>
          </cell>
          <cell r="C15227" t="str">
            <v>1' 4' bisphosphoethanolamin lipidIVa C72H138N4O29P4</v>
          </cell>
        </row>
        <row r="15228">
          <cell r="A15228" t="str">
            <v>lipidA_core_p</v>
          </cell>
          <cell r="B15228" t="str">
            <v>lipidA_core</v>
          </cell>
          <cell r="C15228" t="str">
            <v>2 3 2'3' Tetrakis beta hydroxymyristoyl  D glucosaminyl 1 6 beta D glucosamine 1 4' bisphosphate C68H126N2O23P2</v>
          </cell>
        </row>
        <row r="15229">
          <cell r="A15229" t="str">
            <v>lipidA_core_LptA_p</v>
          </cell>
          <cell r="B15229" t="str">
            <v>lipidA_core_LptA</v>
          </cell>
          <cell r="C15229" t="str">
            <v>2 3 2'3' Tetrakis beta hydroxymyristoyl  D glucosaminyl 1 6 beta D glucosamine 1 4' bisphosphate C68H126N2O23P2</v>
          </cell>
        </row>
        <row r="15230">
          <cell r="A15230" t="str">
            <v>lipaA_c</v>
          </cell>
          <cell r="B15230" t="str">
            <v>lipaA</v>
          </cell>
          <cell r="C15230" t="str">
            <v>KDO 2  lipid  A  C110H196N2O39P2</v>
          </cell>
        </row>
        <row r="15231">
          <cell r="A15231" t="str">
            <v>lipaA_p</v>
          </cell>
          <cell r="B15231" t="str">
            <v>lipaA</v>
          </cell>
          <cell r="C15231" t="str">
            <v>KDO 2  lipid  A  C110H196N2O39P2</v>
          </cell>
        </row>
        <row r="15232">
          <cell r="A15232" t="str">
            <v>enlipa_LptA_p</v>
          </cell>
          <cell r="B15232" t="str">
            <v>enlipa_LptA</v>
          </cell>
          <cell r="C15232" t="str">
            <v>Phosphoethanolamine KDO 2  lipid  A  C112H202N3O42P3</v>
          </cell>
        </row>
        <row r="15233">
          <cell r="A15233" t="str">
            <v>hhlipaA_c</v>
          </cell>
          <cell r="B15233" t="str">
            <v>hhlipaA</v>
          </cell>
          <cell r="C15233" t="str">
            <v>Heptosyl heptosyl kdo2 lipidA C124H200N2O51P2</v>
          </cell>
        </row>
        <row r="15234">
          <cell r="A15234" t="str">
            <v>phhlipaB_c</v>
          </cell>
          <cell r="B15234" t="str">
            <v>phhlipaB</v>
          </cell>
          <cell r="C15234" t="str">
            <v>Phospho heptosyl heptosyl kdo2 lipidA with laurate C129H207N2O60P3</v>
          </cell>
        </row>
        <row r="15235">
          <cell r="A15235" t="str">
            <v>o6aund_c</v>
          </cell>
          <cell r="B15235" t="str">
            <v>o6aund</v>
          </cell>
          <cell r="C15235" t="str">
            <v>O6 antigen undecaprenyl diphosphate C89H150N2O32P2</v>
          </cell>
        </row>
        <row r="15236">
          <cell r="A15236" t="str">
            <v>o6aund_p</v>
          </cell>
          <cell r="B15236" t="str">
            <v>o6aund</v>
          </cell>
          <cell r="C15236" t="str">
            <v>O6 antigen undecaprenyl diphosphate C89H150N2O32P2</v>
          </cell>
        </row>
        <row r="15237">
          <cell r="A15237" t="str">
            <v>o6a4colipa_LptA_p</v>
          </cell>
          <cell r="B15237" t="str">
            <v>o6a4colipa_LptA</v>
          </cell>
          <cell r="C15237" t="str">
            <v xml:space="preserve"> O6 antigen x4 core oligosaccharide lipid A O225H390N2O120P2</v>
          </cell>
        </row>
        <row r="15238">
          <cell r="A15238" t="str">
            <v>lipa_cold_LptA_p</v>
          </cell>
          <cell r="B15238" t="str">
            <v>lipa_cold_LptA</v>
          </cell>
          <cell r="C15238" t="str">
            <v>Cold adapted KDO 2  lipid  A  C114H202N2O39P2</v>
          </cell>
        </row>
        <row r="15239">
          <cell r="A15239" t="str">
            <v>fmet__L_c</v>
          </cell>
          <cell r="B15239" t="str">
            <v>fmet__L</v>
          </cell>
          <cell r="C15239" t="str">
            <v>N-formyl-L-methioninate</v>
          </cell>
        </row>
        <row r="15240">
          <cell r="A15240" t="str">
            <v>MNXM162_c</v>
          </cell>
          <cell r="B15240" t="str">
            <v>MNXM162</v>
          </cell>
          <cell r="C15240" t="str">
            <v>D-threo-isocitrate(3-)</v>
          </cell>
        </row>
        <row r="15241">
          <cell r="A15241" t="str">
            <v>mind3ac_c</v>
          </cell>
          <cell r="B15241" t="str">
            <v>mind3ac</v>
          </cell>
          <cell r="C15241" t="str">
            <v>Methyl indole-3-acetate</v>
          </cell>
        </row>
        <row r="15242">
          <cell r="A15242" t="str">
            <v>trdiel_c</v>
          </cell>
          <cell r="B15242" t="str">
            <v>trdiel</v>
          </cell>
          <cell r="C15242" t="str">
            <v>Trans-dienelactone</v>
          </cell>
        </row>
        <row r="15243">
          <cell r="A15243" t="str">
            <v>dtdpgal_c</v>
          </cell>
          <cell r="B15243" t="str">
            <v>dtdpgal</v>
          </cell>
          <cell r="C15243" t="str">
            <v>Dtdp-galactose</v>
          </cell>
        </row>
        <row r="15244">
          <cell r="A15244" t="str">
            <v>hibut_c</v>
          </cell>
          <cell r="B15244" t="str">
            <v>hibut</v>
          </cell>
          <cell r="C15244" t="str">
            <v>S-3-hydroxyisobutyrate</v>
          </cell>
        </row>
        <row r="15245">
          <cell r="A15245" t="str">
            <v>aibut_c</v>
          </cell>
          <cell r="B15245" t="str">
            <v>aibut</v>
          </cell>
          <cell r="C15245" t="str">
            <v>L-3-Aminoisobutanoate</v>
          </cell>
        </row>
        <row r="15246">
          <cell r="A15246" t="str">
            <v>h5p_c</v>
          </cell>
          <cell r="B15246" t="str">
            <v>h5p</v>
          </cell>
          <cell r="C15246" t="str">
            <v>Hydantoin-propionate</v>
          </cell>
        </row>
        <row r="15247">
          <cell r="A15247" t="str">
            <v>hpa4gly_c</v>
          </cell>
          <cell r="B15247" t="str">
            <v>hpa4gly</v>
          </cell>
          <cell r="C15247" t="str">
            <v>4-Hydroxyphenylacetylglycine</v>
          </cell>
        </row>
        <row r="15248">
          <cell r="A15248" t="str">
            <v>smscys_c</v>
          </cell>
          <cell r="B15248" t="str">
            <v>smscys</v>
          </cell>
          <cell r="C15248" t="str">
            <v>Se-methylselenocysteine</v>
          </cell>
        </row>
        <row r="15249">
          <cell r="A15249" t="str">
            <v>ppeptido_c</v>
          </cell>
          <cell r="B15249" t="str">
            <v>ppeptido</v>
          </cell>
          <cell r="C15249" t="str">
            <v>Ppeptido</v>
          </cell>
        </row>
        <row r="15250">
          <cell r="A15250" t="str">
            <v>apocarb_c</v>
          </cell>
          <cell r="B15250" t="str">
            <v>apocarb</v>
          </cell>
          <cell r="C15250" t="str">
            <v>Apo carboxylase</v>
          </cell>
        </row>
        <row r="15251">
          <cell r="A15251" t="str">
            <v>genald_c</v>
          </cell>
          <cell r="B15251" t="str">
            <v>genald</v>
          </cell>
          <cell r="C15251" t="str">
            <v>Genald</v>
          </cell>
        </row>
        <row r="15252">
          <cell r="A15252" t="str">
            <v>phe__D_c</v>
          </cell>
          <cell r="B15252" t="str">
            <v>phe__D</v>
          </cell>
          <cell r="C15252" t="str">
            <v>D-phenylalanine</v>
          </cell>
        </row>
        <row r="15253">
          <cell r="A15253" t="str">
            <v>undacp_c</v>
          </cell>
          <cell r="B15253" t="str">
            <v>undacp</v>
          </cell>
          <cell r="C15253" t="str">
            <v>Undecanoyl-ACP</v>
          </cell>
        </row>
        <row r="15254">
          <cell r="A15254" t="str">
            <v>dodecacp_c</v>
          </cell>
          <cell r="B15254" t="str">
            <v>dodecacp</v>
          </cell>
          <cell r="C15254" t="str">
            <v>Dodecanoyl-[acp]</v>
          </cell>
        </row>
        <row r="15255">
          <cell r="A15255" t="str">
            <v>hexeacp_c</v>
          </cell>
          <cell r="B15255" t="str">
            <v>hexeacp</v>
          </cell>
          <cell r="C15255" t="str">
            <v>Hexadecenoyl-ACP</v>
          </cell>
        </row>
        <row r="15256">
          <cell r="A15256" t="str">
            <v>hepacp_c</v>
          </cell>
          <cell r="B15256" t="str">
            <v>hepacp</v>
          </cell>
          <cell r="C15256" t="str">
            <v>Heptadecanoyl-ACP</v>
          </cell>
        </row>
        <row r="15257">
          <cell r="A15257" t="str">
            <v>hepeacp_c</v>
          </cell>
          <cell r="B15257" t="str">
            <v>hepeacp</v>
          </cell>
          <cell r="C15257" t="str">
            <v>Heptadecenoyl-ACP</v>
          </cell>
        </row>
        <row r="15258">
          <cell r="A15258" t="str">
            <v>nonaacp_c</v>
          </cell>
          <cell r="B15258" t="str">
            <v>nonaacp</v>
          </cell>
          <cell r="C15258" t="str">
            <v>Nonadecanoyl-ACP</v>
          </cell>
        </row>
        <row r="15259">
          <cell r="A15259" t="str">
            <v>decacid_c</v>
          </cell>
          <cell r="B15259" t="str">
            <v>decacid</v>
          </cell>
          <cell r="C15259" t="str">
            <v>Decanoic acid</v>
          </cell>
        </row>
        <row r="15260">
          <cell r="A15260" t="str">
            <v>tetdecacid_c</v>
          </cell>
          <cell r="B15260" t="str">
            <v>tetdecacid</v>
          </cell>
          <cell r="C15260" t="str">
            <v>Tetradecanoic acid</v>
          </cell>
        </row>
        <row r="15261">
          <cell r="A15261" t="str">
            <v>hexadecacid_c</v>
          </cell>
          <cell r="B15261" t="str">
            <v>hexadecacid</v>
          </cell>
          <cell r="C15261" t="str">
            <v>Hexadecanoic acid</v>
          </cell>
        </row>
        <row r="15262">
          <cell r="A15262" t="str">
            <v>hexedecacid_c</v>
          </cell>
          <cell r="B15262" t="str">
            <v>hexedecacid</v>
          </cell>
          <cell r="C15262" t="str">
            <v>Hexadecenoic acid</v>
          </cell>
        </row>
        <row r="15263">
          <cell r="A15263" t="str">
            <v>hepadecacid_c</v>
          </cell>
          <cell r="B15263" t="str">
            <v>hepadecacid</v>
          </cell>
          <cell r="C15263" t="str">
            <v>Heptadecanoic acid</v>
          </cell>
        </row>
        <row r="15264">
          <cell r="A15264" t="str">
            <v>aldehyde_c</v>
          </cell>
          <cell r="B15264" t="str">
            <v>aldehyde</v>
          </cell>
          <cell r="C15264" t="str">
            <v>Aldehyde</v>
          </cell>
        </row>
        <row r="15265">
          <cell r="A15265" t="str">
            <v>aglp_c</v>
          </cell>
          <cell r="B15265" t="str">
            <v>aglp</v>
          </cell>
          <cell r="C15265" t="str">
            <v>1-acyl-sn-glycerol 3-phosphate</v>
          </cell>
        </row>
        <row r="15266">
          <cell r="A15266" t="str">
            <v>phospholipid_c</v>
          </cell>
          <cell r="B15266" t="str">
            <v>phospholipid</v>
          </cell>
          <cell r="C15266" t="str">
            <v>Phospholipid c</v>
          </cell>
        </row>
        <row r="15267">
          <cell r="A15267" t="str">
            <v>lipids_c</v>
          </cell>
          <cell r="B15267" t="str">
            <v>lipids</v>
          </cell>
          <cell r="C15267" t="str">
            <v>Lipids c</v>
          </cell>
        </row>
        <row r="15268">
          <cell r="A15268" t="str">
            <v>lps_c</v>
          </cell>
          <cell r="B15268" t="str">
            <v>lps</v>
          </cell>
          <cell r="C15268" t="str">
            <v>Lps c</v>
          </cell>
        </row>
        <row r="15269">
          <cell r="A15269" t="str">
            <v>pyrr_c</v>
          </cell>
          <cell r="B15269" t="str">
            <v>pyrr</v>
          </cell>
          <cell r="C15269" t="str">
            <v>1-pyrroline</v>
          </cell>
        </row>
        <row r="15270">
          <cell r="A15270" t="str">
            <v>Lara14lac_c</v>
          </cell>
          <cell r="B15270" t="str">
            <v>Lara14lac</v>
          </cell>
          <cell r="C15270" t="str">
            <v>L-arabinono-1,4-lactone</v>
          </cell>
        </row>
        <row r="15271">
          <cell r="A15271" t="str">
            <v>2mm__R_c</v>
          </cell>
          <cell r="B15271" t="str">
            <v>2mm__R</v>
          </cell>
          <cell r="C15271" t="str">
            <v>(R)-2-Methylmalate</v>
          </cell>
        </row>
        <row r="15272">
          <cell r="A15272" t="str">
            <v>5mdru1p_e</v>
          </cell>
          <cell r="B15272" t="str">
            <v>5mdru1p</v>
          </cell>
          <cell r="C15272" t="str">
            <v>5-Methylthio-5-deoxy-D-ribulose 1-phosphate</v>
          </cell>
        </row>
        <row r="15273">
          <cell r="A15273" t="str">
            <v>acon_c</v>
          </cell>
          <cell r="B15273" t="str">
            <v>acon</v>
          </cell>
          <cell r="C15273" t="str">
            <v>Cis-Aconitate</v>
          </cell>
        </row>
        <row r="15274">
          <cell r="A15274" t="str">
            <v>cresol_e</v>
          </cell>
          <cell r="B15274" t="str">
            <v>cresol</v>
          </cell>
          <cell r="C15274" t="str">
            <v>4-Cresol</v>
          </cell>
        </row>
        <row r="15275">
          <cell r="A15275" t="str">
            <v>dcpl_c</v>
          </cell>
          <cell r="B15275" t="str">
            <v>dcpl</v>
          </cell>
          <cell r="C15275" t="str">
            <v>N6-(L-1,3-Dicarboxypropyl)-L-lysine</v>
          </cell>
        </row>
        <row r="15276">
          <cell r="A15276" t="str">
            <v>dhptn_c</v>
          </cell>
          <cell r="B15276" t="str">
            <v>dhptn</v>
          </cell>
          <cell r="C15276" t="str">
            <v>Dihydrobiopterin</v>
          </cell>
        </row>
        <row r="15277">
          <cell r="A15277" t="str">
            <v>dnacyt_c</v>
          </cell>
          <cell r="B15277" t="str">
            <v>dnacyt</v>
          </cell>
          <cell r="C15277" t="str">
            <v>DNA cytosine</v>
          </cell>
        </row>
        <row r="15278">
          <cell r="A15278" t="str">
            <v>photon_e1_u</v>
          </cell>
          <cell r="B15278" t="str">
            <v>photon_e1</v>
          </cell>
          <cell r="C15278" t="str">
            <v>Photons</v>
          </cell>
        </row>
        <row r="15279">
          <cell r="A15279" t="str">
            <v>e3mmal_c</v>
          </cell>
          <cell r="B15279" t="str">
            <v>e3mmal</v>
          </cell>
          <cell r="C15279" t="str">
            <v>D-erythro-3-Methylmalate</v>
          </cell>
        </row>
        <row r="15280">
          <cell r="A15280" t="str">
            <v>e700_u</v>
          </cell>
          <cell r="B15280" t="str">
            <v>e700</v>
          </cell>
          <cell r="C15280" t="str">
            <v>Photons with 700nm wavelength</v>
          </cell>
        </row>
        <row r="15281">
          <cell r="A15281" t="str">
            <v>etham_c</v>
          </cell>
          <cell r="B15281" t="str">
            <v>etham</v>
          </cell>
          <cell r="C15281" t="str">
            <v>Ethanolamine</v>
          </cell>
        </row>
        <row r="15282">
          <cell r="A15282" t="str">
            <v>feche_e</v>
          </cell>
          <cell r="B15282" t="str">
            <v>feche</v>
          </cell>
          <cell r="C15282" t="str">
            <v>Iron chelate</v>
          </cell>
        </row>
        <row r="15283">
          <cell r="A15283" t="str">
            <v>focytc6_l</v>
          </cell>
          <cell r="B15283" t="str">
            <v>focytc6</v>
          </cell>
          <cell r="C15283" t="str">
            <v>Ferrocytochrome c6</v>
          </cell>
        </row>
        <row r="15284">
          <cell r="A15284" t="str">
            <v>h2co3_x</v>
          </cell>
          <cell r="B15284" t="str">
            <v>h2co3</v>
          </cell>
          <cell r="C15284" t="str">
            <v>Carbonic acid</v>
          </cell>
        </row>
        <row r="15285">
          <cell r="A15285" t="str">
            <v>hco3_x</v>
          </cell>
          <cell r="B15285" t="str">
            <v>hco3</v>
          </cell>
          <cell r="C15285" t="str">
            <v>Bicarbonate</v>
          </cell>
        </row>
        <row r="15286">
          <cell r="A15286" t="str">
            <v>histdnl_c</v>
          </cell>
          <cell r="B15286" t="str">
            <v>histdnl</v>
          </cell>
          <cell r="C15286" t="str">
            <v>L-Histidinal</v>
          </cell>
        </row>
        <row r="15287">
          <cell r="A15287" t="str">
            <v>ian_c</v>
          </cell>
          <cell r="B15287" t="str">
            <v>ian</v>
          </cell>
          <cell r="C15287" t="str">
            <v>3-Indoleacetonitrile</v>
          </cell>
        </row>
        <row r="15288">
          <cell r="A15288" t="str">
            <v>oxRieskeB6_u</v>
          </cell>
          <cell r="B15288" t="str">
            <v>oxRieskeB6</v>
          </cell>
          <cell r="C15288" t="str">
            <v>Oxidized rieske B6</v>
          </cell>
        </row>
        <row r="15289">
          <cell r="A15289" t="str">
            <v>palmcoa_c</v>
          </cell>
          <cell r="B15289" t="str">
            <v>palmcoa</v>
          </cell>
          <cell r="C15289" t="str">
            <v>Palmitoyl-CoA</v>
          </cell>
        </row>
        <row r="15290">
          <cell r="A15290" t="str">
            <v>pcox_l</v>
          </cell>
          <cell r="B15290" t="str">
            <v>pcox</v>
          </cell>
          <cell r="C15290" t="str">
            <v>Plastocyanin(Cu2+)</v>
          </cell>
        </row>
        <row r="15291">
          <cell r="A15291" t="str">
            <v>pqb6s_u</v>
          </cell>
          <cell r="B15291" t="str">
            <v>pqb6s</v>
          </cell>
          <cell r="C15291" t="str">
            <v>Plastosemiquinone located at the stromal side of the Cytochrome-b6/f complex</v>
          </cell>
        </row>
        <row r="15292">
          <cell r="A15292" t="str">
            <v>pqhb6l_u</v>
          </cell>
          <cell r="B15292" t="str">
            <v>pqhb6l</v>
          </cell>
          <cell r="C15292" t="str">
            <v>Plastosemiquinone located at the luminal side of the Cytochrome-b6/f complex</v>
          </cell>
        </row>
        <row r="15293">
          <cell r="A15293" t="str">
            <v>pqn_u</v>
          </cell>
          <cell r="B15293" t="str">
            <v>pqn</v>
          </cell>
          <cell r="C15293" t="str">
            <v>Semiplastoquinone radical loosely bound to the Photosystem II</v>
          </cell>
        </row>
        <row r="15294">
          <cell r="A15294" t="str">
            <v>qa_u</v>
          </cell>
          <cell r="B15294" t="str">
            <v>qa</v>
          </cell>
          <cell r="C15294" t="str">
            <v>Internal bound plastoquinone of the Photosystem II</v>
          </cell>
        </row>
        <row r="15295">
          <cell r="A15295" t="str">
            <v>rdRieskeB6_u</v>
          </cell>
          <cell r="B15295" t="str">
            <v>rdRieskeB6</v>
          </cell>
          <cell r="C15295" t="str">
            <v>Reduced rieske B6</v>
          </cell>
        </row>
        <row r="15296">
          <cell r="A15296" t="str">
            <v>rpdmbzi_c</v>
          </cell>
          <cell r="B15296" t="str">
            <v>rpdmbzi</v>
          </cell>
          <cell r="C15296" t="str">
            <v>N1-(5-Phospho-alpha-D-ribosyl)-5,6-dimethylbenzimidazole</v>
          </cell>
        </row>
        <row r="15297">
          <cell r="A15297" t="str">
            <v>s1_u</v>
          </cell>
          <cell r="B15297" t="str">
            <v>s1</v>
          </cell>
          <cell r="C15297" t="str">
            <v>First oxidation state of the cluster of manganese atoms in the Photosystem II</v>
          </cell>
        </row>
        <row r="15298">
          <cell r="A15298" t="str">
            <v>trnauri_c</v>
          </cell>
          <cell r="B15298" t="str">
            <v>trnauri</v>
          </cell>
          <cell r="C15298" t="str">
            <v>TRNA containing uridine at position 54</v>
          </cell>
        </row>
        <row r="15299">
          <cell r="A15299" t="str">
            <v>udpacmana_c</v>
          </cell>
          <cell r="B15299" t="str">
            <v>udpacmana</v>
          </cell>
          <cell r="C15299" t="str">
            <v>UDP-N-acetyl-D-mannosamine</v>
          </cell>
        </row>
        <row r="15300">
          <cell r="A15300" t="str">
            <v>12mgdg182_9_12_c</v>
          </cell>
          <cell r="B15300" t="str">
            <v>12mgdg182_9_12</v>
          </cell>
          <cell r="C15300" t="str">
            <v>3-D-glucosyl-1,2-Diacylglycerol (n-C18 2)</v>
          </cell>
        </row>
        <row r="15301">
          <cell r="A15301" t="str">
            <v>12mgdg183_9_12_15_c</v>
          </cell>
          <cell r="B15301" t="str">
            <v>12mgdg183_9_12_15</v>
          </cell>
          <cell r="C15301" t="str">
            <v>3-D-glucosyl-1,2-Diacylglycerol (n-C18 3)</v>
          </cell>
        </row>
        <row r="15302">
          <cell r="A15302" t="str">
            <v>12mgdg184_6_9_12_15_c</v>
          </cell>
          <cell r="B15302" t="str">
            <v>12mgdg184_6_9_12_15</v>
          </cell>
          <cell r="C15302" t="str">
            <v>3-D-glucosyl-1,2-Diacylglycerol (n-C18 4)</v>
          </cell>
        </row>
        <row r="15303">
          <cell r="A15303" t="str">
            <v>mag181_c</v>
          </cell>
          <cell r="B15303" t="str">
            <v>mag181</v>
          </cell>
          <cell r="C15303" t="str">
            <v>1-monoacyl glycerol(18:1)</v>
          </cell>
        </row>
        <row r="15304">
          <cell r="A15304" t="str">
            <v>chito2pdol_L_dolp11_c</v>
          </cell>
          <cell r="B15304" t="str">
            <v>chito2pdol_L_dolp11</v>
          </cell>
          <cell r="C15304" t="str">
            <v>N,N-Diacetylchitobiosyl diphosphodolichol PP-Dol11(-a1)GlcNAc(4-b1)GlcNAc</v>
          </cell>
        </row>
        <row r="15305">
          <cell r="A15305" t="str">
            <v>chito2pdol_L_dolp12_c</v>
          </cell>
          <cell r="B15305" t="str">
            <v>chito2pdol_L_dolp12</v>
          </cell>
          <cell r="C15305" t="str">
            <v>N,N-Diacetylchitobiosyl diphosphodolichol PP-Dol12(-a1)GlcNAc(4-b1)GlcNAc</v>
          </cell>
        </row>
        <row r="15306">
          <cell r="A15306" t="str">
            <v>pa_pf_16_0_20_4_c</v>
          </cell>
          <cell r="B15306" t="str">
            <v>pa_pf_16_0_20_4</v>
          </cell>
          <cell r="C15306" t="str">
            <v>Phosphatidic acid(plasmodium,C16:0,C20:4)</v>
          </cell>
        </row>
        <row r="15307">
          <cell r="A15307" t="str">
            <v>gluside_18_1_24_0_c</v>
          </cell>
          <cell r="B15307" t="str">
            <v>gluside_18_1_24_0</v>
          </cell>
          <cell r="C15307" t="str">
            <v>N-(tetracosanoyl)-1- -glucosyl-sphing-4-enine</v>
          </cell>
        </row>
        <row r="15308">
          <cell r="A15308" t="str">
            <v>sphymyln_pf_18_1_18_0_g</v>
          </cell>
          <cell r="B15308" t="str">
            <v>sphymyln_pf_18_1_18_0</v>
          </cell>
          <cell r="C15308" t="str">
            <v>N-(octadecanoyl)-sphing-4-enine-1-phosphocholine</v>
          </cell>
        </row>
        <row r="15309">
          <cell r="A15309" t="str">
            <v>dhcrm_pf_18_0_24_0_c</v>
          </cell>
          <cell r="B15309" t="str">
            <v>dhcrm_pf_18_0_24_0</v>
          </cell>
          <cell r="C15309" t="str">
            <v>N-(tetracosanoyl)-sphinganine</v>
          </cell>
        </row>
        <row r="15310">
          <cell r="A15310" t="str">
            <v>cdpdag_pf_20_4_20_4_c</v>
          </cell>
          <cell r="B15310" t="str">
            <v>cdpdag_pf_20_4_20_4</v>
          </cell>
          <cell r="C15310" t="str">
            <v>CDP diacylglycerol(plasmodium,C20:4,C20:4)</v>
          </cell>
        </row>
        <row r="15311">
          <cell r="A15311" t="str">
            <v>cdpdag_pf_18_0_20_4_c</v>
          </cell>
          <cell r="B15311" t="str">
            <v>cdpdag_pf_18_0_20_4</v>
          </cell>
          <cell r="C15311" t="str">
            <v>CDP diacylglycerol(plasmodium,C18:0,C20:4)</v>
          </cell>
        </row>
        <row r="15312">
          <cell r="A15312" t="str">
            <v>pa_pf_18_0_20_4_c</v>
          </cell>
          <cell r="B15312" t="str">
            <v>pa_pf_18_0_20_4</v>
          </cell>
          <cell r="C15312" t="str">
            <v>Phosphatidic acid(plasmodium,C18:0,C20:4)</v>
          </cell>
        </row>
        <row r="15313">
          <cell r="A15313" t="str">
            <v>pa_pf_16_0_18_2_c</v>
          </cell>
          <cell r="B15313" t="str">
            <v>pa_pf_16_0_18_2</v>
          </cell>
          <cell r="C15313" t="str">
            <v>Phosphatidic acid(plasmodium,C16:0,C18:2)</v>
          </cell>
        </row>
        <row r="15314">
          <cell r="A15314" t="str">
            <v>pa_pf_18_1_18_2_c</v>
          </cell>
          <cell r="B15314" t="str">
            <v>pa_pf_18_1_18_2</v>
          </cell>
          <cell r="C15314" t="str">
            <v>Phosphatidic acid(plasmodium,C18:1,C18:2)</v>
          </cell>
        </row>
        <row r="15315">
          <cell r="A15315" t="str">
            <v>lgn_e</v>
          </cell>
          <cell r="B15315" t="str">
            <v>lgn</v>
          </cell>
          <cell r="C15315" t="str">
            <v>Lignoceric acid or tetracosanoicacid C24:0</v>
          </cell>
        </row>
        <row r="15316">
          <cell r="A15316" t="str">
            <v>gluside_18_1_16_0_c</v>
          </cell>
          <cell r="B15316" t="str">
            <v>gluside_18_1_16_0</v>
          </cell>
          <cell r="C15316" t="str">
            <v>N-(hexadecanoyl)-1- -glucosyl-sphing-4-enine</v>
          </cell>
        </row>
        <row r="15317">
          <cell r="A15317" t="str">
            <v>pail345p_pf_16_0_18_1_c</v>
          </cell>
          <cell r="B15317" t="str">
            <v>pail345p_pf_16_0_18_1</v>
          </cell>
          <cell r="C15317" t="str">
            <v>Phosphatidylinositol 3,4,5-trisphosphate(plasmodium,C16:0,C18:1)</v>
          </cell>
        </row>
        <row r="15318">
          <cell r="A15318" t="str">
            <v>dsbgox_r</v>
          </cell>
          <cell r="B15318" t="str">
            <v>dsbgox</v>
          </cell>
          <cell r="C15318" t="str">
            <v>Periplasmic disulfide isomerase/thiol-disulphide oxidase (oxidized)</v>
          </cell>
        </row>
        <row r="15319">
          <cell r="A15319" t="str">
            <v>5mthf5glu_c</v>
          </cell>
          <cell r="B15319" t="str">
            <v>5mthf5glu</v>
          </cell>
          <cell r="C15319" t="str">
            <v>Pentaglutamylfolate(5-methyl-THF)</v>
          </cell>
        </row>
        <row r="15320">
          <cell r="A15320" t="str">
            <v>acgpail_pf_18_0_18_1_c</v>
          </cell>
          <cell r="B15320" t="str">
            <v>acgpail_pf_18_0_18_1</v>
          </cell>
          <cell r="C15320" t="str">
            <v>N-Acetyl-D-glucosaminyl phosphatidyl inositol(plasmodium,C18:0,C18:1)</v>
          </cell>
        </row>
        <row r="15321">
          <cell r="A15321" t="str">
            <v>aksuc_c</v>
          </cell>
          <cell r="B15321" t="str">
            <v>aksuc</v>
          </cell>
          <cell r="C15321" t="str">
            <v>Alpha-ketosuccinamate</v>
          </cell>
        </row>
        <row r="15322">
          <cell r="A15322" t="str">
            <v>alpa_pf_18_0_c</v>
          </cell>
          <cell r="B15322" t="str">
            <v>alpa_pf_18_0</v>
          </cell>
          <cell r="C15322" t="str">
            <v>Lysophosphatidic acid(plasmodium,C18:0)</v>
          </cell>
        </row>
        <row r="15323">
          <cell r="A15323" t="str">
            <v>alpa_pf_18_2_c</v>
          </cell>
          <cell r="B15323" t="str">
            <v>alpa_pf_18_2</v>
          </cell>
          <cell r="C15323" t="str">
            <v>Lysophosphatidic acid(plasmodium,C18:2)</v>
          </cell>
        </row>
        <row r="15324">
          <cell r="A15324" t="str">
            <v>dag_pf_16_0_16_0_c</v>
          </cell>
          <cell r="B15324" t="str">
            <v>dag_pf_16_0_16_0</v>
          </cell>
          <cell r="C15324" t="str">
            <v>Diacylglycerol(plasmodium,C16:0,C16:0)</v>
          </cell>
        </row>
        <row r="15325">
          <cell r="A15325" t="str">
            <v>dag_pf_16_0_16_0_r</v>
          </cell>
          <cell r="B15325" t="str">
            <v>dag_pf_16_0_16_0</v>
          </cell>
          <cell r="C15325" t="str">
            <v>Diacylglycerol(plasmodium,C16:0,C16:0)</v>
          </cell>
        </row>
        <row r="15326">
          <cell r="A15326" t="str">
            <v>dag_pf_16_0_18_2_c</v>
          </cell>
          <cell r="B15326" t="str">
            <v>dag_pf_16_0_18_2</v>
          </cell>
          <cell r="C15326" t="str">
            <v>Diacylglycerol(plasmodium,C16:0,C18:2)</v>
          </cell>
        </row>
        <row r="15327">
          <cell r="A15327" t="str">
            <v>dag_pf_16_0_18_2_r</v>
          </cell>
          <cell r="B15327" t="str">
            <v>dag_pf_16_0_18_2</v>
          </cell>
          <cell r="C15327" t="str">
            <v>Diacylglycerol(plasmodium,C16:0,C18:2)</v>
          </cell>
        </row>
        <row r="15328">
          <cell r="A15328" t="str">
            <v>dag_pf_18_0_16_0_c</v>
          </cell>
          <cell r="B15328" t="str">
            <v>dag_pf_18_0_16_0</v>
          </cell>
          <cell r="C15328" t="str">
            <v>Diacylglycerol(plasmodium,C18:0,C16:0)</v>
          </cell>
        </row>
        <row r="15329">
          <cell r="A15329" t="str">
            <v>dag_pf_18_1_20_4_c</v>
          </cell>
          <cell r="B15329" t="str">
            <v>dag_pf_18_1_20_4</v>
          </cell>
          <cell r="C15329" t="str">
            <v>Diacylglycerol(plasmodium,C18:1,C20:4)</v>
          </cell>
        </row>
        <row r="15330">
          <cell r="A15330" t="str">
            <v>dag_pf_18_2_18_0_c</v>
          </cell>
          <cell r="B15330" t="str">
            <v>dag_pf_18_2_18_0</v>
          </cell>
          <cell r="C15330" t="str">
            <v>Diacylglycerol(plasmodium,C18:2,C18:0)</v>
          </cell>
        </row>
        <row r="15331">
          <cell r="A15331" t="str">
            <v>dag_pf_18_2_20_4_c</v>
          </cell>
          <cell r="B15331" t="str">
            <v>dag_pf_18_2_20_4</v>
          </cell>
          <cell r="C15331" t="str">
            <v>Diacylglycerol(plasmodium,C18:2,C20:4)</v>
          </cell>
        </row>
        <row r="15332">
          <cell r="A15332" t="str">
            <v>dag_pf_20_4_18_2_c</v>
          </cell>
          <cell r="B15332" t="str">
            <v>dag_pf_20_4_18_2</v>
          </cell>
          <cell r="C15332" t="str">
            <v>Diacylglycerol(plasmodium,C20:4,C18:2)</v>
          </cell>
        </row>
        <row r="15333">
          <cell r="A15333" t="str">
            <v>dol11manp_c</v>
          </cell>
          <cell r="B15333" t="str">
            <v>dol11manp</v>
          </cell>
          <cell r="C15333" t="str">
            <v>Dolichylphosphate(11subunits)D-mannose</v>
          </cell>
        </row>
        <row r="15334">
          <cell r="A15334" t="str">
            <v>dol12manp_c</v>
          </cell>
          <cell r="B15334" t="str">
            <v>dol12manp</v>
          </cell>
          <cell r="C15334" t="str">
            <v>Dolichylphosphate(12subunits)D-mannose</v>
          </cell>
        </row>
        <row r="15335">
          <cell r="A15335" t="str">
            <v>dolp11_c</v>
          </cell>
          <cell r="B15335" t="str">
            <v>dolp11</v>
          </cell>
          <cell r="C15335" t="str">
            <v>Dolichol(11subunits)phosphate</v>
          </cell>
        </row>
        <row r="15336">
          <cell r="A15336" t="str">
            <v>dolp12_c</v>
          </cell>
          <cell r="B15336" t="str">
            <v>dolp12</v>
          </cell>
          <cell r="C15336" t="str">
            <v>Dolichol(12subunits)phosphate</v>
          </cell>
        </row>
        <row r="15337">
          <cell r="A15337" t="str">
            <v>gacpail_pf_18_0_18_1_16_0_c</v>
          </cell>
          <cell r="B15337" t="str">
            <v>gacpail_pf_18_0_18_1_16_0</v>
          </cell>
          <cell r="C15337" t="str">
            <v>Glucosaminyl-acylphosphatidyl inositol(plasmodium,C18:0,C18:1,inositol-C16:0)</v>
          </cell>
        </row>
        <row r="15338">
          <cell r="A15338" t="str">
            <v>lpchol_pf_20_4_c</v>
          </cell>
          <cell r="B15338" t="str">
            <v>lpchol_pf_20_4</v>
          </cell>
          <cell r="C15338" t="str">
            <v>Lysophosphatidyl choline(plasmodium,C20:4)</v>
          </cell>
        </row>
        <row r="15339">
          <cell r="A15339" t="str">
            <v>lpe_pf_18_2_c</v>
          </cell>
          <cell r="B15339" t="str">
            <v>lpe_pf_18_2</v>
          </cell>
          <cell r="C15339" t="str">
            <v>Lysophosphatidyl ethanolamine(plasmodium,C18:2)</v>
          </cell>
        </row>
        <row r="15340">
          <cell r="A15340" t="str">
            <v>mqn4_c</v>
          </cell>
          <cell r="B15340" t="str">
            <v>mqn4</v>
          </cell>
          <cell r="C15340" t="str">
            <v>Menaquinone4</v>
          </cell>
        </row>
        <row r="15341">
          <cell r="A15341" t="str">
            <v>pa_pf_18_0_18_0_c</v>
          </cell>
          <cell r="B15341" t="str">
            <v>pa_pf_18_0_18_0</v>
          </cell>
          <cell r="C15341" t="str">
            <v>Phosphatidic acid(plasmodium,C18:0,C18:0)</v>
          </cell>
        </row>
        <row r="15342">
          <cell r="A15342" t="str">
            <v>pail_pf_16_0_16_0_c</v>
          </cell>
          <cell r="B15342" t="str">
            <v>pail_pf_16_0_16_0</v>
          </cell>
          <cell r="C15342" t="str">
            <v>Phosphatidyl inositol(plasmodium,C16:0,C16:0)</v>
          </cell>
        </row>
        <row r="15343">
          <cell r="A15343" t="str">
            <v>pail_pf_18_1_18_1_c</v>
          </cell>
          <cell r="B15343" t="str">
            <v>pail_pf_18_1_18_1</v>
          </cell>
          <cell r="C15343" t="str">
            <v>Phosphatidyl inositol(plasmodium,C18:1,C18:1)</v>
          </cell>
        </row>
        <row r="15344">
          <cell r="A15344" t="str">
            <v>pchol_pf_16_0_16_0_c</v>
          </cell>
          <cell r="B15344" t="str">
            <v>pchol_pf_16_0_16_0</v>
          </cell>
          <cell r="C15344" t="str">
            <v>Phosphatidyl choline(plasmodium,C16:0,C16:0)</v>
          </cell>
        </row>
        <row r="15345">
          <cell r="A15345" t="str">
            <v>pchol_pf_16_0_18_1_c</v>
          </cell>
          <cell r="B15345" t="str">
            <v>pchol_pf_16_0_18_1</v>
          </cell>
          <cell r="C15345" t="str">
            <v>Phosphatidyl choline(plasmodium,C16:0,C18:1)</v>
          </cell>
        </row>
        <row r="15346">
          <cell r="A15346" t="str">
            <v>plrxox_c</v>
          </cell>
          <cell r="B15346" t="str">
            <v>plrxox</v>
          </cell>
          <cell r="C15346" t="str">
            <v>Plasmoredoxin,oxidized</v>
          </cell>
        </row>
        <row r="15347">
          <cell r="A15347" t="str">
            <v>plrxrd_c</v>
          </cell>
          <cell r="B15347" t="str">
            <v>plrxrd</v>
          </cell>
          <cell r="C15347" t="str">
            <v>Plasmoredoxin,reduced</v>
          </cell>
        </row>
        <row r="15348">
          <cell r="A15348" t="str">
            <v>ps_pf_18_0_20_4_c</v>
          </cell>
          <cell r="B15348" t="str">
            <v>ps_pf_18_0_20_4</v>
          </cell>
          <cell r="C15348" t="str">
            <v>Phosphatidyl serine(plasmodium,C18:0,C20:4)</v>
          </cell>
        </row>
        <row r="15349">
          <cell r="A15349" t="str">
            <v>ps_pf_20_4_20_4_c</v>
          </cell>
          <cell r="B15349" t="str">
            <v>ps_pf_20_4_20_4</v>
          </cell>
          <cell r="C15349" t="str">
            <v>Phosphatidyl serine(plasmodium,C20:4,C20:4)</v>
          </cell>
        </row>
        <row r="15350">
          <cell r="A15350" t="str">
            <v>dhpt_e</v>
          </cell>
          <cell r="B15350" t="str">
            <v>dhpt</v>
          </cell>
          <cell r="C15350" t="str">
            <v>Dihydropteroate</v>
          </cell>
        </row>
        <row r="15351">
          <cell r="A15351" t="str">
            <v>dag_pf_18_1_16_0_g</v>
          </cell>
          <cell r="B15351" t="str">
            <v>dag_pf_18_1_16_0</v>
          </cell>
          <cell r="C15351" t="str">
            <v>Diacylglycerol(plasmodium,C18:1,C16:0)</v>
          </cell>
        </row>
        <row r="15352">
          <cell r="A15352" t="str">
            <v>dag_pf_18_1_18_2_g</v>
          </cell>
          <cell r="B15352" t="str">
            <v>dag_pf_18_1_18_2</v>
          </cell>
          <cell r="C15352" t="str">
            <v>Diacylglycerol(plasmodium,C18:1,C18:2)</v>
          </cell>
        </row>
        <row r="15353">
          <cell r="A15353" t="str">
            <v>dag_pf_18_2_18_1_g</v>
          </cell>
          <cell r="B15353" t="str">
            <v>dag_pf_18_2_18_1</v>
          </cell>
          <cell r="C15353" t="str">
            <v>Diacylglycerol(plasmodium,C18:2,C18:1)</v>
          </cell>
        </row>
        <row r="15354">
          <cell r="A15354" t="str">
            <v>dag_pf_20_4_16_0_g</v>
          </cell>
          <cell r="B15354" t="str">
            <v>dag_pf_20_4_16_0</v>
          </cell>
          <cell r="C15354" t="str">
            <v>Diacylglycerol(plasmodium,C20:4,C16:0)</v>
          </cell>
        </row>
        <row r="15355">
          <cell r="A15355" t="str">
            <v>horden_h</v>
          </cell>
          <cell r="B15355" t="str">
            <v>horden</v>
          </cell>
          <cell r="C15355" t="str">
            <v>Hordenine</v>
          </cell>
        </row>
        <row r="15356">
          <cell r="A15356" t="str">
            <v>lgt__S_h</v>
          </cell>
          <cell r="B15356" t="str">
            <v>lgt__S</v>
          </cell>
          <cell r="C15356" t="str">
            <v>(R)-S-Lactoylglutathione</v>
          </cell>
        </row>
        <row r="15357">
          <cell r="A15357" t="str">
            <v>lipopb_h</v>
          </cell>
          <cell r="B15357" t="str">
            <v>lipopb</v>
          </cell>
          <cell r="C15357" t="str">
            <v>Lipoate (protein bound)</v>
          </cell>
        </row>
        <row r="15358">
          <cell r="A15358" t="str">
            <v>nmettyam_h</v>
          </cell>
          <cell r="B15358" t="str">
            <v>nmettyam</v>
          </cell>
          <cell r="C15358" t="str">
            <v>N-Methyltyramine</v>
          </cell>
        </row>
        <row r="15359">
          <cell r="A15359" t="str">
            <v>o2s_l</v>
          </cell>
          <cell r="B15359" t="str">
            <v>o2s</v>
          </cell>
          <cell r="C15359" t="str">
            <v>Superoxide anion</v>
          </cell>
        </row>
        <row r="15360">
          <cell r="A15360" t="str">
            <v>2ommbl_m</v>
          </cell>
          <cell r="B15360" t="str">
            <v>2ommbl</v>
          </cell>
          <cell r="C15360" t="str">
            <v>2-Octaprenyl-3-methyl-6-methoxy- 1,4-benzoquinol</v>
          </cell>
        </row>
        <row r="15361">
          <cell r="A15361" t="str">
            <v>lipopb_m</v>
          </cell>
          <cell r="B15361" t="str">
            <v>lipopb</v>
          </cell>
          <cell r="C15361" t="str">
            <v>Lipoate (protein bound)</v>
          </cell>
        </row>
        <row r="15362">
          <cell r="A15362" t="str">
            <v>no2_m</v>
          </cell>
          <cell r="B15362" t="str">
            <v>no2</v>
          </cell>
          <cell r="C15362" t="str">
            <v>Nitrite</v>
          </cell>
        </row>
        <row r="15363">
          <cell r="A15363" t="str">
            <v>dol11manp_r</v>
          </cell>
          <cell r="B15363" t="str">
            <v>dol11manp</v>
          </cell>
          <cell r="C15363" t="str">
            <v>Dolichylphosphate(11subunits)D-mannose</v>
          </cell>
        </row>
        <row r="15364">
          <cell r="A15364" t="str">
            <v>dol12manp_r</v>
          </cell>
          <cell r="B15364" t="str">
            <v>dol12manp</v>
          </cell>
          <cell r="C15364" t="str">
            <v>Dolichylphosphate(12subunits)D-mannose</v>
          </cell>
        </row>
        <row r="15365">
          <cell r="A15365" t="str">
            <v>dolp11_r</v>
          </cell>
          <cell r="B15365" t="str">
            <v>dolp11</v>
          </cell>
          <cell r="C15365" t="str">
            <v>Dolichol(11subunits)phosphate</v>
          </cell>
        </row>
        <row r="15366">
          <cell r="A15366" t="str">
            <v>dolp12_r</v>
          </cell>
          <cell r="B15366" t="str">
            <v>dolp12</v>
          </cell>
          <cell r="C15366" t="str">
            <v>Dolichol(12subunits)phosphate</v>
          </cell>
        </row>
        <row r="15367">
          <cell r="A15367" t="str">
            <v>gacpail_pf_18_0_18_1_16_0_r</v>
          </cell>
          <cell r="B15367" t="str">
            <v>gacpail_pf_18_0_18_1_16_0</v>
          </cell>
          <cell r="C15367" t="str">
            <v>Glucosaminyl-acylphosphatidyl inositol(plasmodium,C18:0,C18:1,inositol-C16:0)</v>
          </cell>
        </row>
        <row r="15368">
          <cell r="A15368" t="str">
            <v>e4p_x</v>
          </cell>
          <cell r="B15368" t="str">
            <v>e4p</v>
          </cell>
          <cell r="C15368" t="str">
            <v>D-Erythrose 4-phosphate</v>
          </cell>
        </row>
        <row r="15369">
          <cell r="A15369" t="str">
            <v>f6p_x</v>
          </cell>
          <cell r="B15369" t="str">
            <v>f6p</v>
          </cell>
          <cell r="C15369" t="str">
            <v>D-Fructose 6-phosphate</v>
          </cell>
        </row>
        <row r="15370">
          <cell r="A15370" t="str">
            <v>xu5p__D_x</v>
          </cell>
          <cell r="B15370" t="str">
            <v>xu5p__D</v>
          </cell>
          <cell r="C15370" t="str">
            <v>D-Xylulose 5-phosphate</v>
          </cell>
        </row>
        <row r="15371">
          <cell r="A15371" t="str">
            <v>fdp_x</v>
          </cell>
          <cell r="B15371" t="str">
            <v>fdp</v>
          </cell>
          <cell r="C15371" t="str">
            <v>D-Fructose 1,6-bisphosphate</v>
          </cell>
        </row>
        <row r="15372">
          <cell r="A15372" t="str">
            <v>b_D_glucose_c</v>
          </cell>
          <cell r="B15372" t="str">
            <v>b_D_glucose</v>
          </cell>
          <cell r="C15372" t="str">
            <v>B DASH D DASH glucose c</v>
          </cell>
        </row>
        <row r="15373">
          <cell r="A15373" t="str">
            <v>b_D_glucose_x</v>
          </cell>
          <cell r="B15373" t="str">
            <v>b_D_glucose</v>
          </cell>
          <cell r="C15373" t="str">
            <v>B DASH D DASH glucose c</v>
          </cell>
        </row>
        <row r="15374">
          <cell r="A15374" t="str">
            <v>13dpg_x</v>
          </cell>
          <cell r="B15374" t="str">
            <v>13dpg</v>
          </cell>
          <cell r="C15374" t="str">
            <v>3-Phospho-D-glyceroyl phosphate</v>
          </cell>
        </row>
        <row r="15375">
          <cell r="A15375" t="str">
            <v>fum_x</v>
          </cell>
          <cell r="B15375" t="str">
            <v>fum</v>
          </cell>
          <cell r="C15375" t="str">
            <v>Fumarate</v>
          </cell>
        </row>
        <row r="15376">
          <cell r="A15376" t="str">
            <v>glcn__D_x</v>
          </cell>
          <cell r="B15376" t="str">
            <v>glcn__D</v>
          </cell>
          <cell r="C15376" t="str">
            <v>D Gluconate C6H11O7</v>
          </cell>
        </row>
        <row r="15377">
          <cell r="A15377" t="str">
            <v>drib_x</v>
          </cell>
          <cell r="B15377" t="str">
            <v>drib</v>
          </cell>
          <cell r="C15377" t="str">
            <v>Deoxyribose C5H10O4</v>
          </cell>
        </row>
        <row r="15378">
          <cell r="A15378" t="str">
            <v>spyr_c</v>
          </cell>
          <cell r="B15378" t="str">
            <v>spyr</v>
          </cell>
          <cell r="C15378" t="str">
            <v>3 Sulfinylpyruvate C3H3O5S</v>
          </cell>
        </row>
        <row r="15379">
          <cell r="A15379" t="str">
            <v>gam6p_x</v>
          </cell>
          <cell r="B15379" t="str">
            <v>gam6p</v>
          </cell>
          <cell r="C15379" t="str">
            <v>D-Glucosamine 6-phosphate</v>
          </cell>
        </row>
        <row r="15380">
          <cell r="A15380" t="str">
            <v>trpdrd_c</v>
          </cell>
          <cell r="B15380" t="str">
            <v>trpdrd</v>
          </cell>
          <cell r="C15380" t="str">
            <v>Reduced tryparedoxin XH2</v>
          </cell>
        </row>
        <row r="15381">
          <cell r="A15381" t="str">
            <v>2beACP_m</v>
          </cell>
          <cell r="B15381" t="str">
            <v>2beACP</v>
          </cell>
          <cell r="C15381" t="str">
            <v>But 2 enoyl acyl carrier protein C4H5OX</v>
          </cell>
        </row>
        <row r="15382">
          <cell r="A15382" t="str">
            <v>3hbACP_m</v>
          </cell>
          <cell r="B15382" t="str">
            <v>3hbACP</v>
          </cell>
          <cell r="C15382" t="str">
            <v xml:space="preserve"> 3R  3 Hydroxybutanoyl acyl carrier protein C4H7O2X</v>
          </cell>
        </row>
        <row r="15383">
          <cell r="A15383" t="str">
            <v>3htdACP_m</v>
          </cell>
          <cell r="B15383" t="str">
            <v>3htdACP</v>
          </cell>
          <cell r="C15383" t="str">
            <v xml:space="preserve"> 3R  3 Hydroxytetradecanoyl acyl carrier protein C14H27O2X</v>
          </cell>
        </row>
        <row r="15384">
          <cell r="A15384" t="str">
            <v>3oxhACP_m</v>
          </cell>
          <cell r="B15384" t="str">
            <v>3oxhACP</v>
          </cell>
          <cell r="C15384" t="str">
            <v>3 Oxohexanoyl acyl carrier protein C6H9O2X</v>
          </cell>
        </row>
        <row r="15385">
          <cell r="A15385" t="str">
            <v>3oxdeACP_m</v>
          </cell>
          <cell r="B15385" t="str">
            <v>3oxdeACP</v>
          </cell>
          <cell r="C15385" t="str">
            <v>3 Oxodecanoyl acyl carrier protein C10H17O2X</v>
          </cell>
        </row>
        <row r="15386">
          <cell r="A15386" t="str">
            <v>3oxhdACP_m</v>
          </cell>
          <cell r="B15386" t="str">
            <v>3oxhdACP</v>
          </cell>
          <cell r="C15386" t="str">
            <v>3-oxohexadecanoyl-acp</v>
          </cell>
        </row>
        <row r="15387">
          <cell r="A15387" t="str">
            <v>dccoa_m</v>
          </cell>
          <cell r="B15387" t="str">
            <v>dccoa</v>
          </cell>
          <cell r="C15387" t="str">
            <v>Decanoyl CoA C31H50N7O17P3S</v>
          </cell>
        </row>
        <row r="15388">
          <cell r="A15388" t="str">
            <v>glincoa_c</v>
          </cell>
          <cell r="B15388" t="str">
            <v>glincoa</v>
          </cell>
          <cell r="C15388" t="str">
            <v>Gamma Linoyl CoA  n C1836 9 12CoA  C39H60N7O17P3S</v>
          </cell>
        </row>
        <row r="15389">
          <cell r="A15389" t="str">
            <v>alpla_c</v>
          </cell>
          <cell r="B15389" t="str">
            <v>alpla</v>
          </cell>
          <cell r="C15389" t="str">
            <v>Alpha linolenic acid  183  C18H29O2</v>
          </cell>
        </row>
        <row r="15390">
          <cell r="A15390" t="str">
            <v>olcoa_c</v>
          </cell>
          <cell r="B15390" t="str">
            <v>olcoa</v>
          </cell>
          <cell r="C15390" t="str">
            <v>Oleoyl CoA  n C1819CoA  C39H64N7O17P3S</v>
          </cell>
        </row>
        <row r="15391">
          <cell r="A15391" t="str">
            <v>gal1p_x</v>
          </cell>
          <cell r="B15391" t="str">
            <v>gal1p</v>
          </cell>
          <cell r="C15391" t="str">
            <v>Alpha-D-Galactose 1-phosphate</v>
          </cell>
        </row>
        <row r="15392">
          <cell r="A15392" t="str">
            <v>gal_x</v>
          </cell>
          <cell r="B15392" t="str">
            <v>gal</v>
          </cell>
          <cell r="C15392" t="str">
            <v>D-Galactose</v>
          </cell>
        </row>
        <row r="15393">
          <cell r="A15393" t="str">
            <v>udpgal_x</v>
          </cell>
          <cell r="B15393" t="str">
            <v>udpgal</v>
          </cell>
          <cell r="C15393" t="str">
            <v>UDPgalactose</v>
          </cell>
        </row>
        <row r="15394">
          <cell r="A15394" t="str">
            <v>12dgr_LM_c</v>
          </cell>
          <cell r="B15394" t="str">
            <v>12dgr_LM</v>
          </cell>
          <cell r="C15394" t="str">
            <v>1 2 Diacylglycerol  L major  C3840H6924O500</v>
          </cell>
        </row>
        <row r="15395">
          <cell r="A15395" t="str">
            <v>pa_LM_m</v>
          </cell>
          <cell r="B15395" t="str">
            <v>pa_LM</v>
          </cell>
          <cell r="C15395" t="str">
            <v>Phosphatidate C3840H6824O800P100</v>
          </cell>
        </row>
        <row r="15396">
          <cell r="A15396" t="str">
            <v>1ag3p_LM_c</v>
          </cell>
          <cell r="B15396" t="str">
            <v>1ag3p_LM</v>
          </cell>
          <cell r="C15396" t="str">
            <v>1 Acyl sn glycerol 3 phosphate  L major  C2070H3762O700P100</v>
          </cell>
        </row>
        <row r="15397">
          <cell r="A15397" t="str">
            <v>ps_LM_m</v>
          </cell>
          <cell r="B15397" t="str">
            <v>ps_LM</v>
          </cell>
          <cell r="C15397" t="str">
            <v>Phosphatidylserine  L major  C4140H7424N100O1000P100</v>
          </cell>
        </row>
        <row r="15398">
          <cell r="A15398" t="str">
            <v>glincoa_x</v>
          </cell>
          <cell r="B15398" t="str">
            <v>glincoa</v>
          </cell>
          <cell r="C15398" t="str">
            <v>Gamma Linoyl CoA  n C1836 9 12CoA  C39H60N7O17P3S</v>
          </cell>
        </row>
        <row r="15399">
          <cell r="A15399" t="str">
            <v>olcoa_x</v>
          </cell>
          <cell r="B15399" t="str">
            <v>olcoa</v>
          </cell>
          <cell r="C15399" t="str">
            <v>Oleoyl CoA  n C1819CoA  C39H64N7O17P3S</v>
          </cell>
        </row>
        <row r="15400">
          <cell r="A15400" t="str">
            <v>ptd1ino_LM_c</v>
          </cell>
          <cell r="B15400" t="str">
            <v>ptd1ino_LM</v>
          </cell>
          <cell r="C15400" t="str">
            <v>Phosphatidyl 1D myo inositol  L major  C4440H7924O1300P100</v>
          </cell>
        </row>
        <row r="15401">
          <cell r="A15401" t="str">
            <v>trpox_m</v>
          </cell>
          <cell r="B15401" t="str">
            <v>trpox</v>
          </cell>
          <cell r="C15401" t="str">
            <v>Oxidized trypanothione C27H45N9O10S2</v>
          </cell>
        </row>
        <row r="15402">
          <cell r="A15402" t="str">
            <v>trprd_m</v>
          </cell>
          <cell r="B15402" t="str">
            <v>trprd</v>
          </cell>
          <cell r="C15402" t="str">
            <v>Reduced trypanothione C27H47N9O10S2</v>
          </cell>
        </row>
        <row r="15403">
          <cell r="A15403" t="str">
            <v>1ag3p_LM_x</v>
          </cell>
          <cell r="B15403" t="str">
            <v>1ag3p_LM</v>
          </cell>
          <cell r="C15403" t="str">
            <v>1 Acyl sn glycerol 3 phosphate  L major  C2070H3762O700P100</v>
          </cell>
        </row>
        <row r="15404">
          <cell r="A15404" t="str">
            <v>adn_x</v>
          </cell>
          <cell r="B15404" t="str">
            <v>adn</v>
          </cell>
          <cell r="C15404" t="str">
            <v>Adenosine</v>
          </cell>
        </row>
        <row r="15405">
          <cell r="A15405" t="str">
            <v>adn_r</v>
          </cell>
          <cell r="B15405" t="str">
            <v>adn</v>
          </cell>
          <cell r="C15405" t="str">
            <v>Adenosine</v>
          </cell>
        </row>
        <row r="15406">
          <cell r="A15406" t="str">
            <v>12dgr_LM_r</v>
          </cell>
          <cell r="B15406" t="str">
            <v>12dgr_LM</v>
          </cell>
          <cell r="C15406" t="str">
            <v>1 2 Diacylglycerol  L major  C3840H6924O500</v>
          </cell>
        </row>
        <row r="15407">
          <cell r="A15407" t="str">
            <v>ptd1ino_LM_r</v>
          </cell>
          <cell r="B15407" t="str">
            <v>ptd1ino_LM</v>
          </cell>
          <cell r="C15407" t="str">
            <v>Phosphatidyl 1D myo inositol  L major  C4440H7924O1300P100</v>
          </cell>
        </row>
        <row r="15408">
          <cell r="A15408" t="str">
            <v>h2isocapcoa_c</v>
          </cell>
          <cell r="B15408" t="str">
            <v>h2isocapcoa</v>
          </cell>
          <cell r="C15408" t="str">
            <v>(R)-2-hydroxyisocaproyl-CoA</v>
          </cell>
        </row>
        <row r="15409">
          <cell r="A15409" t="str">
            <v>a45imzc_c</v>
          </cell>
          <cell r="B15409" t="str">
            <v>a45imzc</v>
          </cell>
          <cell r="C15409" t="str">
            <v>4-amino-5-imidazole carboxylate</v>
          </cell>
        </row>
        <row r="15410">
          <cell r="A15410" t="str">
            <v>lpteichoic_c</v>
          </cell>
          <cell r="B15410" t="str">
            <v>lpteichoic</v>
          </cell>
          <cell r="C15410" t="str">
            <v>Lipoteichoic acid</v>
          </cell>
        </row>
        <row r="15411">
          <cell r="A15411" t="str">
            <v>glc__aD_e</v>
          </cell>
          <cell r="B15411" t="str">
            <v>glc__aD</v>
          </cell>
          <cell r="C15411" t="str">
            <v>Alpha D-glucose</v>
          </cell>
        </row>
        <row r="15412">
          <cell r="A15412" t="str">
            <v>a5pn_c</v>
          </cell>
          <cell r="B15412" t="str">
            <v>a5pn</v>
          </cell>
          <cell r="C15412" t="str">
            <v>5-aminopentanoate</v>
          </cell>
        </row>
        <row r="15413">
          <cell r="A15413" t="str">
            <v>psuri5p_c</v>
          </cell>
          <cell r="B15413" t="str">
            <v>psuri5p</v>
          </cell>
          <cell r="C15413" t="str">
            <v>Pseudouridine 5-phosphate</v>
          </cell>
        </row>
        <row r="15414">
          <cell r="A15414" t="str">
            <v>tagur_e</v>
          </cell>
          <cell r="B15414" t="str">
            <v>tagur</v>
          </cell>
          <cell r="C15414" t="str">
            <v>D-Tagaturonate</v>
          </cell>
        </row>
        <row r="15415">
          <cell r="A15415" t="str">
            <v>sng3p_c</v>
          </cell>
          <cell r="B15415" t="str">
            <v>sng3p</v>
          </cell>
          <cell r="C15415" t="str">
            <v>Sn-glycerol-3-phosphate</v>
          </cell>
        </row>
        <row r="15416">
          <cell r="A15416" t="str">
            <v>m2but_e</v>
          </cell>
          <cell r="B15416" t="str">
            <v>m2but</v>
          </cell>
          <cell r="C15416" t="str">
            <v>2-Methylbutyric acid</v>
          </cell>
        </row>
        <row r="15417">
          <cell r="A15417" t="str">
            <v>hacp_c</v>
          </cell>
          <cell r="B15417" t="str">
            <v>hacp</v>
          </cell>
          <cell r="C15417" t="str">
            <v>Holo[acp]</v>
          </cell>
        </row>
        <row r="15418">
          <cell r="A15418" t="str">
            <v>pppgpp_c</v>
          </cell>
          <cell r="B15418" t="str">
            <v>pppgpp</v>
          </cell>
          <cell r="C15418" t="str">
            <v>PppGpp</v>
          </cell>
        </row>
        <row r="15419">
          <cell r="A15419" t="str">
            <v>escut_e</v>
          </cell>
          <cell r="B15419" t="str">
            <v>escut</v>
          </cell>
          <cell r="C15419" t="str">
            <v>Esculetin</v>
          </cell>
        </row>
        <row r="15420">
          <cell r="A15420" t="str">
            <v>a4imz_c</v>
          </cell>
          <cell r="B15420" t="str">
            <v>a4imz</v>
          </cell>
          <cell r="C15420" t="str">
            <v>4-aminoimidazole</v>
          </cell>
        </row>
        <row r="15421">
          <cell r="A15421" t="str">
            <v>abg4_e</v>
          </cell>
          <cell r="B15421" t="str">
            <v>abg4</v>
          </cell>
          <cell r="C15421" t="str">
            <v>4-aminobenzoate-glutamate</v>
          </cell>
        </row>
        <row r="15422">
          <cell r="A15422" t="str">
            <v>ibtol_e</v>
          </cell>
          <cell r="B15422" t="str">
            <v>ibtol</v>
          </cell>
          <cell r="C15422" t="str">
            <v>Isobutanol</v>
          </cell>
        </row>
        <row r="15423">
          <cell r="A15423" t="str">
            <v>ppat_e</v>
          </cell>
          <cell r="B15423" t="str">
            <v>ppat</v>
          </cell>
          <cell r="C15423" t="str">
            <v>Phosphonate</v>
          </cell>
        </row>
        <row r="15424">
          <cell r="A15424" t="str">
            <v>pc1_c</v>
          </cell>
          <cell r="B15424" t="str">
            <v>pc1</v>
          </cell>
          <cell r="C15424" t="str">
            <v>Precorrin-1</v>
          </cell>
        </row>
        <row r="15425">
          <cell r="A15425" t="str">
            <v>isocaprecoa_c</v>
          </cell>
          <cell r="B15425" t="str">
            <v>isocaprecoa</v>
          </cell>
          <cell r="C15425" t="str">
            <v>2-Isocaprenoyl-CoA</v>
          </cell>
        </row>
        <row r="15426">
          <cell r="A15426" t="str">
            <v>dap24_c</v>
          </cell>
          <cell r="B15426" t="str">
            <v>dap24</v>
          </cell>
          <cell r="C15426" t="str">
            <v>(2R,4S)-2,4-diaminopentanoate</v>
          </cell>
        </row>
        <row r="15427">
          <cell r="A15427" t="str">
            <v>mevR_c</v>
          </cell>
          <cell r="B15427" t="str">
            <v>mevR</v>
          </cell>
          <cell r="C15427" t="str">
            <v>(R)-mevalonate</v>
          </cell>
        </row>
        <row r="15428">
          <cell r="A15428" t="str">
            <v>ctncoa_c</v>
          </cell>
          <cell r="B15428" t="str">
            <v>ctncoa</v>
          </cell>
          <cell r="C15428" t="str">
            <v>Crotonyl-CoA</v>
          </cell>
        </row>
        <row r="15429">
          <cell r="A15429" t="str">
            <v>dgo15lac_c</v>
          </cell>
          <cell r="B15429" t="str">
            <v>dgo15lac</v>
          </cell>
          <cell r="C15429" t="str">
            <v>D-glucono-1,5-lactone</v>
          </cell>
        </row>
        <row r="15430">
          <cell r="A15430" t="str">
            <v>acbda_c</v>
          </cell>
          <cell r="B15430" t="str">
            <v>acbda</v>
          </cell>
          <cell r="C15430" t="str">
            <v>Adenosyl-cobyrinate a,c-diamide</v>
          </cell>
        </row>
        <row r="15431">
          <cell r="A15431" t="str">
            <v>ribl5p_c</v>
          </cell>
          <cell r="B15431" t="str">
            <v>ribl5p</v>
          </cell>
          <cell r="C15431" t="str">
            <v>D-ribitol 5-phosphate</v>
          </cell>
        </row>
        <row r="15432">
          <cell r="A15432" t="str">
            <v>ab3coa_c</v>
          </cell>
          <cell r="B15432" t="str">
            <v>ab3coa</v>
          </cell>
          <cell r="C15432" t="str">
            <v>L-3-aminobutyryl-CoA</v>
          </cell>
        </row>
        <row r="15433">
          <cell r="A15433" t="str">
            <v>p1p3b5adtp_c</v>
          </cell>
          <cell r="B15433" t="str">
            <v>p1p3b5adtp</v>
          </cell>
          <cell r="C15433" t="str">
            <v>P1,P3-Bis(5-adenosyl) triphosphate</v>
          </cell>
        </row>
        <row r="15434">
          <cell r="A15434" t="str">
            <v>ival_c</v>
          </cell>
          <cell r="B15434" t="str">
            <v>ival</v>
          </cell>
          <cell r="C15434" t="str">
            <v>Isovalerate</v>
          </cell>
        </row>
        <row r="15435">
          <cell r="A15435" t="str">
            <v>glusemald_c</v>
          </cell>
          <cell r="B15435" t="str">
            <v>glusemald</v>
          </cell>
          <cell r="C15435" t="str">
            <v>L-Glutamate 5-semialdehyde</v>
          </cell>
        </row>
        <row r="15436">
          <cell r="A15436" t="str">
            <v>a2m2prpnte_c</v>
          </cell>
          <cell r="B15436" t="str">
            <v>a2m2prpnte</v>
          </cell>
          <cell r="C15436" t="str">
            <v>2-aminoprop-2-enoate</v>
          </cell>
        </row>
        <row r="15437">
          <cell r="A15437" t="str">
            <v>myrstcoa_c</v>
          </cell>
          <cell r="B15437" t="str">
            <v>myrstcoa</v>
          </cell>
          <cell r="C15437" t="str">
            <v>Myristoyl-CoA</v>
          </cell>
        </row>
        <row r="15438">
          <cell r="A15438" t="str">
            <v>h3bacp_c</v>
          </cell>
          <cell r="B15438" t="str">
            <v>h3bacp</v>
          </cell>
          <cell r="C15438" t="str">
            <v>(3R)-3-Hydroxybutanoyl-[acyl-carrier protein]</v>
          </cell>
        </row>
        <row r="15439">
          <cell r="A15439" t="str">
            <v>m3yristacp_c</v>
          </cell>
          <cell r="B15439" t="str">
            <v>m3yristacp</v>
          </cell>
          <cell r="C15439" t="str">
            <v>(3R)-3-hydroxymyristoyl-[acp]</v>
          </cell>
        </row>
        <row r="15440">
          <cell r="A15440" t="str">
            <v>oxo3myristacp_c</v>
          </cell>
          <cell r="B15440" t="str">
            <v>oxo3myristacp</v>
          </cell>
          <cell r="C15440" t="str">
            <v>3-oxo-myristoyl-[acp]</v>
          </cell>
        </row>
        <row r="15441">
          <cell r="A15441" t="str">
            <v>oxo3deccoa_c</v>
          </cell>
          <cell r="B15441" t="str">
            <v>oxo3deccoa</v>
          </cell>
          <cell r="C15441" t="str">
            <v>3-oxo-dodecanoyl-coa</v>
          </cell>
        </row>
        <row r="15442">
          <cell r="A15442" t="str">
            <v>t2eacp_c</v>
          </cell>
          <cell r="B15442" t="str">
            <v>t2eacp</v>
          </cell>
          <cell r="C15442" t="str">
            <v>Trans hex-2-enoyl-[acp]</v>
          </cell>
        </row>
        <row r="15443">
          <cell r="A15443" t="str">
            <v>dodec2enacp_c</v>
          </cell>
          <cell r="B15443" t="str">
            <v>dodec2enacp</v>
          </cell>
          <cell r="C15443" t="str">
            <v>(2E)-dodec-2-enoyl-[acp]</v>
          </cell>
        </row>
        <row r="15444">
          <cell r="A15444" t="str">
            <v>dodec22encoa_c</v>
          </cell>
          <cell r="B15444" t="str">
            <v>dodec22encoa</v>
          </cell>
          <cell r="C15444" t="str">
            <v>(2E)-dodec-2-enoyl-coa</v>
          </cell>
        </row>
        <row r="15445">
          <cell r="A15445" t="str">
            <v>ttetdec2enoylcoa_c</v>
          </cell>
          <cell r="B15445" t="str">
            <v>ttetdec2enoylcoa</v>
          </cell>
          <cell r="C15445" t="str">
            <v>Trans tetradec-2-enoyl-coa</v>
          </cell>
        </row>
        <row r="15446">
          <cell r="A15446" t="str">
            <v>hex1decg3p_c</v>
          </cell>
          <cell r="B15446" t="str">
            <v>hex1decg3p</v>
          </cell>
          <cell r="C15446" t="str">
            <v>1-hexadecanoyl-sn-glycerol 3-phosphate</v>
          </cell>
        </row>
        <row r="15447">
          <cell r="A15447" t="str">
            <v>dhex12decg3p_c</v>
          </cell>
          <cell r="B15447" t="str">
            <v>dhex12decg3p</v>
          </cell>
          <cell r="C15447" t="str">
            <v>1,2-dihexadecanoyl-sn-glycerol 3-phosphate</v>
          </cell>
        </row>
        <row r="15448">
          <cell r="A15448" t="str">
            <v>mglucsyldstgl_c</v>
          </cell>
          <cell r="B15448" t="str">
            <v>mglucsyldstgl</v>
          </cell>
          <cell r="C15448" t="str">
            <v>Monoglucosyl-1,2 distearoylglycerol</v>
          </cell>
        </row>
        <row r="15449">
          <cell r="A15449" t="str">
            <v>dgludmygl_c</v>
          </cell>
          <cell r="B15449" t="str">
            <v>dgludmygl</v>
          </cell>
          <cell r="C15449" t="str">
            <v>Diglucosyl-1,2 dimyristoylglycerol</v>
          </cell>
        </row>
        <row r="15450">
          <cell r="A15450" t="str">
            <v>dgdi12tetdec_c</v>
          </cell>
          <cell r="B15450" t="str">
            <v>dgdi12tetdec</v>
          </cell>
          <cell r="C15450" t="str">
            <v>1,2-Diacyl-sn-glycerol ditetradecanoyl</v>
          </cell>
        </row>
        <row r="15451">
          <cell r="A15451" t="str">
            <v>pgpdioctdec_c</v>
          </cell>
          <cell r="B15451" t="str">
            <v>pgpdioctdec</v>
          </cell>
          <cell r="C15451" t="str">
            <v>Phosphatidylglycerophosphate dioctadecanoyl</v>
          </cell>
        </row>
        <row r="15452">
          <cell r="A15452" t="str">
            <v>mycdlpn_c</v>
          </cell>
          <cell r="B15452" t="str">
            <v>mycdlpn</v>
          </cell>
          <cell r="C15452" t="str">
            <v xml:space="preserve">Myristoylcardiolipin </v>
          </cell>
        </row>
        <row r="15453">
          <cell r="A15453" t="str">
            <v>pyr5carb_c</v>
          </cell>
          <cell r="B15453" t="str">
            <v>pyr5carb</v>
          </cell>
          <cell r="C15453" t="str">
            <v>Pyrroline-5-carboxylate</v>
          </cell>
        </row>
        <row r="15454">
          <cell r="A15454" t="str">
            <v>12dgr160_e</v>
          </cell>
          <cell r="B15454" t="str">
            <v>12dgr160</v>
          </cell>
          <cell r="C15454" t="str">
            <v>1,2-Diacyl-sn-glycerol (dihexadecanoyl, n-C16:0)</v>
          </cell>
        </row>
        <row r="15455">
          <cell r="A15455" t="str">
            <v>13dampp_p</v>
          </cell>
          <cell r="B15455" t="str">
            <v>13dampp</v>
          </cell>
          <cell r="C15455" t="str">
            <v>1 3 Diaminopropane C3H12N2</v>
          </cell>
        </row>
        <row r="15456">
          <cell r="A15456" t="str">
            <v>2pqq_c</v>
          </cell>
          <cell r="B15456" t="str">
            <v>2pqq</v>
          </cell>
          <cell r="C15456" t="str">
            <v>6  2 amino 2 carboxylatoethyl  1 2 3 4 tetrahydroquinoline 2 4 dicarboxylate</v>
          </cell>
        </row>
        <row r="15457">
          <cell r="A15457" t="str">
            <v>3hhd710coa_c</v>
          </cell>
          <cell r="B15457" t="str">
            <v>3hhd710coa</v>
          </cell>
          <cell r="C15457" t="str">
            <v>3-hydroxy-(7Z,10Z)-hexadecadienoyl-CoA</v>
          </cell>
        </row>
        <row r="15458">
          <cell r="A15458" t="str">
            <v>3hodecoa_c</v>
          </cell>
          <cell r="B15458" t="str">
            <v>3hodecoa</v>
          </cell>
          <cell r="C15458" t="str">
            <v>S  3 hydroxy  9Z  octadecenyl CoA</v>
          </cell>
        </row>
        <row r="15459">
          <cell r="A15459" t="str">
            <v>3hphxacoa_c</v>
          </cell>
          <cell r="B15459" t="str">
            <v>3hphxacoa</v>
          </cell>
          <cell r="C15459" t="str">
            <v>3 Hydroxyphenylhexanoyl CoA</v>
          </cell>
        </row>
        <row r="15460">
          <cell r="A15460" t="str">
            <v>3hptslacoa_c</v>
          </cell>
          <cell r="B15460" t="str">
            <v>3hptslacoa</v>
          </cell>
          <cell r="C15460" t="str">
            <v>S  3 hydroxy  6Z  octadecenyl CoA</v>
          </cell>
        </row>
        <row r="15461">
          <cell r="A15461" t="str">
            <v>3ohd58coa_c</v>
          </cell>
          <cell r="B15461" t="str">
            <v>3ohd58coa</v>
          </cell>
          <cell r="C15461" t="str">
            <v>3 oxo  5Z 8Z  tetradec dienyl CoA</v>
          </cell>
        </row>
        <row r="15462">
          <cell r="A15462" t="str">
            <v>3ohdd7coa_c</v>
          </cell>
          <cell r="B15462" t="str">
            <v>3ohdd7coa</v>
          </cell>
          <cell r="C15462" t="str">
            <v>3 oxo  7Z  hexadecenyl CoA</v>
          </cell>
        </row>
        <row r="15463">
          <cell r="A15463" t="str">
            <v>3oodecoa_c</v>
          </cell>
          <cell r="B15463" t="str">
            <v>3oodecoa</v>
          </cell>
          <cell r="C15463" t="str">
            <v>3 oxo  9Z  octadecenyl CoA</v>
          </cell>
        </row>
        <row r="15464">
          <cell r="A15464" t="str">
            <v>3ophxacoa_c</v>
          </cell>
          <cell r="B15464" t="str">
            <v>3ophxacoa</v>
          </cell>
          <cell r="C15464" t="str">
            <v>3 Oxophenylhexanoyl CoA</v>
          </cell>
        </row>
        <row r="15465">
          <cell r="A15465" t="str">
            <v>4atb2coa_c</v>
          </cell>
          <cell r="B15465" t="str">
            <v>4atb2coa</v>
          </cell>
          <cell r="C15465" t="str">
            <v>4 acetylthiobut 2 enoyl CoA</v>
          </cell>
        </row>
        <row r="15466">
          <cell r="A15466" t="str">
            <v>5oxpro_p</v>
          </cell>
          <cell r="B15466" t="str">
            <v>5oxpro</v>
          </cell>
          <cell r="C15466" t="str">
            <v>5-Oxoproline</v>
          </cell>
        </row>
        <row r="15467">
          <cell r="A15467" t="str">
            <v>6hnac_p</v>
          </cell>
          <cell r="B15467" t="str">
            <v>6hnac</v>
          </cell>
          <cell r="C15467" t="str">
            <v>6-Hydroxynicotinate</v>
          </cell>
        </row>
        <row r="15468">
          <cell r="A15468" t="str">
            <v>C40pPHA_c</v>
          </cell>
          <cell r="B15468" t="str">
            <v>C40pPHA</v>
          </cell>
          <cell r="C15468" t="str">
            <v>C40 Medium chain length phenyl Polyhydroxyalkanoate</v>
          </cell>
        </row>
        <row r="15469">
          <cell r="A15469" t="str">
            <v>C50aPHA_c</v>
          </cell>
          <cell r="B15469" t="str">
            <v>C50aPHA</v>
          </cell>
          <cell r="C15469" t="str">
            <v>C50 Medium chain length aliphatic Polyhydroxyalkanoate</v>
          </cell>
        </row>
        <row r="15470">
          <cell r="A15470" t="str">
            <v>C60pPHA_c</v>
          </cell>
          <cell r="B15470" t="str">
            <v>C60pPHA</v>
          </cell>
          <cell r="C15470" t="str">
            <v>C60 Medium chaing length phenyl Polyhydroxyalkanoate</v>
          </cell>
        </row>
        <row r="15471">
          <cell r="A15471" t="str">
            <v>C70aPHA_c</v>
          </cell>
          <cell r="B15471" t="str">
            <v>C70aPHA</v>
          </cell>
          <cell r="C15471" t="str">
            <v>C70 Medium chain length aliphatic Polyhydroxyalkanoate</v>
          </cell>
        </row>
        <row r="15472">
          <cell r="A15472" t="str">
            <v>C70pPHA_c</v>
          </cell>
          <cell r="B15472" t="str">
            <v>C70pPHA</v>
          </cell>
          <cell r="C15472" t="str">
            <v>C70 Medium chain length phenyl Polyhydroxyalkanoate</v>
          </cell>
        </row>
        <row r="15473">
          <cell r="A15473" t="str">
            <v>C80pPHA_c</v>
          </cell>
          <cell r="B15473" t="str">
            <v>C80pPHA</v>
          </cell>
          <cell r="C15473" t="str">
            <v>C80 Medium chain length phenyl Polyhydroxyalkanoate</v>
          </cell>
        </row>
        <row r="15474">
          <cell r="A15474" t="str">
            <v>R_3h4atba_e</v>
          </cell>
          <cell r="B15474" t="str">
            <v>R_3h4atba</v>
          </cell>
          <cell r="C15474" t="str">
            <v xml:space="preserve"> 3 Hydroxy 4 acetylthiobutanoic acid</v>
          </cell>
        </row>
        <row r="15475">
          <cell r="A15475" t="str">
            <v>R_3h4atbcoa_c</v>
          </cell>
          <cell r="B15475" t="str">
            <v>R_3h4atbcoa</v>
          </cell>
          <cell r="C15475" t="str">
            <v xml:space="preserve"> 3 Hydroxy 4 acetylthiobutanyl CoA</v>
          </cell>
        </row>
        <row r="15476">
          <cell r="A15476" t="str">
            <v>R_3h6atha_c</v>
          </cell>
          <cell r="B15476" t="str">
            <v>R_3h6atha</v>
          </cell>
          <cell r="C15476" t="str">
            <v xml:space="preserve"> 3 Hydroxy 6acetylthiohexanoic acid</v>
          </cell>
        </row>
        <row r="15477">
          <cell r="A15477" t="str">
            <v>R_3h6atha_p</v>
          </cell>
          <cell r="B15477" t="str">
            <v>R_3h6atha</v>
          </cell>
          <cell r="C15477" t="str">
            <v xml:space="preserve"> 3 Hydroxy 6acetylthiohexanoic acid</v>
          </cell>
        </row>
        <row r="15478">
          <cell r="A15478" t="str">
            <v>R_3hdcaa_c</v>
          </cell>
          <cell r="B15478" t="str">
            <v>R_3hdcaa</v>
          </cell>
          <cell r="C15478" t="str">
            <v xml:space="preserve"> 3 hydroxydecanoic acid</v>
          </cell>
        </row>
        <row r="15479">
          <cell r="A15479" t="str">
            <v>R_3hdcaa_p</v>
          </cell>
          <cell r="B15479" t="str">
            <v>R_3hdcaa</v>
          </cell>
          <cell r="C15479" t="str">
            <v xml:space="preserve"> 3 hydroxydecanoic acid</v>
          </cell>
        </row>
        <row r="15480">
          <cell r="A15480" t="str">
            <v>R_3hdd5ea_e</v>
          </cell>
          <cell r="B15480" t="str">
            <v>R_3hdd5ea</v>
          </cell>
          <cell r="C15480" t="str">
            <v xml:space="preserve"> 3 Hydroxydodecanoic 5 en acid</v>
          </cell>
        </row>
        <row r="15481">
          <cell r="A15481" t="str">
            <v>R_3hdd6coa_c</v>
          </cell>
          <cell r="B15481" t="str">
            <v>R_3hdd6coa</v>
          </cell>
          <cell r="C15481" t="str">
            <v xml:space="preserve"> 3 hydroxy  6Z  dodedecenyl CoA</v>
          </cell>
        </row>
        <row r="15482">
          <cell r="A15482" t="str">
            <v>R_3hdda_e</v>
          </cell>
          <cell r="B15482" t="str">
            <v>R_3hdda</v>
          </cell>
          <cell r="C15482" t="str">
            <v xml:space="preserve"> 3 Hydroxydodecanoic acid</v>
          </cell>
        </row>
        <row r="15483">
          <cell r="A15483" t="str">
            <v>R_3hhpa_e</v>
          </cell>
          <cell r="B15483" t="str">
            <v>R_3hhpa</v>
          </cell>
          <cell r="C15483" t="str">
            <v xml:space="preserve"> 3 hydroxyheptanoic acid</v>
          </cell>
        </row>
        <row r="15484">
          <cell r="A15484" t="str">
            <v>R_3hnonaa_c</v>
          </cell>
          <cell r="B15484" t="str">
            <v>R_3hnonaa</v>
          </cell>
          <cell r="C15484" t="str">
            <v xml:space="preserve"> 3 hydroxynonanoic acid</v>
          </cell>
        </row>
        <row r="15485">
          <cell r="A15485" t="str">
            <v>R_3hnonaa_p</v>
          </cell>
          <cell r="B15485" t="str">
            <v>R_3hnonaa</v>
          </cell>
          <cell r="C15485" t="str">
            <v xml:space="preserve"> 3 hydroxynonanoic acid</v>
          </cell>
        </row>
        <row r="15486">
          <cell r="A15486" t="str">
            <v>R_3hpba_c</v>
          </cell>
          <cell r="B15486" t="str">
            <v>R_3hpba</v>
          </cell>
          <cell r="C15486" t="str">
            <v xml:space="preserve"> 3 Hydroxyphenylbutanoic acid</v>
          </cell>
        </row>
        <row r="15487">
          <cell r="A15487" t="str">
            <v>R_3hpba_p</v>
          </cell>
          <cell r="B15487" t="str">
            <v>R_3hpba</v>
          </cell>
          <cell r="C15487" t="str">
            <v xml:space="preserve"> 3 Hydroxyphenylbutanoic acid</v>
          </cell>
        </row>
        <row r="15488">
          <cell r="A15488" t="str">
            <v>R_3hpdeca_c</v>
          </cell>
          <cell r="B15488" t="str">
            <v>R_3hpdeca</v>
          </cell>
          <cell r="C15488" t="str">
            <v xml:space="preserve"> 3 Hydroxy 10 phenyldecanoic acid</v>
          </cell>
        </row>
        <row r="15489">
          <cell r="A15489" t="str">
            <v>R_3hpdeca_p</v>
          </cell>
          <cell r="B15489" t="str">
            <v>R_3hpdeca</v>
          </cell>
          <cell r="C15489" t="str">
            <v xml:space="preserve"> 3 Hydroxy 10 phenyldecanoic acid</v>
          </cell>
        </row>
        <row r="15490">
          <cell r="A15490" t="str">
            <v>R_3hphpa_c</v>
          </cell>
          <cell r="B15490" t="str">
            <v>R_3hphpa</v>
          </cell>
          <cell r="C15490" t="str">
            <v xml:space="preserve"> 3 Hydroxy 7 phenylheptanoic acid</v>
          </cell>
        </row>
        <row r="15491">
          <cell r="A15491" t="str">
            <v>R_3hphpa_p</v>
          </cell>
          <cell r="B15491" t="str">
            <v>R_3hphpa</v>
          </cell>
          <cell r="C15491" t="str">
            <v xml:space="preserve"> 3 Hydroxy 7 phenylheptanoic acid</v>
          </cell>
        </row>
        <row r="15492">
          <cell r="A15492" t="str">
            <v>R_3hppta_c</v>
          </cell>
          <cell r="B15492" t="str">
            <v>R_3hppta</v>
          </cell>
          <cell r="C15492" t="str">
            <v xml:space="preserve"> 3 Hydroxy 5 phenylpentanoic acic</v>
          </cell>
        </row>
        <row r="15493">
          <cell r="A15493" t="str">
            <v>R_3hppta_p</v>
          </cell>
          <cell r="B15493" t="str">
            <v>R_3hppta</v>
          </cell>
          <cell r="C15493" t="str">
            <v xml:space="preserve"> 3 Hydroxy 5 phenylpentanoic acic</v>
          </cell>
        </row>
        <row r="15494">
          <cell r="A15494" t="str">
            <v>R_3hpt_c</v>
          </cell>
          <cell r="B15494" t="str">
            <v>R_3hpt</v>
          </cell>
          <cell r="C15494" t="str">
            <v xml:space="preserve"> 3 Hydroxypentanoic acid</v>
          </cell>
        </row>
        <row r="15495">
          <cell r="A15495" t="str">
            <v>R_3hpt_p</v>
          </cell>
          <cell r="B15495" t="str">
            <v>R_3hpt</v>
          </cell>
          <cell r="C15495" t="str">
            <v xml:space="preserve"> 3 Hydroxypentanoic acid</v>
          </cell>
        </row>
        <row r="15496">
          <cell r="A15496" t="str">
            <v>R_3htd5coa_c</v>
          </cell>
          <cell r="B15496" t="str">
            <v>R_3htd5coa</v>
          </cell>
          <cell r="C15496" t="str">
            <v xml:space="preserve"> 3 hydroxy  5Z  tetradecenyl CoA</v>
          </cell>
        </row>
        <row r="15497">
          <cell r="A15497" t="str">
            <v>alahis_e</v>
          </cell>
          <cell r="B15497" t="str">
            <v>alahis</v>
          </cell>
          <cell r="C15497" t="str">
            <v>L alaninylhistidine</v>
          </cell>
        </row>
        <row r="15498">
          <cell r="A15498" t="str">
            <v>alatrp_c</v>
          </cell>
          <cell r="B15498" t="str">
            <v>alatrp</v>
          </cell>
          <cell r="C15498" t="str">
            <v>L alaninyltryptophan</v>
          </cell>
        </row>
        <row r="15499">
          <cell r="A15499" t="str">
            <v>alatrp_p</v>
          </cell>
          <cell r="B15499" t="str">
            <v>alatrp</v>
          </cell>
          <cell r="C15499" t="str">
            <v>L alaninyltryptophan</v>
          </cell>
        </row>
        <row r="15500">
          <cell r="A15500" t="str">
            <v>algac_MG_32_p</v>
          </cell>
          <cell r="B15500" t="str">
            <v>algac_MG_32</v>
          </cell>
          <cell r="C15500" t="str">
            <v>Alginate  3 units of acetylated D mannuronate and 2 units ofL guluronate</v>
          </cell>
        </row>
        <row r="15501">
          <cell r="A15501" t="str">
            <v>algac_MG_41_e</v>
          </cell>
          <cell r="B15501" t="str">
            <v>algac_MG_41</v>
          </cell>
          <cell r="C15501" t="str">
            <v>Alginate  4 units of acetylated D mannuronate and one unit ofL guluronate</v>
          </cell>
        </row>
        <row r="15502">
          <cell r="A15502" t="str">
            <v>algac__M_e</v>
          </cell>
          <cell r="B15502" t="str">
            <v>algac__M</v>
          </cell>
          <cell r="C15502" t="str">
            <v>Alginate  5 units of  D mannuronate completelly acetylated</v>
          </cell>
        </row>
        <row r="15503">
          <cell r="A15503" t="str">
            <v>alltn__R_c</v>
          </cell>
          <cell r="B15503" t="str">
            <v>alltn__R</v>
          </cell>
          <cell r="C15503" t="str">
            <v xml:space="preserve">    Allantoin</v>
          </cell>
        </row>
        <row r="15504">
          <cell r="A15504" t="str">
            <v>arg__D_p</v>
          </cell>
          <cell r="B15504" t="str">
            <v>arg__D</v>
          </cell>
          <cell r="C15504" t="str">
            <v>D-Arginine</v>
          </cell>
        </row>
        <row r="15505">
          <cell r="A15505" t="str">
            <v>asn__D_c</v>
          </cell>
          <cell r="B15505" t="str">
            <v>asn__D</v>
          </cell>
          <cell r="C15505" t="str">
            <v>D Asparagine</v>
          </cell>
        </row>
        <row r="15506">
          <cell r="A15506" t="str">
            <v>asn__D_p</v>
          </cell>
          <cell r="B15506" t="str">
            <v>asn__D</v>
          </cell>
          <cell r="C15506" t="str">
            <v>D Asparagine</v>
          </cell>
        </row>
        <row r="15507">
          <cell r="A15507" t="str">
            <v>balaala_e</v>
          </cell>
          <cell r="B15507" t="str">
            <v>balaala</v>
          </cell>
          <cell r="C15507" t="str">
            <v>Beta alanylL alanine</v>
          </cell>
        </row>
        <row r="15508">
          <cell r="A15508" t="str">
            <v>balabala_e</v>
          </cell>
          <cell r="B15508" t="str">
            <v>balabala</v>
          </cell>
          <cell r="C15508" t="str">
            <v>Beta alanyl beta alanine</v>
          </cell>
        </row>
        <row r="15509">
          <cell r="A15509" t="str">
            <v>balamd_e</v>
          </cell>
          <cell r="B15509" t="str">
            <v>balamd</v>
          </cell>
          <cell r="C15509" t="str">
            <v>Beta Alaninamide</v>
          </cell>
        </row>
        <row r="15510">
          <cell r="A15510" t="str">
            <v>chor_p</v>
          </cell>
          <cell r="B15510" t="str">
            <v>chor</v>
          </cell>
          <cell r="C15510" t="str">
            <v>Chorismate</v>
          </cell>
        </row>
        <row r="15511">
          <cell r="A15511" t="str">
            <v>cinnm_e</v>
          </cell>
          <cell r="B15511" t="str">
            <v>cinnm</v>
          </cell>
          <cell r="C15511" t="str">
            <v>Trans-Cinnamate</v>
          </cell>
        </row>
        <row r="15512">
          <cell r="A15512" t="str">
            <v>clpn181e11_p</v>
          </cell>
          <cell r="B15512" t="str">
            <v>clpn181e11</v>
          </cell>
          <cell r="C15512" t="str">
            <v>Cardiolipin  tetraoctadec  11E  enoyl  n C181 trans</v>
          </cell>
        </row>
        <row r="15513">
          <cell r="A15513" t="str">
            <v>cro2_c</v>
          </cell>
          <cell r="B15513" t="str">
            <v>cro2</v>
          </cell>
          <cell r="C15513" t="str">
            <v>Chromite</v>
          </cell>
        </row>
        <row r="15514">
          <cell r="A15514" t="str">
            <v>cro2_p</v>
          </cell>
          <cell r="B15514" t="str">
            <v>cro2</v>
          </cell>
          <cell r="C15514" t="str">
            <v>Chromite</v>
          </cell>
        </row>
        <row r="15515">
          <cell r="A15515" t="str">
            <v>dag181d9_e</v>
          </cell>
          <cell r="B15515" t="str">
            <v>dag181d9</v>
          </cell>
          <cell r="C15515" t="str">
            <v>1 2 Diacyl sn glycerol  nC181d9</v>
          </cell>
        </row>
        <row r="15516">
          <cell r="A15516" t="str">
            <v>dd6_2_coa_c</v>
          </cell>
          <cell r="B15516" t="str">
            <v>dd6_2_coa</v>
          </cell>
          <cell r="C15516" t="str">
            <v>Trans cis dodedec 2 6 dienoyl CoA</v>
          </cell>
        </row>
        <row r="15517">
          <cell r="A15517" t="str">
            <v>ddecoa_c</v>
          </cell>
          <cell r="B15517" t="str">
            <v>ddecoa</v>
          </cell>
          <cell r="C15517" t="str">
            <v>Cis dodedec 5 enoyl CoA</v>
          </cell>
        </row>
        <row r="15518">
          <cell r="A15518" t="str">
            <v>dgudbutn_c</v>
          </cell>
          <cell r="B15518" t="str">
            <v>dgudbutn</v>
          </cell>
          <cell r="C15518" t="str">
            <v>1 4 Diguanidinobutane</v>
          </cell>
        </row>
        <row r="15519">
          <cell r="A15519" t="str">
            <v>dgudbutn_p</v>
          </cell>
          <cell r="B15519" t="str">
            <v>dgudbutn</v>
          </cell>
          <cell r="C15519" t="str">
            <v>1 4 Diguanidinobutane</v>
          </cell>
        </row>
        <row r="15520">
          <cell r="A15520" t="str">
            <v>dhcrn_c</v>
          </cell>
          <cell r="B15520" t="str">
            <v>dhcrn</v>
          </cell>
          <cell r="C15520" t="str">
            <v>3 dehydrocarnitine</v>
          </cell>
        </row>
        <row r="15521">
          <cell r="A15521" t="str">
            <v>dmanur_e</v>
          </cell>
          <cell r="B15521" t="str">
            <v>dmanur</v>
          </cell>
          <cell r="C15521" t="str">
            <v>Dimmer of D mannuronate</v>
          </cell>
        </row>
        <row r="15522">
          <cell r="A15522" t="str">
            <v>fdxo_22_c</v>
          </cell>
          <cell r="B15522" t="str">
            <v>fdxo_22</v>
          </cell>
          <cell r="C15522" t="str">
            <v>Ferredoxin  oxided form 2Fe 2S</v>
          </cell>
        </row>
        <row r="15523">
          <cell r="A15523" t="str">
            <v>fe3pyovd_e</v>
          </cell>
          <cell r="B15523" t="str">
            <v>fe3pyovd</v>
          </cell>
          <cell r="C15523" t="str">
            <v>Ferrypyoverdine</v>
          </cell>
        </row>
        <row r="15524">
          <cell r="A15524" t="str">
            <v>galagalicore_kt_c</v>
          </cell>
          <cell r="B15524" t="str">
            <v>galagalicore_kt</v>
          </cell>
          <cell r="C15524" t="str">
            <v>Glucosyl  1  4  alanyl   2  galactosyl  1 3Hep1  heptosyl  1 3  heptosyl  1 5  kdo2 lipidA</v>
          </cell>
        </row>
        <row r="15525">
          <cell r="A15525" t="str">
            <v>galicore_kt_c</v>
          </cell>
          <cell r="B15525" t="str">
            <v>galicore_kt</v>
          </cell>
          <cell r="C15525" t="str">
            <v>Galactosyl  1  3  LPS inner core kt</v>
          </cell>
        </row>
        <row r="15526">
          <cell r="A15526" t="str">
            <v>gcald_p</v>
          </cell>
          <cell r="B15526" t="str">
            <v>gcald</v>
          </cell>
          <cell r="C15526" t="str">
            <v>Glycolaldehyde</v>
          </cell>
        </row>
        <row r="15527">
          <cell r="A15527" t="str">
            <v>gdpdrhmn_c</v>
          </cell>
          <cell r="B15527" t="str">
            <v>gdpdrhmn</v>
          </cell>
          <cell r="C15527" t="str">
            <v>GDP D rhamnose</v>
          </cell>
        </row>
        <row r="15528">
          <cell r="A15528" t="str">
            <v>gg13dampp_c</v>
          </cell>
          <cell r="B15528" t="str">
            <v>gg13dampp</v>
          </cell>
          <cell r="C15528" t="str">
            <v>Gamma glutamyl diaminopropane</v>
          </cell>
        </row>
        <row r="15529">
          <cell r="A15529" t="str">
            <v>gg15dap_c</v>
          </cell>
          <cell r="B15529" t="str">
            <v>gg15dap</v>
          </cell>
          <cell r="C15529" t="str">
            <v>Gamma glutamyl cadaverine synthase</v>
          </cell>
        </row>
        <row r="15530">
          <cell r="A15530" t="str">
            <v>ggalagalicore_kt_c</v>
          </cell>
          <cell r="B15530" t="str">
            <v>ggalagalicore_kt</v>
          </cell>
          <cell r="C15530" t="str">
            <v>Glucosyl  1  3 glucosyl  1  4  alanyl   2  galactosyl  1 3Hep1  heptosyl  1 3  heptosyl  1 5  kdo2 lipidA</v>
          </cell>
        </row>
        <row r="15531">
          <cell r="A15531" t="str">
            <v>ggalicore_kt_c</v>
          </cell>
          <cell r="B15531" t="str">
            <v>ggalicore_kt</v>
          </cell>
          <cell r="C15531" t="str">
            <v>Glucosyl  1  4  galactosyl  1 3  LPS iner core kt</v>
          </cell>
        </row>
        <row r="15532">
          <cell r="A15532" t="str">
            <v>glygln_e</v>
          </cell>
          <cell r="B15532" t="str">
            <v>glygln</v>
          </cell>
          <cell r="C15532" t="str">
            <v>L glycinylglutamine</v>
          </cell>
        </row>
        <row r="15533">
          <cell r="A15533" t="str">
            <v>glygly_p</v>
          </cell>
          <cell r="B15533" t="str">
            <v>glygly</v>
          </cell>
          <cell r="C15533" t="str">
            <v>Glycylglycine C4H8N2O3</v>
          </cell>
        </row>
        <row r="15534">
          <cell r="A15534" t="str">
            <v>glymet_c</v>
          </cell>
          <cell r="B15534" t="str">
            <v>glymet</v>
          </cell>
          <cell r="C15534" t="str">
            <v>L Glycinylmethionine</v>
          </cell>
        </row>
        <row r="15535">
          <cell r="A15535" t="str">
            <v>glymet_p</v>
          </cell>
          <cell r="B15535" t="str">
            <v>glymet</v>
          </cell>
          <cell r="C15535" t="str">
            <v>L Glycinylmethionine</v>
          </cell>
        </row>
        <row r="15536">
          <cell r="A15536" t="str">
            <v>glyser_c</v>
          </cell>
          <cell r="B15536" t="str">
            <v>glyser</v>
          </cell>
          <cell r="C15536" t="str">
            <v>L glycinylserine</v>
          </cell>
        </row>
        <row r="15537">
          <cell r="A15537" t="str">
            <v>glyser_p</v>
          </cell>
          <cell r="B15537" t="str">
            <v>glyser</v>
          </cell>
          <cell r="C15537" t="str">
            <v>L glycinylserine</v>
          </cell>
        </row>
        <row r="15538">
          <cell r="A15538" t="str">
            <v>hdd4_2_coa_c</v>
          </cell>
          <cell r="B15538" t="str">
            <v>hdd4_2_coa</v>
          </cell>
          <cell r="C15538" t="str">
            <v>Trans cis hexadeca 2 4 dienoyl CoA</v>
          </cell>
        </row>
        <row r="15539">
          <cell r="A15539" t="str">
            <v>hdd7_2_coa_c</v>
          </cell>
          <cell r="B15539" t="str">
            <v>hdd7_2_coa</v>
          </cell>
          <cell r="C15539" t="str">
            <v>Trans cis hexadeca 2 7 dienoyl CoA</v>
          </cell>
        </row>
        <row r="15540">
          <cell r="A15540" t="str">
            <v>hhlipa_kt_c</v>
          </cell>
          <cell r="B15540" t="str">
            <v>hhlipa_kt</v>
          </cell>
          <cell r="C15540" t="str">
            <v>Heptosyl heptosyl kdo2 lipidA from pseudomonas</v>
          </cell>
        </row>
        <row r="15541">
          <cell r="A15541" t="str">
            <v>hisgly_c</v>
          </cell>
          <cell r="B15541" t="str">
            <v>hisgly</v>
          </cell>
          <cell r="C15541" t="str">
            <v>L histidinylglycine</v>
          </cell>
        </row>
        <row r="15542">
          <cell r="A15542" t="str">
            <v>hisgly_p</v>
          </cell>
          <cell r="B15542" t="str">
            <v>hisgly</v>
          </cell>
          <cell r="C15542" t="str">
            <v>L histidinylglycine</v>
          </cell>
        </row>
        <row r="15543">
          <cell r="A15543" t="str">
            <v>hp2coa_c</v>
          </cell>
          <cell r="B15543" t="str">
            <v>hp2coa</v>
          </cell>
          <cell r="C15543" t="str">
            <v>Hep 2 enoyl CoA</v>
          </cell>
        </row>
        <row r="15544">
          <cell r="A15544" t="str">
            <v>hpta_p</v>
          </cell>
          <cell r="B15544" t="str">
            <v>hpta</v>
          </cell>
          <cell r="C15544" t="str">
            <v>Heptanoate</v>
          </cell>
        </row>
        <row r="15545">
          <cell r="A15545" t="str">
            <v>hpphlipa_kt_c</v>
          </cell>
          <cell r="B15545" t="str">
            <v>hpphlipa_kt</v>
          </cell>
          <cell r="C15545" t="str">
            <v>Heptosyl  1 3  biphospho    2   4  heptosyl  1 5  kdo2 lipidA</v>
          </cell>
        </row>
        <row r="15546">
          <cell r="A15546" t="str">
            <v>kdo2lipid4L_kt_c</v>
          </cell>
          <cell r="B15546" t="str">
            <v>kdo2lipid4L_kt</v>
          </cell>
          <cell r="C15546" t="str">
            <v>KDO 2  lipid IV A  kt with laurate</v>
          </cell>
        </row>
        <row r="15547">
          <cell r="A15547" t="str">
            <v>kdolipid4_kt_c</v>
          </cell>
          <cell r="B15547" t="str">
            <v>kdolipid4_kt</v>
          </cell>
          <cell r="C15547" t="str">
            <v>KDO lipid IV A   pseudomonas</v>
          </cell>
        </row>
        <row r="15548">
          <cell r="A15548" t="str">
            <v>lipa2_kt_c</v>
          </cell>
          <cell r="B15548" t="str">
            <v>lipa2_kt</v>
          </cell>
          <cell r="C15548" t="str">
            <v>Lipid  A  without kdo</v>
          </cell>
        </row>
        <row r="15549">
          <cell r="A15549" t="str">
            <v>lipidA_kt_c</v>
          </cell>
          <cell r="B15549" t="str">
            <v>lipidA_kt</v>
          </cell>
          <cell r="C15549" t="str">
            <v>Lipid IV A   pseudomonas  2 3 2 3  Bis beta hydroxydeca dodecayl  D glucosaminyl 1 6 beta D glucosamine 1 4  bisphosphate</v>
          </cell>
        </row>
        <row r="15550">
          <cell r="A15550" t="str">
            <v>lipidX_kt_c</v>
          </cell>
          <cell r="B15550" t="str">
            <v>lipidX_kt</v>
          </cell>
          <cell r="C15550" t="str">
            <v>2 3 3 hydroxydode decanoyl  beta D glucosaminyl 1 phosphate</v>
          </cell>
        </row>
        <row r="15551">
          <cell r="A15551" t="str">
            <v>lpp161_p</v>
          </cell>
          <cell r="B15551" t="str">
            <v>lpp161</v>
          </cell>
          <cell r="C15551" t="str">
            <v>Lipoprotein acylated  C161</v>
          </cell>
        </row>
        <row r="15552">
          <cell r="A15552" t="str">
            <v>lpp180_p</v>
          </cell>
          <cell r="B15552" t="str">
            <v>lpp180</v>
          </cell>
          <cell r="C15552" t="str">
            <v>Lipoprotein acylated  C180</v>
          </cell>
        </row>
        <row r="15553">
          <cell r="A15553" t="str">
            <v>lpscore_kt_c</v>
          </cell>
          <cell r="B15553" t="str">
            <v>lpscore_kt</v>
          </cell>
          <cell r="C15553" t="str">
            <v>Lipopolysaccharide core  Pputida</v>
          </cell>
        </row>
        <row r="15554">
          <cell r="A15554" t="str">
            <v>lpscore_kt_p</v>
          </cell>
          <cell r="B15554" t="str">
            <v>lpscore_kt</v>
          </cell>
          <cell r="C15554" t="str">
            <v>Lipopolysaccharide core  Pputida</v>
          </cell>
        </row>
        <row r="15555">
          <cell r="A15555" t="str">
            <v>lys__D_e</v>
          </cell>
          <cell r="B15555" t="str">
            <v>lys__D</v>
          </cell>
          <cell r="C15555" t="str">
            <v>D-Lysine</v>
          </cell>
        </row>
        <row r="15556">
          <cell r="A15556" t="str">
            <v>mcbtt_e</v>
          </cell>
          <cell r="B15556" t="str">
            <v>mcbtt</v>
          </cell>
          <cell r="C15556" t="str">
            <v>Mycobactin T</v>
          </cell>
        </row>
        <row r="15557">
          <cell r="A15557" t="str">
            <v>pb2coa_c</v>
          </cell>
          <cell r="B15557" t="str">
            <v>pb2coa</v>
          </cell>
          <cell r="C15557" t="str">
            <v>4 Phenyl but 2 enoyl CoA</v>
          </cell>
        </row>
        <row r="15558">
          <cell r="A15558" t="str">
            <v>pdca2coa_c</v>
          </cell>
          <cell r="B15558" t="str">
            <v>pdca2coa</v>
          </cell>
          <cell r="C15558" t="str">
            <v>Phenyl deca 2 enoyl CoA</v>
          </cell>
        </row>
        <row r="15559">
          <cell r="A15559" t="str">
            <v>pe161e9_p</v>
          </cell>
          <cell r="B15559" t="str">
            <v>pe161e9</v>
          </cell>
          <cell r="C15559" t="str">
            <v>Phosphatidylethanolamine  dihexadec  9E enoyl  n C161 trans</v>
          </cell>
        </row>
        <row r="15560">
          <cell r="A15560" t="str">
            <v>pea_p</v>
          </cell>
          <cell r="B15560" t="str">
            <v>pea</v>
          </cell>
          <cell r="C15560" t="str">
            <v>Phenylethyl alcohol</v>
          </cell>
        </row>
        <row r="15561">
          <cell r="A15561" t="str">
            <v>phe__D_p</v>
          </cell>
          <cell r="B15561" t="str">
            <v>phe__D</v>
          </cell>
          <cell r="C15561" t="str">
            <v>D-phenylalanine</v>
          </cell>
        </row>
        <row r="15562">
          <cell r="A15562" t="str">
            <v>phedca_p</v>
          </cell>
          <cell r="B15562" t="str">
            <v>phedca</v>
          </cell>
          <cell r="C15562" t="str">
            <v>10 Phenyldecanoic acid</v>
          </cell>
        </row>
        <row r="15563">
          <cell r="A15563" t="str">
            <v>phehpa_e</v>
          </cell>
          <cell r="B15563" t="str">
            <v>phehpa</v>
          </cell>
          <cell r="C15563" t="str">
            <v>7 Phenylheptanoic acid</v>
          </cell>
        </row>
        <row r="15564">
          <cell r="A15564" t="str">
            <v>phehxa_p</v>
          </cell>
          <cell r="B15564" t="str">
            <v>phehxa</v>
          </cell>
          <cell r="C15564" t="str">
            <v>6 Phenylhexanoic acid</v>
          </cell>
        </row>
        <row r="15565">
          <cell r="A15565" t="str">
            <v>pheocta_e</v>
          </cell>
          <cell r="B15565" t="str">
            <v>pheocta</v>
          </cell>
          <cell r="C15565" t="str">
            <v>8 Phenyloctanoic acid</v>
          </cell>
        </row>
        <row r="15566">
          <cell r="A15566" t="str">
            <v>phethapphlipa_c</v>
          </cell>
          <cell r="B15566" t="str">
            <v>phethapphlipa</v>
          </cell>
          <cell r="C15566" t="str">
            <v>Phospho    6  heptosyl  1 3  ethanolaminephosphate    2  phospho   4  heptosyl  1 5  kdo2 lipidA</v>
          </cell>
        </row>
        <row r="15567">
          <cell r="A15567" t="str">
            <v>ppi_p</v>
          </cell>
          <cell r="B15567" t="str">
            <v>ppi</v>
          </cell>
          <cell r="C15567" t="str">
            <v>Diphosphate</v>
          </cell>
        </row>
        <row r="15568">
          <cell r="A15568" t="str">
            <v>pptcoa_c</v>
          </cell>
          <cell r="B15568" t="str">
            <v>pptcoa</v>
          </cell>
          <cell r="C15568" t="str">
            <v>Phenyl Pentanoyl CoA Phe C50CoA</v>
          </cell>
        </row>
        <row r="15569">
          <cell r="A15569" t="str">
            <v>pqqAc_kt_c</v>
          </cell>
          <cell r="B15569" t="str">
            <v>pqqAc_kt</v>
          </cell>
          <cell r="C15569" t="str">
            <v>Peptide pqqA from pseudomonas cycled</v>
          </cell>
        </row>
        <row r="15570">
          <cell r="A15570" t="str">
            <v>pqq_p</v>
          </cell>
          <cell r="B15570" t="str">
            <v>pqq</v>
          </cell>
          <cell r="C15570" t="str">
            <v>Pyrroloquinoline-quinone</v>
          </cell>
        </row>
        <row r="15571">
          <cell r="A15571" t="str">
            <v>prealg_MG_32_p</v>
          </cell>
          <cell r="B15571" t="str">
            <v>prealg_MG_32</v>
          </cell>
          <cell r="C15571" t="str">
            <v>Beta 1 4 glycosidic  3  beta D mannuronic  2L guluronic acid</v>
          </cell>
        </row>
        <row r="15572">
          <cell r="A15572" t="str">
            <v>prealg_MG_41_e</v>
          </cell>
          <cell r="B15572" t="str">
            <v>prealg_MG_41</v>
          </cell>
          <cell r="C15572" t="str">
            <v>Beta 1 4 glycosidic  4  beta D mannuronic  1L guluronic acid</v>
          </cell>
        </row>
        <row r="15573">
          <cell r="A15573" t="str">
            <v>prealgac_M3_p</v>
          </cell>
          <cell r="B15573" t="str">
            <v>prealgac_M3</v>
          </cell>
          <cell r="C15573" t="str">
            <v>Polymer  5 units  of D mannuronate  3 units acetylated</v>
          </cell>
        </row>
        <row r="15574">
          <cell r="A15574" t="str">
            <v>prealginate_G_e</v>
          </cell>
          <cell r="B15574" t="str">
            <v>prealginate_G</v>
          </cell>
          <cell r="C15574" t="str">
            <v>Prealginate KT2440   beta 1 4  linked copolymers of  bL guluronic acid 5 units</v>
          </cell>
        </row>
        <row r="15575">
          <cell r="A15575" t="str">
            <v>ptsla2coa_c</v>
          </cell>
          <cell r="B15575" t="str">
            <v>ptsla2coa</v>
          </cell>
          <cell r="C15575" t="str">
            <v>Trans cis octadeca 2 6 dienoyl CoA</v>
          </cell>
        </row>
        <row r="15576">
          <cell r="A15576" t="str">
            <v>ptsla_e</v>
          </cell>
          <cell r="B15576" t="str">
            <v>ptsla</v>
          </cell>
          <cell r="C15576" t="str">
            <v>Petroselaidic acid</v>
          </cell>
        </row>
        <row r="15577">
          <cell r="A15577" t="str">
            <v>pvdiq_p</v>
          </cell>
          <cell r="B15577" t="str">
            <v>pvdiq</v>
          </cell>
          <cell r="C15577" t="str">
            <v>Pyoverdine precursor I</v>
          </cell>
        </row>
        <row r="15578">
          <cell r="A15578" t="str">
            <v>sbo3_e</v>
          </cell>
          <cell r="B15578" t="str">
            <v>sbo3</v>
          </cell>
          <cell r="C15578" t="str">
            <v>Antimonite</v>
          </cell>
        </row>
        <row r="15579">
          <cell r="A15579" t="str">
            <v>tded5coa_c</v>
          </cell>
          <cell r="B15579" t="str">
            <v>tded5coa</v>
          </cell>
          <cell r="C15579" t="str">
            <v>Cis tetradec 5 enoyl CoATetradecenoyl CoA  n C141d5CoA</v>
          </cell>
        </row>
        <row r="15580">
          <cell r="A15580" t="str">
            <v>tmanur_p</v>
          </cell>
          <cell r="B15580" t="str">
            <v>tmanur</v>
          </cell>
          <cell r="C15580" t="str">
            <v>Trimmer of D mannuronate</v>
          </cell>
        </row>
        <row r="15581">
          <cell r="A15581" t="str">
            <v>trnahisq_c</v>
          </cell>
          <cell r="B15581" t="str">
            <v>trnahisq</v>
          </cell>
          <cell r="C15581" t="str">
            <v>L Histidyl tRNA His  queuosine34</v>
          </cell>
        </row>
        <row r="15582">
          <cell r="A15582" t="str">
            <v>vacc2coa_c</v>
          </cell>
          <cell r="B15582" t="str">
            <v>vacc2coa</v>
          </cell>
          <cell r="C15582" t="str">
            <v>Trans cis octadeca 2 11 dienoyl CoA</v>
          </cell>
        </row>
        <row r="15583">
          <cell r="A15583" t="str">
            <v>vacc_p</v>
          </cell>
          <cell r="B15583" t="str">
            <v>vacc</v>
          </cell>
          <cell r="C15583" t="str">
            <v>Vaccenic acid</v>
          </cell>
        </row>
        <row r="15584">
          <cell r="A15584" t="str">
            <v>val__D_e</v>
          </cell>
          <cell r="B15584" t="str">
            <v>val__D</v>
          </cell>
          <cell r="C15584" t="str">
            <v>D Valine</v>
          </cell>
        </row>
        <row r="15585">
          <cell r="A15585" t="str">
            <v>3hvcoa_c</v>
          </cell>
          <cell r="B15585" t="str">
            <v>3hvcoa</v>
          </cell>
          <cell r="C15585" t="str">
            <v>3-hydroxyvaleryl-CoA</v>
          </cell>
        </row>
        <row r="15586">
          <cell r="A15586" t="str">
            <v>4opcoa_c</v>
          </cell>
          <cell r="B15586" t="str">
            <v>4opcoa</v>
          </cell>
          <cell r="C15586" t="str">
            <v>4-oxopentanoyl-CoA</v>
          </cell>
        </row>
        <row r="15587">
          <cell r="A15587" t="str">
            <v>4opa_e</v>
          </cell>
          <cell r="B15587" t="str">
            <v>4opa</v>
          </cell>
          <cell r="C15587" t="str">
            <v>4-oxopentanoic acid</v>
          </cell>
        </row>
        <row r="15588">
          <cell r="A15588" t="str">
            <v>und2one_e</v>
          </cell>
          <cell r="B15588" t="str">
            <v>und2one</v>
          </cell>
          <cell r="C15588" t="str">
            <v>2 Undecanone</v>
          </cell>
        </row>
        <row r="15589">
          <cell r="A15589" t="str">
            <v>hpac_c</v>
          </cell>
          <cell r="B15589" t="str">
            <v>hpac</v>
          </cell>
          <cell r="C15589" t="str">
            <v>Heptyl acetate</v>
          </cell>
        </row>
        <row r="15590">
          <cell r="A15590" t="str">
            <v>4hptn_c</v>
          </cell>
          <cell r="B15590" t="str">
            <v>4hptn</v>
          </cell>
          <cell r="C15590" t="str">
            <v>4 Hydroxypentanoate</v>
          </cell>
        </row>
        <row r="15591">
          <cell r="A15591" t="str">
            <v>4hptn_p</v>
          </cell>
          <cell r="B15591" t="str">
            <v>4hptn</v>
          </cell>
          <cell r="C15591" t="str">
            <v>4 Hydroxypentanoate</v>
          </cell>
        </row>
        <row r="15592">
          <cell r="A15592" t="str">
            <v>2ptcoa_c</v>
          </cell>
          <cell r="B15592" t="str">
            <v>2ptcoa</v>
          </cell>
          <cell r="C15592" t="str">
            <v>2 Pentenoyl CoA</v>
          </cell>
        </row>
        <row r="15593">
          <cell r="A15593" t="str">
            <v>pptrn_c</v>
          </cell>
          <cell r="B15593" t="str">
            <v>pptrn</v>
          </cell>
          <cell r="C15593" t="str">
            <v>L Phosphinothricin</v>
          </cell>
        </row>
        <row r="15594">
          <cell r="A15594" t="str">
            <v>pptrn_p</v>
          </cell>
          <cell r="B15594" t="str">
            <v>pptrn</v>
          </cell>
          <cell r="C15594" t="str">
            <v>L Phosphinothricin</v>
          </cell>
        </row>
        <row r="15595">
          <cell r="A15595" t="str">
            <v>mtsoxin_e</v>
          </cell>
          <cell r="B15595" t="str">
            <v>mtsoxin</v>
          </cell>
          <cell r="C15595" t="str">
            <v>Methionine sulfoximine</v>
          </cell>
        </row>
        <row r="15596">
          <cell r="A15596" t="str">
            <v>dtgcl_p</v>
          </cell>
          <cell r="B15596" t="str">
            <v>dtgcl</v>
          </cell>
          <cell r="C15596" t="str">
            <v>2-hydroxyethyldisulfide</v>
          </cell>
        </row>
        <row r="15597">
          <cell r="A15597" t="str">
            <v>acmtsoxin_e</v>
          </cell>
          <cell r="B15597" t="str">
            <v>acmtsoxin</v>
          </cell>
          <cell r="C15597" t="str">
            <v>N Acetylmethionine sulfoximine</v>
          </cell>
        </row>
        <row r="15598">
          <cell r="A15598" t="str">
            <v>icolipamin_c</v>
          </cell>
          <cell r="B15598" t="str">
            <v>icolipamin</v>
          </cell>
          <cell r="C15598" t="str">
            <v>Inner-core-oligosaccharide-lipid-A-E-coli min</v>
          </cell>
        </row>
        <row r="15599">
          <cell r="A15599" t="str">
            <v>colipamin_c</v>
          </cell>
          <cell r="B15599" t="str">
            <v>colipamin</v>
          </cell>
          <cell r="C15599" t="str">
            <v>Core-oligosaccharide-lipid-A min</v>
          </cell>
        </row>
        <row r="15600">
          <cell r="A15600" t="str">
            <v>23dhb_p</v>
          </cell>
          <cell r="B15600" t="str">
            <v>23dhb</v>
          </cell>
          <cell r="C15600" t="str">
            <v>2,3-Dihydroxybenzoate</v>
          </cell>
        </row>
        <row r="15601">
          <cell r="A15601" t="str">
            <v>colipamin_p</v>
          </cell>
          <cell r="B15601" t="str">
            <v>colipamin</v>
          </cell>
          <cell r="C15601" t="str">
            <v>Core-oligosaccharide-lipid-A min</v>
          </cell>
        </row>
        <row r="15602">
          <cell r="A15602" t="str">
            <v>udcdpgal_a1_3_rmn_a1_4_manac_p</v>
          </cell>
          <cell r="B15602" t="str">
            <v>udcdpgal_a1_3_rmn_a1_4_manac</v>
          </cell>
          <cell r="C15602" t="str">
            <v>Periplasmic O antigen group O:3 10 repeat unit on undecaprenyl diphosphate carrier</v>
          </cell>
        </row>
        <row r="15603">
          <cell r="A15603" t="str">
            <v>OA1_3_19_ST_p</v>
          </cell>
          <cell r="B15603" t="str">
            <v>OA1_3_19_ST</v>
          </cell>
          <cell r="C15603" t="str">
            <v>Periplasmic O antigen group O:1 3 19 polysaccharide with a short chain length (15 repeat units)</v>
          </cell>
        </row>
        <row r="15604">
          <cell r="A15604" t="str">
            <v>OA55__L_p</v>
          </cell>
          <cell r="B15604" t="str">
            <v>OA55__L</v>
          </cell>
          <cell r="C15604" t="str">
            <v>Periplasmic O antigen group O:55 polysaccharide with a long chain length (25 repeat units</v>
          </cell>
        </row>
        <row r="15605">
          <cell r="A15605" t="str">
            <v>LPS57_ST_e</v>
          </cell>
          <cell r="B15605" t="str">
            <v>LPS57_ST</v>
          </cell>
          <cell r="C15605" t="str">
            <v>Extracellular lipopolysaccharide group O:57 with a short O antigen polysaccharide</v>
          </cell>
        </row>
        <row r="15606">
          <cell r="A15606" t="str">
            <v>udcpdpgalnac_b1_4_glc_b1_3_gal3_a1_4_rmn_a1_3_qui3nac_c</v>
          </cell>
          <cell r="B15606" t="str">
            <v>udcpdpgalnac_b1_4_glc_b1_3_gal3_a1_4_rmn_a1_3_qui3nac</v>
          </cell>
          <cell r="C15606" t="str">
            <v>Cytoplasmic O antigen group O:28ac repeat unit on undecaprenyl diphosphate carrier</v>
          </cell>
        </row>
        <row r="15607">
          <cell r="A15607" t="str">
            <v>dtdpquip3nac_c</v>
          </cell>
          <cell r="B15607" t="str">
            <v>dtdpquip3nac</v>
          </cell>
          <cell r="C15607" t="str">
            <v>DTDP-3-acetamido-alpha-D-fucose</v>
          </cell>
        </row>
        <row r="15608">
          <cell r="A15608" t="str">
            <v>LPS66_VL_p</v>
          </cell>
          <cell r="B15608" t="str">
            <v>LPS66_VL</v>
          </cell>
          <cell r="C15608" t="str">
            <v>Extracellular lipopolysaccharide group O:66 with a very long O antigen polysaccharide</v>
          </cell>
        </row>
        <row r="15609">
          <cell r="A15609" t="str">
            <v>LPS28ac_VL_e</v>
          </cell>
          <cell r="B15609" t="str">
            <v>LPS28ac_VL</v>
          </cell>
          <cell r="C15609" t="str">
            <v>Extracellular lipopolysaccharide group O:28ac with a very long O antigen polysaccharide</v>
          </cell>
        </row>
        <row r="15610">
          <cell r="A15610" t="str">
            <v>LPS60_VL_e</v>
          </cell>
          <cell r="B15610" t="str">
            <v>LPS60_VL</v>
          </cell>
          <cell r="C15610" t="str">
            <v>Extracellular lipopolysaccharide group O:60 with a very long O antigen polysaccharide</v>
          </cell>
        </row>
        <row r="15611">
          <cell r="A15611" t="str">
            <v>udcdpgalnac_b1_3_gal_a1_4_gal_b1_3_galnac_a1_3_glcnac_p</v>
          </cell>
          <cell r="B15611" t="str">
            <v>udcdpgalnac_b1_3_gal_a1_4_gal_b1_3_galnac_a1_3_glcnac</v>
          </cell>
          <cell r="C15611" t="str">
            <v>Periplasmic O antigen group O:21 repeat unit on undecaprenyl diphosphate carrier</v>
          </cell>
        </row>
        <row r="15612">
          <cell r="A15612" t="str">
            <v>LPS38__L_e</v>
          </cell>
          <cell r="B15612" t="str">
            <v>LPS38__L</v>
          </cell>
          <cell r="C15612" t="str">
            <v>Extracellular lipopolysaccharide group O:38 with a long O antigen polysaccharide</v>
          </cell>
        </row>
        <row r="15613">
          <cell r="A15613" t="str">
            <v>LPS17_VL_e</v>
          </cell>
          <cell r="B15613" t="str">
            <v>LPS17_VL</v>
          </cell>
          <cell r="C15613" t="str">
            <v>Extracellular lipopolysaccharide group O:17 with a very long O antigen polysaccharide</v>
          </cell>
        </row>
        <row r="15614">
          <cell r="A15614" t="str">
            <v>LPS42_VL_p</v>
          </cell>
          <cell r="B15614" t="str">
            <v>LPS42_VL</v>
          </cell>
          <cell r="C15614" t="str">
            <v>Periplasmic lipopolysaccharide group O:42 with a very long O antigen polysaccharide</v>
          </cell>
        </row>
        <row r="15615">
          <cell r="A15615" t="str">
            <v>LPS9_ST_p</v>
          </cell>
          <cell r="B15615" t="str">
            <v>LPS9_ST</v>
          </cell>
          <cell r="C15615" t="str">
            <v>Periplasmic lipopolysaccharide group O:9 with a short O antigen polysaccharide</v>
          </cell>
        </row>
        <row r="15616">
          <cell r="A15616" t="str">
            <v>udcpdpgalnac_a1_3_fucnam_a2_3_neu5acOac_c</v>
          </cell>
          <cell r="B15616" t="str">
            <v>udcpdpgalnac_a1_3_fucnam_a2_3_neu5acOac</v>
          </cell>
          <cell r="C15616" t="str">
            <v>Cytoplasmic O antigen group O:48 repeat unit on undecaprenyl diphosphate carrier</v>
          </cell>
        </row>
        <row r="15617">
          <cell r="A15617" t="str">
            <v>udcpdpgalnac_a1_3_fucnam_a2_3_neu5acOac_p</v>
          </cell>
          <cell r="B15617" t="str">
            <v>udcpdpgalnac_a1_3_fucnam_a2_3_neu5acOac</v>
          </cell>
          <cell r="C15617" t="str">
            <v>Cytoplasmic O antigen group O:48 repeat unit on undecaprenyl diphosphate carrier</v>
          </cell>
        </row>
        <row r="15618">
          <cell r="A15618" t="str">
            <v>LPS3_10_ST_p</v>
          </cell>
          <cell r="B15618" t="str">
            <v>LPS3_10_ST</v>
          </cell>
          <cell r="C15618" t="str">
            <v>Periplasmic lipopolysaccharide group O:3 10 with a short O antigen polysaccharide</v>
          </cell>
        </row>
        <row r="15619">
          <cell r="A15619" t="str">
            <v>cdppar_c</v>
          </cell>
          <cell r="B15619" t="str">
            <v>cdppar</v>
          </cell>
          <cell r="C15619" t="str">
            <v>CDP-alpha-D-paratose</v>
          </cell>
        </row>
        <row r="15620">
          <cell r="A15620" t="str">
            <v>LPS3_10_VL_p</v>
          </cell>
          <cell r="B15620" t="str">
            <v>LPS3_10_VL</v>
          </cell>
          <cell r="C15620" t="str">
            <v>Extracellular lipopolysaccharide group O:3 10 with a very long O antigen polysaccharide</v>
          </cell>
        </row>
        <row r="15621">
          <cell r="A15621" t="str">
            <v>LPS50_ST_p</v>
          </cell>
          <cell r="B15621" t="str">
            <v>LPS50_ST</v>
          </cell>
          <cell r="C15621" t="str">
            <v>Periplasmic lipopolysaccharide group O:50 with a short O antigen polysaccharide</v>
          </cell>
        </row>
        <row r="15622">
          <cell r="A15622" t="str">
            <v>LPS57__L_p</v>
          </cell>
          <cell r="B15622" t="str">
            <v>LPS57__L</v>
          </cell>
          <cell r="C15622" t="str">
            <v>Extracellular lipopolysaccharide group O:57 with a long O antigen polysaccharide</v>
          </cell>
        </row>
        <row r="15623">
          <cell r="A15623" t="str">
            <v>ribt5p_c</v>
          </cell>
          <cell r="B15623" t="str">
            <v>ribt5p</v>
          </cell>
          <cell r="C15623" t="str">
            <v>D-ribitol 5-phosphate</v>
          </cell>
        </row>
        <row r="15624">
          <cell r="A15624" t="str">
            <v>LPS65_VL_e</v>
          </cell>
          <cell r="B15624" t="str">
            <v>LPS65_VL</v>
          </cell>
          <cell r="C15624" t="str">
            <v>Periplasmic lipopolysaccharide group O:65 with a very long O antigen polysaccharide</v>
          </cell>
        </row>
        <row r="15625">
          <cell r="A15625" t="str">
            <v>udcpdglcnac_b1_3_man_a1_2_man_a_2_man_b1_2_man_c</v>
          </cell>
          <cell r="B15625" t="str">
            <v>udcpdglcnac_b1_3_man_a1_2_man_a_2_man_b1_2_man</v>
          </cell>
          <cell r="C15625" t="str">
            <v>Cytoplasmic O antigen group O:7 repeat unit on undecaprenyl diphosphate carrier</v>
          </cell>
        </row>
        <row r="15626">
          <cell r="A15626" t="str">
            <v>LPS47_ST_e</v>
          </cell>
          <cell r="B15626" t="str">
            <v>LPS47_ST</v>
          </cell>
          <cell r="C15626" t="str">
            <v>Extracellular lipopolysaccharide group O:47 with a short O antigen polysaccharide</v>
          </cell>
        </row>
        <row r="15627">
          <cell r="A15627" t="str">
            <v>udcdpgalnac_b1_3_man_a1_2_man_a1_2_man_p</v>
          </cell>
          <cell r="B15627" t="str">
            <v>udcdpgalnac_b1_3_man_a1_2_man_a1_2_man</v>
          </cell>
          <cell r="C15627" t="str">
            <v>Periplasmic O antigen group O:18 repeat unit on undecaprenyl diphosphate carrier</v>
          </cell>
        </row>
        <row r="15628">
          <cell r="A15628" t="str">
            <v>OA18_VL_p</v>
          </cell>
          <cell r="B15628" t="str">
            <v>OA18_VL</v>
          </cell>
          <cell r="C15628" t="str">
            <v>Periplasmic O antigen group O:18 polysaccharide with a very long chain length (100 repeat units)</v>
          </cell>
        </row>
        <row r="15629">
          <cell r="A15629" t="str">
            <v>OA48_VL_p</v>
          </cell>
          <cell r="B15629" t="str">
            <v>OA48_VL</v>
          </cell>
          <cell r="C15629" t="str">
            <v>Periplasmic O antigen group O:48 polysaccharide with a very long chain length (100 repeat units)</v>
          </cell>
        </row>
        <row r="15630">
          <cell r="A15630" t="str">
            <v>LPS48_VL_p</v>
          </cell>
          <cell r="B15630" t="str">
            <v>LPS48_VL</v>
          </cell>
          <cell r="C15630" t="str">
            <v>Periplasmic lipopolysaccharide group O:48 with a very long O antigen polysaccharide</v>
          </cell>
        </row>
        <row r="15631">
          <cell r="A15631" t="str">
            <v>LPS2_VL_p</v>
          </cell>
          <cell r="B15631" t="str">
            <v>LPS2_VL</v>
          </cell>
          <cell r="C15631" t="str">
            <v>Periplasmic lipopolysaccharide group O:2 with a very long O antigen polysaccharide</v>
          </cell>
        </row>
        <row r="15632">
          <cell r="A15632" t="str">
            <v>LPS44__L_p</v>
          </cell>
          <cell r="B15632" t="str">
            <v>LPS44__L</v>
          </cell>
          <cell r="C15632" t="str">
            <v>Periplasmic lipopolysaccharide group O:44 with a long O antigen polysaccharide</v>
          </cell>
        </row>
        <row r="15633">
          <cell r="A15633" t="str">
            <v>OA28ab__L_p</v>
          </cell>
          <cell r="B15633" t="str">
            <v>OA28ab__L</v>
          </cell>
          <cell r="C15633" t="str">
            <v>Periplasmic O antigen group O:28ab polysaccharide with a long chain length (25 repeat units)</v>
          </cell>
        </row>
        <row r="15634">
          <cell r="A15634" t="str">
            <v>LPS4_VL_e</v>
          </cell>
          <cell r="B15634" t="str">
            <v>LPS4_VL</v>
          </cell>
          <cell r="C15634" t="str">
            <v>Periplasmic lipopolysaccharide group O:XX with a very long O antigen polysaccharide</v>
          </cell>
        </row>
        <row r="15635">
          <cell r="A15635" t="str">
            <v>LPS47__L_p</v>
          </cell>
          <cell r="B15635" t="str">
            <v>LPS47__L</v>
          </cell>
          <cell r="C15635" t="str">
            <v>Periplasmic lipopolysaccharide group O:47 with a long O antigen polysaccharide</v>
          </cell>
        </row>
        <row r="15636">
          <cell r="A15636" t="str">
            <v>LPS62_VL_e</v>
          </cell>
          <cell r="B15636" t="str">
            <v>LPS62_VL</v>
          </cell>
          <cell r="C15636" t="str">
            <v>Periplasmic lipopolysaccharide group O:62 with a very long O antigen polysaccharide</v>
          </cell>
        </row>
        <row r="15637">
          <cell r="A15637" t="str">
            <v>udcdpglcnac_b1_3_gal_a1_2_fuc_b1_4_rib_a1_3_fucac_b1_4_glc_c</v>
          </cell>
          <cell r="B15637" t="str">
            <v>udcdpglcnac_b1_3_gal_a1_2_fuc_b1_4_rib_a1_3_fucac_b1_4_glc</v>
          </cell>
          <cell r="C15637" t="str">
            <v>Cytoplasmic O antigen group O:45 repeat unit on undecaprenyl diphosphate carrier</v>
          </cell>
        </row>
        <row r="15638">
          <cell r="A15638" t="str">
            <v>udcdpglcnac_b1_3_gal_a1_2_fuc_b1_4_rib_a1_3_fucac_b1_4_glc_p</v>
          </cell>
          <cell r="B15638" t="str">
            <v>udcdpglcnac_b1_3_gal_a1_2_fuc_b1_4_rib_a1_3_fucac_b1_4_glc</v>
          </cell>
          <cell r="C15638" t="str">
            <v>Cytoplasmic O antigen group O:45 repeat unit on undecaprenyl diphosphate carrier</v>
          </cell>
        </row>
        <row r="15639">
          <cell r="A15639" t="str">
            <v>OA67_c</v>
          </cell>
          <cell r="B15639" t="str">
            <v>OA67</v>
          </cell>
          <cell r="C15639" t="str">
            <v>[Undecaprenyl-galactose-(beta1-&gt;3)-galactofuranose-(alpha1-&gt;3)] 20</v>
          </cell>
        </row>
        <row r="15640">
          <cell r="A15640" t="str">
            <v>udcdpglcnac_b1_4_glcnac_a1_3_man_b1_4_man_c</v>
          </cell>
          <cell r="B15640" t="str">
            <v>udcdpglcnac_b1_4_glcnac_a1_3_man_b1_4_man</v>
          </cell>
          <cell r="C15640" t="str">
            <v>Cytoplasmic O antigen group O:65 repeat unit on undecaprenyl diphosphate carrier</v>
          </cell>
        </row>
        <row r="15641">
          <cell r="A15641" t="str">
            <v>LPS56_ST_e</v>
          </cell>
          <cell r="B15641" t="str">
            <v>LPS56_ST</v>
          </cell>
          <cell r="C15641" t="str">
            <v>Periplasmic lipopolysaccharide group O:56 with a short O antigen polysaccharide</v>
          </cell>
        </row>
        <row r="15642">
          <cell r="A15642" t="str">
            <v>LPS9__L_e</v>
          </cell>
          <cell r="B15642" t="str">
            <v>LPS9__L</v>
          </cell>
          <cell r="C15642" t="str">
            <v>Extracellular lipopolysaccharide group O:9 with a long O antigen polysaccharide</v>
          </cell>
        </row>
        <row r="15643">
          <cell r="A15643" t="str">
            <v>udcdpgal_a1_3_rmn_a1_4_manac_c</v>
          </cell>
          <cell r="B15643" t="str">
            <v>udcdpgal_a1_3_rmn_a1_4_manac</v>
          </cell>
          <cell r="C15643" t="str">
            <v>Periplasmic O antigen group O:3 10 repeat unit on undecaprenyl diphosphate carrier</v>
          </cell>
        </row>
        <row r="15644">
          <cell r="A15644" t="str">
            <v>LPS59_ST_e</v>
          </cell>
          <cell r="B15644" t="str">
            <v>LPS59_ST</v>
          </cell>
          <cell r="C15644" t="str">
            <v>Periplasmic lipopolysaccharide group O:59 with a short O antigen polysaccharide</v>
          </cell>
        </row>
        <row r="15645">
          <cell r="A15645" t="str">
            <v>LPS52__L_e</v>
          </cell>
          <cell r="B15645" t="str">
            <v>LPS52__L</v>
          </cell>
          <cell r="C15645" t="str">
            <v>Periplasmic lipopolysaccharide group O:52 with a long O antigen polysaccharide</v>
          </cell>
        </row>
        <row r="15646">
          <cell r="A15646" t="str">
            <v>LPS35_ST_p</v>
          </cell>
          <cell r="B15646" t="str">
            <v>LPS35_ST</v>
          </cell>
          <cell r="C15646" t="str">
            <v>Periplasmic lipopolysaccharide group O:35 with a short O antigen polysaccharide</v>
          </cell>
        </row>
        <row r="15647">
          <cell r="A15647" t="str">
            <v>LPS16__L_p</v>
          </cell>
          <cell r="B15647" t="str">
            <v>LPS16__L</v>
          </cell>
          <cell r="C15647" t="str">
            <v>Extracellular lipopolysaccharide group O:16 with a long O antigen polysaccharide</v>
          </cell>
        </row>
        <row r="15648">
          <cell r="A15648" t="str">
            <v>udcdpgalnac_b1_3_gal_a1_4_gal_b1_3_galnac_a1_3_glcnac_c</v>
          </cell>
          <cell r="B15648" t="str">
            <v>udcdpgalnac_b1_3_gal_a1_4_gal_b1_3_galnac_a1_3_glcnac</v>
          </cell>
          <cell r="C15648" t="str">
            <v>Periplasmic O antigen group O:21 repeat unit on undecaprenyl diphosphate carrier</v>
          </cell>
        </row>
        <row r="15649">
          <cell r="A15649" t="str">
            <v>gdp4d36ddman_c</v>
          </cell>
          <cell r="B15649" t="str">
            <v>gdp4d36ddman</v>
          </cell>
          <cell r="C15649" t="str">
            <v>GDP-4-dehydro-3,6-dideoxy-alpha-D-mannose</v>
          </cell>
        </row>
        <row r="15650">
          <cell r="A15650" t="str">
            <v>gdp3h5i6m_c</v>
          </cell>
          <cell r="B15650" t="str">
            <v>gdp3h5i6m</v>
          </cell>
          <cell r="C15650" t="str">
            <v>GDP-(2S,3S,6R)-3-hydroxy-5-imino-6-methyloxane</v>
          </cell>
        </row>
        <row r="15651">
          <cell r="A15651" t="str">
            <v>OA39_VL_p</v>
          </cell>
          <cell r="B15651" t="str">
            <v>OA39_VL</v>
          </cell>
          <cell r="C15651" t="str">
            <v>Periplasmic O antigen group O:39 polysaccharide with a very long chain length (100 repeat units)</v>
          </cell>
        </row>
        <row r="15652">
          <cell r="A15652" t="str">
            <v>LPS2_ST_p</v>
          </cell>
          <cell r="B15652" t="str">
            <v>LPS2_ST</v>
          </cell>
          <cell r="C15652" t="str">
            <v>Periplasmic lipopolysaccharide group O:2 with a short O antigen polysaccharide</v>
          </cell>
        </row>
        <row r="15653">
          <cell r="A15653" t="str">
            <v>LPS59__L_p</v>
          </cell>
          <cell r="B15653" t="str">
            <v>LPS59__L</v>
          </cell>
          <cell r="C15653" t="str">
            <v>Periplasmic lipopolysaccharide group O:59 with a long O antigen polysaccharide</v>
          </cell>
        </row>
        <row r="15654">
          <cell r="A15654" t="str">
            <v>udpacblfuc_c</v>
          </cell>
          <cell r="B15654" t="str">
            <v>udpacblfuc</v>
          </cell>
          <cell r="C15654" t="str">
            <v>UDP-N-acetyl-beta-L-fucosamine</v>
          </cell>
        </row>
        <row r="15655">
          <cell r="A15655" t="str">
            <v>OA1_3_19__L_p</v>
          </cell>
          <cell r="B15655" t="str">
            <v>OA1_3_19__L</v>
          </cell>
          <cell r="C15655" t="str">
            <v>Periplasmic O antigen group O:1 3 19 polysaccharide with a long chain length (25 repeat units)</v>
          </cell>
        </row>
        <row r="15656">
          <cell r="A15656" t="str">
            <v>OA51__L_p</v>
          </cell>
          <cell r="B15656" t="str">
            <v>OA51__L</v>
          </cell>
          <cell r="C15656" t="str">
            <v>Periplasmic O antigen group O:51 polysaccharide with a long chain length (25 repeat units)</v>
          </cell>
        </row>
        <row r="15657">
          <cell r="A15657" t="str">
            <v>LPS39_VL_e</v>
          </cell>
          <cell r="B15657" t="str">
            <v>LPS39_VL</v>
          </cell>
          <cell r="C15657" t="str">
            <v>Periplasmic lipopolysaccharide group O:39 with a very long O antigen polysaccharide</v>
          </cell>
        </row>
        <row r="15658">
          <cell r="A15658" t="str">
            <v>LPS47_VL_e</v>
          </cell>
          <cell r="B15658" t="str">
            <v>LPS47_VL</v>
          </cell>
          <cell r="C15658" t="str">
            <v>Extracellular lipopolysaccharide group O:47 with a very long O antigen polysaccharide</v>
          </cell>
        </row>
        <row r="15659">
          <cell r="A15659" t="str">
            <v>OA47_ST_p</v>
          </cell>
          <cell r="B15659" t="str">
            <v>OA47_ST</v>
          </cell>
          <cell r="C15659" t="str">
            <v>Periplasmic O antigen group O:47 polysaccharide with a short chain length (15 repeat units)</v>
          </cell>
        </row>
        <row r="15660">
          <cell r="A15660" t="str">
            <v>udcdpgalnac_b1_3_glc_b1_2_glcnac_b1_4_gal_b1_4_gal_p</v>
          </cell>
          <cell r="B15660" t="str">
            <v>udcdpgalnac_b1_3_glc_b1_2_glcnac_b1_4_gal_b1_4_gal</v>
          </cell>
          <cell r="C15660" t="str">
            <v>Periplasmic O antigen group O:38 repeat unit on undecaprenyl diphosphate carrier</v>
          </cell>
        </row>
        <row r="15661">
          <cell r="A15661" t="str">
            <v>OA38_ST_p</v>
          </cell>
          <cell r="B15661" t="str">
            <v>OA38_ST</v>
          </cell>
          <cell r="C15661" t="str">
            <v>Periplasmic O antigen group O:38 polysaccharide with a short chain length (15 repeat units)</v>
          </cell>
        </row>
        <row r="15662">
          <cell r="A15662" t="str">
            <v>LPS39__L_p</v>
          </cell>
          <cell r="B15662" t="str">
            <v>LPS39__L</v>
          </cell>
          <cell r="C15662" t="str">
            <v>Periplasmic lipopolysaccharide group O:39 with a long O antigen polysaccharide</v>
          </cell>
        </row>
        <row r="15663">
          <cell r="A15663" t="str">
            <v>LPS41__L_p</v>
          </cell>
          <cell r="B15663" t="str">
            <v>LPS41__L</v>
          </cell>
          <cell r="C15663" t="str">
            <v>Periplasmic lipopolysaccharide group O:41 with a very long O antigen polysaccharide</v>
          </cell>
        </row>
        <row r="15664">
          <cell r="A15664" t="str">
            <v>udcpdpgalnac_b1_4_glc_b1_3_gal3_a1_4_rmn_a1_3_qui3nac_p</v>
          </cell>
          <cell r="B15664" t="str">
            <v>udcpdpgalnac_b1_4_glc_b1_3_gal3_a1_4_rmn_a1_3_qui3nac</v>
          </cell>
          <cell r="C15664" t="str">
            <v>Cytoplasmic O antigen group O:28ac repeat unit on undecaprenyl diphosphate carrier</v>
          </cell>
        </row>
        <row r="15665">
          <cell r="A15665" t="str">
            <v>LPS51_ST_p</v>
          </cell>
          <cell r="B15665" t="str">
            <v>LPS51_ST</v>
          </cell>
          <cell r="C15665" t="str">
            <v>Extracellular lipopolysaccharide group O:51 with a short O antigen polysaccharide</v>
          </cell>
        </row>
        <row r="15666">
          <cell r="A15666" t="str">
            <v>LPS21__L_e</v>
          </cell>
          <cell r="B15666" t="str">
            <v>LPS21__L</v>
          </cell>
          <cell r="C15666" t="str">
            <v>Extracellular lipopolysaccharide group O:21 with a long O antigen polysaccharide</v>
          </cell>
        </row>
        <row r="15667">
          <cell r="A15667" t="str">
            <v>udcdpglcnac_b1_4_glcnac_a1_3_man_b1_4_man_p</v>
          </cell>
          <cell r="B15667" t="str">
            <v>udcdpglcnac_b1_4_glcnac_a1_3_man_b1_4_man</v>
          </cell>
          <cell r="C15667" t="str">
            <v>Cytoplasmic O antigen group O:65 repeat unit on undecaprenyl diphosphate carrier</v>
          </cell>
        </row>
        <row r="15668">
          <cell r="A15668" t="str">
            <v>OA21_ST_p</v>
          </cell>
          <cell r="B15668" t="str">
            <v>OA21_ST</v>
          </cell>
          <cell r="C15668" t="str">
            <v>Periplasmic O antigen group O:21 polysaccharide with a short chain length (15 repeat units)</v>
          </cell>
        </row>
        <row r="15669">
          <cell r="A15669" t="str">
            <v>LPS8_VL_p</v>
          </cell>
          <cell r="B15669" t="str">
            <v>LPS8_VL</v>
          </cell>
          <cell r="C15669" t="str">
            <v>Periplasmic lipopolysaccharide group O:8 with a very long O antigen polysaccharide</v>
          </cell>
        </row>
        <row r="15670">
          <cell r="A15670" t="str">
            <v>OA13_VL_p</v>
          </cell>
          <cell r="B15670" t="str">
            <v>OA13_VL</v>
          </cell>
          <cell r="C15670" t="str">
            <v>Periplasmic O antigen group O:13 polysaccharide with a very long chain length (100 repeat units)</v>
          </cell>
        </row>
        <row r="15671">
          <cell r="A15671" t="str">
            <v>OA9_46_27__L_p</v>
          </cell>
          <cell r="B15671" t="str">
            <v>OA9_46_27__L</v>
          </cell>
          <cell r="C15671" t="str">
            <v>Periplasmic O antigen group O:9 46 27 polysaccharide with a long chain length (25 repeat units</v>
          </cell>
        </row>
        <row r="15672">
          <cell r="A15672" t="str">
            <v>LPS28ab__L_p</v>
          </cell>
          <cell r="B15672" t="str">
            <v>LPS28ab__L</v>
          </cell>
          <cell r="C15672" t="str">
            <v>Periplasmic lipopolysaccharide group O:28ab with a long O antigen polysaccharide</v>
          </cell>
        </row>
        <row r="15673">
          <cell r="A15673" t="str">
            <v>cmpacneun_c</v>
          </cell>
          <cell r="B15673" t="str">
            <v>cmpacneun</v>
          </cell>
          <cell r="C15673" t="str">
            <v>CMP-N-Acetylneuraminate</v>
          </cell>
        </row>
        <row r="15674">
          <cell r="A15674" t="str">
            <v>LPS13_VL_e</v>
          </cell>
          <cell r="B15674" t="str">
            <v>LPS13_VL</v>
          </cell>
          <cell r="C15674" t="str">
            <v>Extracellular lipopolysaccharide group O:13 with a very long O antigen polysaccharide</v>
          </cell>
        </row>
        <row r="15675">
          <cell r="A15675" t="str">
            <v>OA28ac_ST_p</v>
          </cell>
          <cell r="B15675" t="str">
            <v>OA28ac_ST</v>
          </cell>
          <cell r="C15675" t="str">
            <v>Periplasmic O antigen group O:28ac polysaccharide with a short chain length (15 repeat units)</v>
          </cell>
        </row>
        <row r="15676">
          <cell r="A15676" t="str">
            <v>LPS9_46_27__L_p</v>
          </cell>
          <cell r="B15676" t="str">
            <v>LPS9_46_27__L</v>
          </cell>
          <cell r="C15676" t="str">
            <v>Periplasmic lipopolysaccharide group O:9 46 27 with a long O antigen polysaccharide</v>
          </cell>
        </row>
        <row r="15677">
          <cell r="A15677" t="str">
            <v>LPS65_ST_e</v>
          </cell>
          <cell r="B15677" t="str">
            <v>LPS65_ST</v>
          </cell>
          <cell r="C15677" t="str">
            <v>Periplasmic lipopolysaccharide group O:65 with a short O antigen polysaccharide</v>
          </cell>
        </row>
        <row r="15678">
          <cell r="A15678" t="str">
            <v>OA65_ST_p</v>
          </cell>
          <cell r="B15678" t="str">
            <v>OA65_ST</v>
          </cell>
          <cell r="C15678" t="str">
            <v>Periplasmic O antigen group O:65 polysaccharide with a short chain length (15 repeat units)</v>
          </cell>
        </row>
        <row r="15679">
          <cell r="A15679" t="str">
            <v>LPS62__L_p</v>
          </cell>
          <cell r="B15679" t="str">
            <v>LPS62__L</v>
          </cell>
          <cell r="C15679" t="str">
            <v>Extracellular lipopolysaccharide group O:62 with a long O antigen polysaccharide</v>
          </cell>
        </row>
        <row r="15680">
          <cell r="A15680" t="str">
            <v>LPS45_VL_e</v>
          </cell>
          <cell r="B15680" t="str">
            <v>LPS45_VL</v>
          </cell>
          <cell r="C15680" t="str">
            <v>Periplasmic lipopolysaccharide group O:45 with a very long O antigen polysaccharide</v>
          </cell>
        </row>
        <row r="15681">
          <cell r="A15681" t="str">
            <v>OA41_VL_p</v>
          </cell>
          <cell r="B15681" t="str">
            <v>OA41_VL</v>
          </cell>
          <cell r="C15681" t="str">
            <v>Periplasmic lipopolysaccharide group O:41 with a short O antigen polysaccharide</v>
          </cell>
        </row>
        <row r="15682">
          <cell r="A15682" t="str">
            <v>udcdpgalnac_b1_3_glc_b1_4_man_b1_2_glcnac_a1_3_galnac_p</v>
          </cell>
          <cell r="B15682" t="str">
            <v>udcdpgalnac_b1_3_glc_b1_4_man_b1_2_glcnac_a1_3_galnac</v>
          </cell>
          <cell r="C15682" t="str">
            <v>Periplasmic O antigen group O:40 repeat unit on undecaprenyl diphosphate carrier</v>
          </cell>
        </row>
        <row r="15683">
          <cell r="A15683" t="str">
            <v>LPS7_ST_e</v>
          </cell>
          <cell r="B15683" t="str">
            <v>LPS7_ST</v>
          </cell>
          <cell r="C15683" t="str">
            <v>Periplasmic lipopolysaccharide group O:7 with a short O antigen polysaccharide</v>
          </cell>
        </row>
        <row r="15684">
          <cell r="A15684" t="str">
            <v>LPS40_VL_p</v>
          </cell>
          <cell r="B15684" t="str">
            <v>LPS40_VL</v>
          </cell>
          <cell r="C15684" t="str">
            <v>Extracellular lipopolysaccharide group O:40 with a very long O antigen polysaccharide</v>
          </cell>
        </row>
        <row r="15685">
          <cell r="A15685" t="str">
            <v>OA50_ST_p</v>
          </cell>
          <cell r="B15685" t="str">
            <v>OA50_ST</v>
          </cell>
          <cell r="C15685" t="str">
            <v>Periplasmic O antigen group O:50 polysaccharide with a short chain length (15 repeat units)</v>
          </cell>
        </row>
        <row r="15686">
          <cell r="A15686" t="str">
            <v>OA35__L_p</v>
          </cell>
          <cell r="B15686" t="str">
            <v>OA35__L</v>
          </cell>
          <cell r="C15686" t="str">
            <v>Periplasmic O antigen group O:35 polysaccharide with a long chain length (25 repeat units)</v>
          </cell>
        </row>
        <row r="15687">
          <cell r="A15687" t="str">
            <v>LPS59_VL_e</v>
          </cell>
          <cell r="B15687" t="str">
            <v>LPS59_VL</v>
          </cell>
          <cell r="C15687" t="str">
            <v>Extracellular lipopolysaccharide group O:59 with a very long O antigen polysaccharide</v>
          </cell>
        </row>
        <row r="15688">
          <cell r="A15688" t="str">
            <v>udp2aca26ddarah4_c</v>
          </cell>
          <cell r="B15688" t="str">
            <v>udp2aca26ddarah4</v>
          </cell>
          <cell r="C15688" t="str">
            <v>UDP-2-acetamido-2,6-dideoxy-beta-L-arabino-hexul-4-ose</v>
          </cell>
        </row>
        <row r="15689">
          <cell r="A15689" t="str">
            <v>LPS60_ST_p</v>
          </cell>
          <cell r="B15689" t="str">
            <v>LPS60_ST</v>
          </cell>
          <cell r="C15689" t="str">
            <v>Periplasmic lipopolysaccharide group O:60 with a short O antigen polysaccharide</v>
          </cell>
        </row>
        <row r="15690">
          <cell r="A15690" t="str">
            <v>udcpdglcnac_b1_3_man_a1_2_man_a_2_man_b1_2_man_p</v>
          </cell>
          <cell r="B15690" t="str">
            <v>udcpdglcnac_b1_3_man_a1_2_man_a_2_man_b1_2_man</v>
          </cell>
          <cell r="C15690" t="str">
            <v>Cytoplasmic O antigen group O:7 repeat unit on undecaprenyl diphosphate carrier</v>
          </cell>
        </row>
        <row r="15691">
          <cell r="A15691" t="str">
            <v>OA6_14_VL_p</v>
          </cell>
          <cell r="B15691" t="str">
            <v>OA6_14_VL</v>
          </cell>
          <cell r="C15691" t="str">
            <v>Periplasmic O antigen group O:6 14 polysaccharide with a very long chain length (100 repeat units)</v>
          </cell>
        </row>
        <row r="15692">
          <cell r="A15692" t="str">
            <v>LPS63_VL_e</v>
          </cell>
          <cell r="B15692" t="str">
            <v>LPS63_VL</v>
          </cell>
          <cell r="C15692" t="str">
            <v>Periplasmic lipopolysaccharide group O:63 with a very long O antigen polysaccharide</v>
          </cell>
        </row>
        <row r="15693">
          <cell r="A15693" t="str">
            <v>LPS28ac__L_p</v>
          </cell>
          <cell r="B15693" t="str">
            <v>LPS28ac__L</v>
          </cell>
          <cell r="C15693" t="str">
            <v>Periplasmic lipopolysaccharide group O:28ac with a long O antigen polysaccharide</v>
          </cell>
        </row>
        <row r="15694">
          <cell r="A15694" t="str">
            <v>OA44_VL_p</v>
          </cell>
          <cell r="B15694" t="str">
            <v>OA44_VL</v>
          </cell>
          <cell r="C15694" t="str">
            <v>Periplasmic O antigen group O:44 polysaccharide with a very long chain length (100 repeat units)</v>
          </cell>
        </row>
        <row r="15695">
          <cell r="A15695" t="str">
            <v>OA58_ST_p</v>
          </cell>
          <cell r="B15695" t="str">
            <v>OA58_ST</v>
          </cell>
          <cell r="C15695" t="str">
            <v>Periplasmic O antigen group O:58 polysaccharide with a short chain length (15 repeat units)</v>
          </cell>
        </row>
        <row r="15696">
          <cell r="A15696" t="str">
            <v>LPS30_ST_p</v>
          </cell>
          <cell r="B15696" t="str">
            <v>LPS30_ST</v>
          </cell>
          <cell r="C15696" t="str">
            <v>Extracellular lipopolysaccharide group O:30 with a short O antigen polysaccharide</v>
          </cell>
        </row>
        <row r="15697">
          <cell r="A15697" t="str">
            <v>OA30_ST_p</v>
          </cell>
          <cell r="B15697" t="str">
            <v>OA30_ST</v>
          </cell>
          <cell r="C15697" t="str">
            <v>Periplasmic O antigen group O:30 polysaccharide with a short chain length (15 repeat units)</v>
          </cell>
        </row>
        <row r="15698">
          <cell r="A15698" t="str">
            <v>OA42_ST_p</v>
          </cell>
          <cell r="B15698" t="str">
            <v>OA42_ST</v>
          </cell>
          <cell r="C15698" t="str">
            <v>Periplasmic O antigen group O:42 polysaccharide with a short chain length (15 repeat units)</v>
          </cell>
        </row>
        <row r="15699">
          <cell r="A15699" t="str">
            <v>udcdpglcnac_b1_3_glc_c</v>
          </cell>
          <cell r="B15699" t="str">
            <v>udcdpglcnac_b1_3_glc</v>
          </cell>
          <cell r="C15699" t="str">
            <v>Cytoplasmic O antigen group O:30 partial repeat unit (1) on undecaprenyl diphosphate carrier</v>
          </cell>
        </row>
        <row r="15700">
          <cell r="A15700" t="str">
            <v>LPS57_VL_e</v>
          </cell>
          <cell r="B15700" t="str">
            <v>LPS57_VL</v>
          </cell>
          <cell r="C15700" t="str">
            <v>Extracellular lipopolysaccharide group O:57 with a very long O antigen polysaccharide</v>
          </cell>
        </row>
        <row r="15701">
          <cell r="A15701" t="str">
            <v>udcdpgalnac_b1_3_man_a1_2_man_a1_2_man_c</v>
          </cell>
          <cell r="B15701" t="str">
            <v>udcdpgalnac_b1_3_man_a1_2_man_a1_2_man</v>
          </cell>
          <cell r="C15701" t="str">
            <v>Periplasmic O antigen group O:18 repeat unit on undecaprenyl diphosphate carrier</v>
          </cell>
        </row>
        <row r="15702">
          <cell r="A15702" t="str">
            <v>OA4__L_p</v>
          </cell>
          <cell r="B15702" t="str">
            <v>OA4__L</v>
          </cell>
          <cell r="C15702" t="str">
            <v>Periplasmic O antigen group O:XX polysaccharide with a long chain length (25 repeat units)</v>
          </cell>
        </row>
        <row r="15703">
          <cell r="A15703" t="str">
            <v>LPS4__L_p</v>
          </cell>
          <cell r="B15703" t="str">
            <v>LPS4__L</v>
          </cell>
          <cell r="C15703" t="str">
            <v>Periplasmic lipopolysaccharide group O:XX with a long O antigen polysaccharide</v>
          </cell>
        </row>
        <row r="15704">
          <cell r="A15704" t="str">
            <v>LPS53_ST_p</v>
          </cell>
          <cell r="B15704" t="str">
            <v>LPS53_ST</v>
          </cell>
          <cell r="C15704" t="str">
            <v>Extracellular lipopolysaccharide group O:53 with a long O antigen polysaccharide</v>
          </cell>
        </row>
        <row r="15705">
          <cell r="A15705" t="str">
            <v>LPS35_VL_e</v>
          </cell>
          <cell r="B15705" t="str">
            <v>LPS35_VL</v>
          </cell>
          <cell r="C15705" t="str">
            <v>Extracellular lipopolysaccharide group O:35 with a very long O antigen polysaccharide</v>
          </cell>
        </row>
        <row r="15706">
          <cell r="A15706" t="str">
            <v>LPS16_ST_e</v>
          </cell>
          <cell r="B15706" t="str">
            <v>LPS16_ST</v>
          </cell>
          <cell r="C15706" t="str">
            <v>Extracellular lipopolysaccharide group O:16 with a short O antigen polysaccharide</v>
          </cell>
        </row>
        <row r="15707">
          <cell r="A15707" t="str">
            <v>udcdpgalnac_b1_3_glc_b1_4_man_b1_2_glcnac_a1_3_galnac_c</v>
          </cell>
          <cell r="B15707" t="str">
            <v>udcdpgalnac_b1_3_glc_b1_4_man_b1_2_glcnac_a1_3_galnac</v>
          </cell>
          <cell r="C15707" t="str">
            <v>Periplasmic O antigen group O:40 repeat unit on undecaprenyl diphosphate carrier</v>
          </cell>
        </row>
        <row r="15708">
          <cell r="A15708" t="str">
            <v>LPS43_VL_p</v>
          </cell>
          <cell r="B15708" t="str">
            <v>LPS43_VL</v>
          </cell>
          <cell r="C15708" t="str">
            <v>Periplasmic lipopolysaccharide group O:43 with a very long O antigen polysaccharide</v>
          </cell>
        </row>
        <row r="15709">
          <cell r="A15709" t="str">
            <v>OA8__L_p</v>
          </cell>
          <cell r="B15709" t="str">
            <v>OA8__L</v>
          </cell>
          <cell r="C15709" t="str">
            <v>Periplasmic O antigen group O:8 polysaccharide with a long chain length (25 repeat units)</v>
          </cell>
        </row>
        <row r="15710">
          <cell r="A15710" t="str">
            <v>LPS8__L_p</v>
          </cell>
          <cell r="B15710" t="str">
            <v>LPS8__L</v>
          </cell>
          <cell r="C15710" t="str">
            <v>Extracellular lipopolysaccharide group O:8 with a long O antigen polysaccharide</v>
          </cell>
        </row>
        <row r="15711">
          <cell r="A15711" t="str">
            <v>udcpdpgalnac_a1_3_fucnam_a2_3_neu5ac_c</v>
          </cell>
          <cell r="B15711" t="str">
            <v>udcpdpgalnac_a1_3_fucnam_a2_3_neu5ac</v>
          </cell>
          <cell r="C15711" t="str">
            <v>Cytoplasmic O antigen group O:48 partial repeat unit (1) on undecaprenyl diphosphate carrier</v>
          </cell>
        </row>
        <row r="15712">
          <cell r="A15712" t="str">
            <v>OA67_p</v>
          </cell>
          <cell r="B15712" t="str">
            <v>OA67</v>
          </cell>
          <cell r="C15712" t="str">
            <v>[Undecaprenyl-galactose-(beta1-&gt;3)-galactofuranose-(alpha1-&gt;3)] 20</v>
          </cell>
        </row>
        <row r="15713">
          <cell r="A15713" t="str">
            <v>OA62_VL_p</v>
          </cell>
          <cell r="B15713" t="str">
            <v>OA62_VL</v>
          </cell>
          <cell r="C15713" t="str">
            <v>Periplasmic O antigen group O:62 polysaccharide with a very long chain length (100 repeat units)</v>
          </cell>
        </row>
        <row r="15714">
          <cell r="A15714" t="str">
            <v>LPS18_ST_e</v>
          </cell>
          <cell r="B15714" t="str">
            <v>LPS18_ST</v>
          </cell>
          <cell r="C15714" t="str">
            <v>Periplasmic lipopolysaccharide group O:18 with a short O antigen polysaccharide</v>
          </cell>
        </row>
        <row r="15715">
          <cell r="A15715" t="str">
            <v>LPS21_VL_p</v>
          </cell>
          <cell r="B15715" t="str">
            <v>LPS21_VL</v>
          </cell>
          <cell r="C15715" t="str">
            <v>Extracellular lipopolysaccharide group O:21 with a very long O antigen polysaccharide</v>
          </cell>
        </row>
        <row r="15716">
          <cell r="A15716" t="str">
            <v>LPS43__L_e</v>
          </cell>
          <cell r="B15716" t="str">
            <v>LPS43__L</v>
          </cell>
          <cell r="C15716" t="str">
            <v>Periplasmic lipopolysaccharide group O:43 with a long O antigen polysaccharide</v>
          </cell>
        </row>
        <row r="15717">
          <cell r="A15717" t="str">
            <v>LPS52_ST_e</v>
          </cell>
          <cell r="B15717" t="str">
            <v>LPS52_ST</v>
          </cell>
          <cell r="C15717" t="str">
            <v>Periplasmic lipopolysaccharide group O:52 with a short O antigen polysaccharide</v>
          </cell>
        </row>
        <row r="15718">
          <cell r="A15718" t="str">
            <v>LPS66__L_e</v>
          </cell>
          <cell r="B15718" t="str">
            <v>LPS66__L</v>
          </cell>
          <cell r="C15718" t="str">
            <v>Periplasmic lipopolysaccharide group O:66 with a long O antigen polysaccharide</v>
          </cell>
        </row>
        <row r="15719">
          <cell r="A15719" t="str">
            <v>OA35_VL_p</v>
          </cell>
          <cell r="B15719" t="str">
            <v>OA35_VL</v>
          </cell>
          <cell r="C15719" t="str">
            <v>Periplasmic O antigen group O:35 polysaccharide with a very long chain length (100 repeat units)</v>
          </cell>
        </row>
        <row r="15720">
          <cell r="A15720" t="str">
            <v>OA62__L_p</v>
          </cell>
          <cell r="B15720" t="str">
            <v>OA62__L</v>
          </cell>
          <cell r="C15720" t="str">
            <v>Periplasmic O antigen group O:62 polysaccharide with a long chain length (25 repeat units)</v>
          </cell>
        </row>
        <row r="15721">
          <cell r="A15721" t="str">
            <v>OA53_ST_p</v>
          </cell>
          <cell r="B15721" t="str">
            <v>OA53_ST</v>
          </cell>
          <cell r="C15721" t="str">
            <v>Periplasmic O antigen group O:53 polysaccharide with a long chain length (25 repeat units)</v>
          </cell>
        </row>
        <row r="15722">
          <cell r="A15722" t="str">
            <v>udcdpglcnac_a1_3_galnac_a1_4_glc_b1_6_fuc3nac_b1_3_glc_c</v>
          </cell>
          <cell r="B15722" t="str">
            <v>udcdpglcnac_a1_3_galnac_a1_4_glc_b1_6_fuc3nac_b1_3_glc</v>
          </cell>
          <cell r="C15722" t="str">
            <v>Cytoplasmic O antigen group O:55  repeat unit on undecaprenyl diphosphate carrier</v>
          </cell>
        </row>
        <row r="15723">
          <cell r="A15723" t="str">
            <v>udcdpgalnac_b1_3_glc_b1_2_glcnac_b1_4_gal_b1_4_gal_c</v>
          </cell>
          <cell r="B15723" t="str">
            <v>udcdpgalnac_b1_3_glc_b1_2_glcnac_b1_4_gal_b1_4_gal</v>
          </cell>
          <cell r="C15723" t="str">
            <v>Periplasmic O antigen group O:38 repeat unit on undecaprenyl diphosphate carrier</v>
          </cell>
        </row>
        <row r="15724">
          <cell r="A15724" t="str">
            <v>LPS51_VL_e</v>
          </cell>
          <cell r="B15724" t="str">
            <v>LPS51_VL</v>
          </cell>
          <cell r="C15724" t="str">
            <v>Periplasmic lipopolysaccharide group O:51 with a very long O antigen polysaccharide</v>
          </cell>
        </row>
        <row r="15725">
          <cell r="A15725" t="str">
            <v>LPS54_p</v>
          </cell>
          <cell r="B15725" t="str">
            <v>LPS54</v>
          </cell>
          <cell r="C15725" t="str">
            <v>Extracellular lipopolysaccharide group O:54 with a short O antigen polysaccharide</v>
          </cell>
        </row>
        <row r="15726">
          <cell r="A15726" t="str">
            <v>LPS60__L_p</v>
          </cell>
          <cell r="B15726" t="str">
            <v>LPS60__L</v>
          </cell>
          <cell r="C15726" t="str">
            <v>Extracellular lipopolysaccharide group O:60 with a long O antigen polysaccharide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zoomScaleNormal="100" workbookViewId="0">
      <selection activeCell="E4" sqref="E4"/>
    </sheetView>
  </sheetViews>
  <sheetFormatPr defaultRowHeight="15" x14ac:dyDescent="0.25"/>
  <cols>
    <col min="1" max="1" width="25.85546875" customWidth="1"/>
    <col min="2" max="2" width="22.5703125" customWidth="1"/>
    <col min="10" max="10" width="31" customWidth="1"/>
  </cols>
  <sheetData>
    <row r="1" spans="1:10" x14ac:dyDescent="0.25">
      <c r="A1" s="1" t="s">
        <v>134</v>
      </c>
      <c r="B1" s="1"/>
      <c r="C1" s="2" t="s">
        <v>0</v>
      </c>
      <c r="D1" s="3" t="s">
        <v>1</v>
      </c>
      <c r="E1" s="3" t="s">
        <v>2</v>
      </c>
      <c r="F1" s="3" t="s">
        <v>3</v>
      </c>
      <c r="G1" s="2" t="s">
        <v>4</v>
      </c>
      <c r="H1" s="3" t="s">
        <v>5</v>
      </c>
      <c r="I1" s="3" t="s">
        <v>6</v>
      </c>
      <c r="J1" s="4" t="s">
        <v>135</v>
      </c>
    </row>
    <row r="2" spans="1:10" x14ac:dyDescent="0.25">
      <c r="A2" s="5" t="s">
        <v>7</v>
      </c>
      <c r="B2" s="5" t="str">
        <f>VLOOKUP(A2,[1]bigg_models_metabolites!A:C,3,FALSE)</f>
        <v>10-Formyltetrahydrofolate</v>
      </c>
      <c r="C2" s="6">
        <v>471.43007</v>
      </c>
      <c r="D2" s="6"/>
      <c r="E2" s="6">
        <v>-2.23E-4</v>
      </c>
      <c r="F2" s="6">
        <f t="shared" ref="F2:F65" si="0">C2*E2/1000</f>
        <v>-1.0512890561000001E-4</v>
      </c>
      <c r="G2" s="6"/>
      <c r="H2" s="6"/>
      <c r="I2" s="6">
        <f t="shared" ref="I2:I65" si="1">G2/1.15394745986825</f>
        <v>0</v>
      </c>
      <c r="J2" s="7">
        <v>-2.23E-4</v>
      </c>
    </row>
    <row r="3" spans="1:10" x14ac:dyDescent="0.25">
      <c r="A3" s="8" t="s">
        <v>8</v>
      </c>
      <c r="B3" s="5" t="str">
        <f>VLOOKUP(A3,[1]bigg_models_metabolites!A:C,3,FALSE)</f>
        <v>Pyridoxal 5'-phosphate</v>
      </c>
      <c r="C3" s="6">
        <v>245.12862000000001</v>
      </c>
      <c r="D3" s="6"/>
      <c r="E3" s="6">
        <v>-2.23E-4</v>
      </c>
      <c r="F3" s="6">
        <f t="shared" si="0"/>
        <v>-5.4663682260000003E-5</v>
      </c>
      <c r="G3" s="6"/>
      <c r="H3" s="6"/>
      <c r="I3" s="6">
        <f t="shared" si="1"/>
        <v>0</v>
      </c>
      <c r="J3" s="7">
        <v>-2.23E-4</v>
      </c>
    </row>
    <row r="4" spans="1:10" ht="64.5" x14ac:dyDescent="0.25">
      <c r="A4" s="9" t="s">
        <v>9</v>
      </c>
      <c r="B4" s="5" t="str">
        <f>VLOOKUP(A4,[1]bigg_models_metabolites!A:C,3,FALSE)</f>
        <v>Two disacharide linked murein units, tripeptide crosslinked tetrapeptide (A2pm-&gt;D-ala) (middle of chain)</v>
      </c>
      <c r="C4" s="6">
        <v>1750.6980900000001</v>
      </c>
      <c r="D4" s="6"/>
      <c r="E4" s="7">
        <v>-6.0499999999999996E-4</v>
      </c>
      <c r="F4" s="6">
        <f t="shared" si="0"/>
        <v>-1.0591723444500001E-3</v>
      </c>
      <c r="G4" s="7"/>
      <c r="H4" s="6"/>
      <c r="I4" s="6">
        <f t="shared" si="1"/>
        <v>0</v>
      </c>
      <c r="J4" s="7">
        <v>-6.0499999999999996E-4</v>
      </c>
    </row>
    <row r="5" spans="1:10" x14ac:dyDescent="0.25">
      <c r="A5" s="10" t="s">
        <v>10</v>
      </c>
      <c r="B5" s="5" t="str">
        <f>VLOOKUP(A5,[1]bigg_models_metabolites!A:C,3,FALSE)</f>
        <v>L-Threonine</v>
      </c>
      <c r="C5" s="6">
        <v>119.12063000000001</v>
      </c>
      <c r="D5" s="6">
        <v>-0.381785545717929</v>
      </c>
      <c r="E5" s="6"/>
      <c r="F5" s="6">
        <f t="shared" si="0"/>
        <v>0</v>
      </c>
      <c r="G5" s="6">
        <f>D5*C5/1000</f>
        <v>-4.5478534730813508E-2</v>
      </c>
      <c r="H5" s="6"/>
      <c r="I5" s="6">
        <f t="shared" si="1"/>
        <v>-3.9411269847594223E-2</v>
      </c>
      <c r="J5" s="7">
        <f>1000*(I5/C5)</f>
        <v>-0.33085175798343425</v>
      </c>
    </row>
    <row r="6" spans="1:10" x14ac:dyDescent="0.25">
      <c r="A6" s="8" t="s">
        <v>11</v>
      </c>
      <c r="B6" s="5" t="str">
        <f>VLOOKUP(A6,[1]bigg_models_metabolites!A:C,3,FALSE)</f>
        <v>Adenosylcobalamin</v>
      </c>
      <c r="C6" s="6">
        <v>1579.60636</v>
      </c>
      <c r="D6" s="6"/>
      <c r="E6" s="6">
        <v>-2.23E-4</v>
      </c>
      <c r="F6" s="6">
        <f t="shared" si="0"/>
        <v>-3.5225221827999998E-4</v>
      </c>
      <c r="G6" s="6"/>
      <c r="H6" s="6"/>
      <c r="I6" s="6">
        <f t="shared" si="1"/>
        <v>0</v>
      </c>
      <c r="J6" s="7">
        <v>-2.23E-4</v>
      </c>
    </row>
    <row r="7" spans="1:10" x14ac:dyDescent="0.25">
      <c r="A7" s="8" t="s">
        <v>12</v>
      </c>
      <c r="B7" s="5" t="str">
        <f>VLOOKUP(A7,[1]bigg_models_metabolites!A:C,3,FALSE)</f>
        <v>H+</v>
      </c>
      <c r="C7" s="6">
        <v>1.00797</v>
      </c>
      <c r="D7" s="6"/>
      <c r="E7" s="6"/>
      <c r="F7" s="6">
        <f t="shared" si="0"/>
        <v>0</v>
      </c>
      <c r="G7" s="6"/>
      <c r="H7" s="6">
        <v>29.180422745025599</v>
      </c>
      <c r="I7" s="6">
        <f t="shared" si="1"/>
        <v>0</v>
      </c>
      <c r="J7" s="11">
        <f>H7</f>
        <v>29.180422745025599</v>
      </c>
    </row>
    <row r="8" spans="1:10" x14ac:dyDescent="0.25">
      <c r="A8" s="8" t="s">
        <v>13</v>
      </c>
      <c r="B8" s="5" t="str">
        <f>VLOOKUP(A8,[1]bigg_models_metabolites!A:C,3,FALSE)</f>
        <v>Reduced glutathione</v>
      </c>
      <c r="C8" s="6">
        <v>306.31402000000003</v>
      </c>
      <c r="D8" s="6"/>
      <c r="E8" s="6">
        <v>-2.23E-4</v>
      </c>
      <c r="F8" s="6">
        <f t="shared" si="0"/>
        <v>-6.830802646E-5</v>
      </c>
      <c r="G8" s="6"/>
      <c r="H8" s="6"/>
      <c r="I8" s="6">
        <f t="shared" si="1"/>
        <v>0</v>
      </c>
      <c r="J8" s="7">
        <v>-2.23E-4</v>
      </c>
    </row>
    <row r="9" spans="1:10" x14ac:dyDescent="0.25">
      <c r="A9" s="8" t="s">
        <v>14</v>
      </c>
      <c r="B9" s="5" t="str">
        <f>VLOOKUP(A9,[1]bigg_models_metabolites!A:C,3,FALSE)</f>
        <v>Thiamine diphosphate</v>
      </c>
      <c r="C9" s="6">
        <v>422.28964000000002</v>
      </c>
      <c r="D9" s="6"/>
      <c r="E9" s="7">
        <v>-2.23E-4</v>
      </c>
      <c r="F9" s="6">
        <f t="shared" si="0"/>
        <v>-9.4170589720000007E-5</v>
      </c>
      <c r="G9" s="7"/>
      <c r="H9" s="6"/>
      <c r="I9" s="6">
        <f t="shared" si="1"/>
        <v>0</v>
      </c>
      <c r="J9" s="7">
        <v>-2.23E-4</v>
      </c>
    </row>
    <row r="10" spans="1:10" x14ac:dyDescent="0.25">
      <c r="A10" s="12" t="s">
        <v>15</v>
      </c>
      <c r="B10" s="13" t="str">
        <f>VLOOKUP(A10,[1]bigg_models_metabolites!A:C,3,FALSE)</f>
        <v>Nickel</v>
      </c>
      <c r="C10" s="12">
        <v>58.7</v>
      </c>
      <c r="D10" s="12">
        <f>G10*1000/C10</f>
        <v>-9.2429799340894709E-5</v>
      </c>
      <c r="E10" s="12">
        <v>-3.0699999999999998E-4</v>
      </c>
      <c r="F10" s="12">
        <f t="shared" si="0"/>
        <v>-1.8020899999999999E-5</v>
      </c>
      <c r="G10" s="12">
        <f>-0.000001*5.42562922131052</f>
        <v>-5.4256292213105199E-6</v>
      </c>
      <c r="H10" s="12"/>
      <c r="I10" s="12">
        <f>G10/1.15394745986825</f>
        <v>-4.7017991806403235E-6</v>
      </c>
      <c r="J10" s="14">
        <v>-3.0699999999999998E-4</v>
      </c>
    </row>
    <row r="11" spans="1:10" x14ac:dyDescent="0.25">
      <c r="A11" s="12" t="s">
        <v>16</v>
      </c>
      <c r="B11" s="13" t="str">
        <f>VLOOKUP(A11,[1]bigg_models_metabolites!A:C,3,FALSE)</f>
        <v>Manganese</v>
      </c>
      <c r="C11" s="12">
        <v>54.938000000000002</v>
      </c>
      <c r="D11" s="12">
        <f>G11*1000/C11</f>
        <v>-1.2589257812061923E-3</v>
      </c>
      <c r="E11" s="12">
        <v>-6.5799999999999995E-4</v>
      </c>
      <c r="F11" s="12">
        <f t="shared" si="0"/>
        <v>-3.6149204E-5</v>
      </c>
      <c r="G11" s="12">
        <f>-0.000001*69.1628645679058</f>
        <v>-6.9162864567905792E-5</v>
      </c>
      <c r="H11" s="12"/>
      <c r="I11" s="12">
        <f t="shared" si="1"/>
        <v>-5.9935887008063911E-5</v>
      </c>
      <c r="J11" s="14">
        <v>-6.5799999999999995E-4</v>
      </c>
    </row>
    <row r="12" spans="1:10" ht="26.25" x14ac:dyDescent="0.25">
      <c r="A12" s="8" t="s">
        <v>17</v>
      </c>
      <c r="B12" s="5" t="str">
        <f>VLOOKUP(A12,[1]bigg_models_metabolites!A:C,3,FALSE)</f>
        <v>Siroheme C42H36FeN4O16</v>
      </c>
      <c r="C12" s="6">
        <v>908.61311999999998</v>
      </c>
      <c r="D12" s="6"/>
      <c r="E12" s="6">
        <v>-2.23E-4</v>
      </c>
      <c r="F12" s="6">
        <f t="shared" si="0"/>
        <v>-2.0262072576000001E-4</v>
      </c>
      <c r="G12" s="6"/>
      <c r="H12" s="6"/>
      <c r="I12" s="6">
        <f t="shared" si="1"/>
        <v>0</v>
      </c>
      <c r="J12" s="7">
        <v>-2.23E-4</v>
      </c>
    </row>
    <row r="13" spans="1:10" x14ac:dyDescent="0.25">
      <c r="A13" s="10" t="s">
        <v>18</v>
      </c>
      <c r="B13" s="5" t="str">
        <f>VLOOKUP(A13,[1]bigg_models_metabolites!A:C,3,FALSE)</f>
        <v>L-Serine</v>
      </c>
      <c r="C13" s="6">
        <v>105.09369</v>
      </c>
      <c r="D13" s="6">
        <v>-0.344521476894667</v>
      </c>
      <c r="E13" s="6"/>
      <c r="F13" s="6">
        <f t="shared" si="0"/>
        <v>0</v>
      </c>
      <c r="G13" s="6">
        <f>D13*C13/1000</f>
        <v>-3.6207033291110295E-2</v>
      </c>
      <c r="H13" s="6"/>
      <c r="I13" s="6">
        <f t="shared" si="1"/>
        <v>-3.1376674025734387E-2</v>
      </c>
      <c r="J13" s="7">
        <f>1000*(I13/C13)</f>
        <v>-0.29855906692147155</v>
      </c>
    </row>
    <row r="14" spans="1:10" x14ac:dyDescent="0.25">
      <c r="A14" s="15" t="s">
        <v>19</v>
      </c>
      <c r="B14" s="5" t="str">
        <f>VLOOKUP(A14,[1]bigg_models_metabolites!A:C,3,FALSE)</f>
        <v>CTP C9H12N3O14P3</v>
      </c>
      <c r="C14" s="6">
        <v>479.12761999999998</v>
      </c>
      <c r="D14" s="16">
        <f>1000*(G14/C14)</f>
        <v>-1.239022283157043E-2</v>
      </c>
      <c r="E14" s="6"/>
      <c r="F14" s="6">
        <f t="shared" si="0"/>
        <v>0</v>
      </c>
      <c r="G14" s="6">
        <v>-5.9364979765600002E-3</v>
      </c>
      <c r="H14" s="6"/>
      <c r="I14" s="6">
        <f t="shared" si="1"/>
        <v>-5.1445132322036477E-3</v>
      </c>
      <c r="J14" s="7">
        <f>1000*(I14/C14)</f>
        <v>-1.0737250405651103E-2</v>
      </c>
    </row>
    <row r="15" spans="1:10" x14ac:dyDescent="0.25">
      <c r="A15" s="8" t="s">
        <v>20</v>
      </c>
      <c r="B15" s="5" t="str">
        <f>VLOOKUP(A15,[1]bigg_models_metabolites!A:C,3,FALSE)</f>
        <v>Acetyl-CoA</v>
      </c>
      <c r="C15" s="6">
        <v>805.54196000000002</v>
      </c>
      <c r="D15" s="6"/>
      <c r="E15" s="6">
        <v>-2.7900000000000001E-4</v>
      </c>
      <c r="F15" s="6">
        <f t="shared" si="0"/>
        <v>-2.2474620684000002E-4</v>
      </c>
      <c r="G15" s="6"/>
      <c r="H15" s="6"/>
      <c r="I15" s="6">
        <f t="shared" si="1"/>
        <v>0</v>
      </c>
      <c r="J15" s="7">
        <v>-2.7900000000000001E-4</v>
      </c>
    </row>
    <row r="16" spans="1:10" x14ac:dyDescent="0.25">
      <c r="A16" s="10" t="s">
        <v>21</v>
      </c>
      <c r="B16" s="5" t="str">
        <f>VLOOKUP(A16,[1]bigg_models_metabolites!A:C,3,FALSE)</f>
        <v>L-Arginine</v>
      </c>
      <c r="C16" s="6">
        <v>175.21115</v>
      </c>
      <c r="D16" s="6">
        <v>-0.29517737424712298</v>
      </c>
      <c r="E16" s="6"/>
      <c r="F16" s="6">
        <f t="shared" si="0"/>
        <v>0</v>
      </c>
      <c r="G16" s="6">
        <f>D16*C16/1000</f>
        <v>-5.17183671958188E-2</v>
      </c>
      <c r="H16" s="6"/>
      <c r="I16" s="6">
        <f t="shared" si="1"/>
        <v>-4.481864989045832E-2</v>
      </c>
      <c r="J16" s="7">
        <f>1000*(I16/C16)</f>
        <v>-0.2557979323259868</v>
      </c>
    </row>
    <row r="17" spans="1:10" x14ac:dyDescent="0.25">
      <c r="A17" s="10" t="s">
        <v>22</v>
      </c>
      <c r="B17" s="5" t="str">
        <f>VLOOKUP(A17,[1]bigg_models_metabolites!A:C,3,FALSE)</f>
        <v>L-Aspartate</v>
      </c>
      <c r="C17" s="6">
        <v>132.09612000000001</v>
      </c>
      <c r="D17" s="6">
        <v>-0.29190180248048198</v>
      </c>
      <c r="E17" s="6"/>
      <c r="F17" s="6">
        <f t="shared" si="0"/>
        <v>0</v>
      </c>
      <c r="G17" s="6">
        <f>D17*C17/1000</f>
        <v>-3.8559095528678047E-2</v>
      </c>
      <c r="H17" s="6"/>
      <c r="I17" s="6">
        <f t="shared" si="1"/>
        <v>-3.3414949007366822E-2</v>
      </c>
      <c r="J17" s="7">
        <f>1000*(I17/C17)</f>
        <v>-0.25295935268474817</v>
      </c>
    </row>
    <row r="18" spans="1:10" ht="64.5" x14ac:dyDescent="0.25">
      <c r="A18" s="8" t="s">
        <v>23</v>
      </c>
      <c r="B18" s="5" t="str">
        <f>VLOOKUP(A18,[1]bigg_models_metabolites!A:C,3,FALSE)</f>
        <v>Two linked disacharide tetrapeptide and tripeptide murein units (uncrosslinked, middle of chain)</v>
      </c>
      <c r="C18" s="6">
        <v>1697.6344799999999</v>
      </c>
      <c r="D18" s="6"/>
      <c r="E18" s="6">
        <v>-1.3450000000000001E-3</v>
      </c>
      <c r="F18" s="6">
        <f t="shared" si="0"/>
        <v>-2.2833183755999998E-3</v>
      </c>
      <c r="G18" s="6"/>
      <c r="H18" s="6"/>
      <c r="I18" s="6">
        <f t="shared" si="1"/>
        <v>0</v>
      </c>
      <c r="J18" s="7">
        <v>-1.3450000000000001E-3</v>
      </c>
    </row>
    <row r="19" spans="1:10" x14ac:dyDescent="0.25">
      <c r="A19" s="8" t="s">
        <v>24</v>
      </c>
      <c r="B19" s="5" t="str">
        <f>VLOOKUP(A19,[1]bigg_models_metabolites!A:C,3,FALSE)</f>
        <v>5-Methyltetrahydrofolate</v>
      </c>
      <c r="C19" s="6">
        <v>458.45458000000002</v>
      </c>
      <c r="D19" s="6"/>
      <c r="E19" s="7">
        <v>-2.23E-4</v>
      </c>
      <c r="F19" s="6">
        <f t="shared" si="0"/>
        <v>-1.0223537134000001E-4</v>
      </c>
      <c r="G19" s="7"/>
      <c r="H19" s="6"/>
      <c r="I19" s="6">
        <f t="shared" si="1"/>
        <v>0</v>
      </c>
      <c r="J19" s="7">
        <v>-2.23E-4</v>
      </c>
    </row>
    <row r="20" spans="1:10" ht="26.25" x14ac:dyDescent="0.25">
      <c r="A20" s="8" t="s">
        <v>25</v>
      </c>
      <c r="B20" s="5" t="str">
        <f>VLOOKUP(A20,[1]bigg_models_metabolites!A:C,3,FALSE)</f>
        <v>Nicotinamide adenine dinucleotide</v>
      </c>
      <c r="C20" s="6">
        <v>662.42424000000005</v>
      </c>
      <c r="D20" s="6"/>
      <c r="E20" s="7">
        <v>-1.787E-3</v>
      </c>
      <c r="F20" s="6">
        <f t="shared" si="0"/>
        <v>-1.18375211688E-3</v>
      </c>
      <c r="G20" s="7"/>
      <c r="H20" s="6"/>
      <c r="I20" s="6">
        <f t="shared" si="1"/>
        <v>0</v>
      </c>
      <c r="J20" s="7">
        <v>-1.787E-3</v>
      </c>
    </row>
    <row r="21" spans="1:10" x14ac:dyDescent="0.25">
      <c r="A21" s="12" t="s">
        <v>26</v>
      </c>
      <c r="B21" s="13" t="str">
        <f>VLOOKUP(A21,[1]bigg_models_metabolites!A:C,3,FALSE)</f>
        <v>Magnesium</v>
      </c>
      <c r="C21" s="12">
        <v>24.305</v>
      </c>
      <c r="D21" s="12">
        <f>G21*1000/C21</f>
        <v>-6.1119900244336563E-2</v>
      </c>
      <c r="E21" s="17">
        <v>-8.2529999999999999E-3</v>
      </c>
      <c r="F21" s="12">
        <f t="shared" si="0"/>
        <v>-2.0058916499999998E-4</v>
      </c>
      <c r="G21" s="17">
        <f>-0.000001*1485.5191754386</f>
        <v>-1.4855191754386001E-3</v>
      </c>
      <c r="H21" s="12"/>
      <c r="I21" s="12">
        <f t="shared" si="1"/>
        <v>-1.2873369257281496E-3</v>
      </c>
      <c r="J21" s="18">
        <v>-8.2529999999999999E-3</v>
      </c>
    </row>
    <row r="22" spans="1:10" x14ac:dyDescent="0.25">
      <c r="A22" s="8" t="s">
        <v>27</v>
      </c>
      <c r="B22" s="5" t="str">
        <f>VLOOKUP(A22,[1]bigg_models_metabolites!A:C,3,FALSE)</f>
        <v>ADP C10H12N5O10P2</v>
      </c>
      <c r="C22" s="6">
        <v>424.18065999999999</v>
      </c>
      <c r="D22" s="6"/>
      <c r="E22" s="6"/>
      <c r="F22" s="6">
        <f t="shared" si="0"/>
        <v>0</v>
      </c>
      <c r="G22" s="6"/>
      <c r="H22" s="6">
        <v>29.180422745025599</v>
      </c>
      <c r="I22" s="6">
        <f t="shared" si="1"/>
        <v>0</v>
      </c>
      <c r="J22" s="7">
        <f>H22 +1000*(I22/C22)</f>
        <v>29.180422745025599</v>
      </c>
    </row>
    <row r="23" spans="1:10" x14ac:dyDescent="0.25">
      <c r="A23" s="10" t="s">
        <v>28</v>
      </c>
      <c r="B23" s="5" t="str">
        <f>VLOOKUP(A23,[1]bigg_models_metabolites!A:C,3,FALSE)</f>
        <v>L-Methionine</v>
      </c>
      <c r="C23" s="6">
        <v>149.20817</v>
      </c>
      <c r="D23" s="6">
        <v>-0.16463909053366399</v>
      </c>
      <c r="E23" s="6"/>
      <c r="F23" s="6">
        <f t="shared" si="0"/>
        <v>0</v>
      </c>
      <c r="G23" s="6">
        <f>D23*C23/1000</f>
        <v>-2.4565497408992325E-2</v>
      </c>
      <c r="H23" s="6"/>
      <c r="I23" s="6">
        <f t="shared" si="1"/>
        <v>-2.1288228678797084E-2</v>
      </c>
      <c r="J23" s="7">
        <f>1000*(I23/C23)</f>
        <v>-0.14267468516500864</v>
      </c>
    </row>
    <row r="24" spans="1:10" x14ac:dyDescent="0.25">
      <c r="A24" s="19" t="s">
        <v>29</v>
      </c>
      <c r="B24" s="20" t="str">
        <f>VLOOKUP(A24,[1]bigg_models_metabolites!A:C,3,FALSE)</f>
        <v>Ammonium</v>
      </c>
      <c r="C24" s="19">
        <v>18.03858</v>
      </c>
      <c r="D24" s="12">
        <f>G24*1000/C24</f>
        <v>-1.1752588064027212E-2</v>
      </c>
      <c r="E24" s="21">
        <v>-1.2378999999999999E-2</v>
      </c>
      <c r="F24" s="19">
        <f t="shared" si="0"/>
        <v>-2.2329958181999999E-4</v>
      </c>
      <c r="G24" s="21">
        <f>-0.000001*212</f>
        <v>-2.12E-4</v>
      </c>
      <c r="H24" s="19"/>
      <c r="I24" s="19">
        <f t="shared" si="1"/>
        <v>-1.8371720322882357E-4</v>
      </c>
      <c r="J24" s="21">
        <v>-1.2378999999999999E-2</v>
      </c>
    </row>
    <row r="25" spans="1:10" x14ac:dyDescent="0.25">
      <c r="A25" s="8" t="s">
        <v>30</v>
      </c>
      <c r="B25" s="22" t="str">
        <f>VLOOKUP(A25,[1]bigg_models_metabolites!A:C,3,FALSE)</f>
        <v>Phosphate</v>
      </c>
      <c r="C25" s="6">
        <v>95.979330000000004</v>
      </c>
      <c r="D25" s="6"/>
      <c r="E25" s="6"/>
      <c r="F25" s="6">
        <f t="shared" si="0"/>
        <v>0</v>
      </c>
      <c r="G25" s="6"/>
      <c r="H25" s="6">
        <v>29.180422745025599</v>
      </c>
      <c r="I25" s="6">
        <f t="shared" si="1"/>
        <v>0</v>
      </c>
      <c r="J25" s="7">
        <f>H25 +1000*(I25/C25)</f>
        <v>29.180422745025599</v>
      </c>
    </row>
    <row r="26" spans="1:10" x14ac:dyDescent="0.25">
      <c r="A26" s="8" t="s">
        <v>31</v>
      </c>
      <c r="B26" s="5" t="str">
        <f>VLOOKUP(A26,[1]bigg_models_metabolites!A:C,3,FALSE)</f>
        <v>Chorismate</v>
      </c>
      <c r="C26" s="6">
        <v>224.17016000000001</v>
      </c>
      <c r="D26" s="6"/>
      <c r="E26" s="7">
        <v>-2.23E-4</v>
      </c>
      <c r="F26" s="6">
        <f t="shared" si="0"/>
        <v>-4.9989945679999999E-5</v>
      </c>
      <c r="G26" s="7"/>
      <c r="H26" s="6"/>
      <c r="I26" s="6">
        <f t="shared" si="1"/>
        <v>0</v>
      </c>
      <c r="J26" s="7">
        <v>-2.23E-4</v>
      </c>
    </row>
    <row r="27" spans="1:10" x14ac:dyDescent="0.25">
      <c r="A27" s="12" t="s">
        <v>32</v>
      </c>
      <c r="B27" s="13" t="str">
        <f>VLOOKUP(A27,[1]bigg_models_metabolites!A:C,3,FALSE)</f>
        <v>Zinc</v>
      </c>
      <c r="C27" s="12">
        <v>65.38</v>
      </c>
      <c r="D27" s="12">
        <f>G27*1000/C27</f>
        <v>-3.9781297102678957E-4</v>
      </c>
      <c r="E27" s="17">
        <v>-3.2400000000000001E-4</v>
      </c>
      <c r="F27" s="12">
        <f t="shared" si="0"/>
        <v>-2.1183119999999999E-5</v>
      </c>
      <c r="G27" s="17">
        <f>-0.000001*26.0090120457315</f>
        <v>-2.6009012045731499E-5</v>
      </c>
      <c r="H27" s="12"/>
      <c r="I27" s="12">
        <f t="shared" si="1"/>
        <v>-2.2539164866917802E-5</v>
      </c>
      <c r="J27" s="18">
        <v>-3.2400000000000001E-4</v>
      </c>
    </row>
    <row r="28" spans="1:10" x14ac:dyDescent="0.25">
      <c r="A28" s="8" t="s">
        <v>33</v>
      </c>
      <c r="B28" s="5" t="str">
        <f>VLOOKUP(A28,[1]bigg_models_metabolites!A:C,3,FALSE)</f>
        <v>Ubiquinol-8</v>
      </c>
      <c r="C28" s="6">
        <v>729.14232000000004</v>
      </c>
      <c r="D28" s="6"/>
      <c r="E28" s="7">
        <v>-2.23E-4</v>
      </c>
      <c r="F28" s="6">
        <f t="shared" si="0"/>
        <v>-1.6259873736000001E-4</v>
      </c>
      <c r="G28" s="7"/>
      <c r="H28" s="6"/>
      <c r="I28" s="6">
        <f t="shared" si="1"/>
        <v>0</v>
      </c>
      <c r="J28" s="7">
        <v>-2.23E-4</v>
      </c>
    </row>
    <row r="29" spans="1:10" x14ac:dyDescent="0.25">
      <c r="A29" s="10" t="s">
        <v>34</v>
      </c>
      <c r="B29" s="5" t="str">
        <f>VLOOKUP(A29,[1]bigg_models_metabolites!A:C,3,FALSE)</f>
        <v>L-Tyrosine</v>
      </c>
      <c r="C29" s="6">
        <v>181.19157000000001</v>
      </c>
      <c r="D29" s="6">
        <v>-0.18385365347238899</v>
      </c>
      <c r="E29" s="6"/>
      <c r="F29" s="6">
        <f t="shared" si="0"/>
        <v>0</v>
      </c>
      <c r="G29" s="6">
        <f>D29*C29/1000</f>
        <v>-3.331273212289812E-2</v>
      </c>
      <c r="H29" s="6"/>
      <c r="I29" s="6">
        <f t="shared" si="1"/>
        <v>-2.8868499894008644E-2</v>
      </c>
      <c r="J29" s="7">
        <f>1000*(I29/C29)</f>
        <v>-0.1593258444308896</v>
      </c>
    </row>
    <row r="30" spans="1:10" x14ac:dyDescent="0.25">
      <c r="A30" s="10" t="s">
        <v>35</v>
      </c>
      <c r="B30" s="5" t="str">
        <f>VLOOKUP(A30,[1]bigg_models_metabolites!A:C,3,FALSE)</f>
        <v>L-Cysteine</v>
      </c>
      <c r="C30" s="6">
        <v>121.15429</v>
      </c>
      <c r="D30" s="6">
        <v>-4.3240979262751E-2</v>
      </c>
      <c r="E30" s="6"/>
      <c r="F30" s="6">
        <f t="shared" si="0"/>
        <v>0</v>
      </c>
      <c r="G30" s="6">
        <f>D30*C30/1000</f>
        <v>-5.2388301414833215E-3</v>
      </c>
      <c r="H30" s="6"/>
      <c r="I30" s="6">
        <f t="shared" si="1"/>
        <v>-4.5399208574725368E-3</v>
      </c>
      <c r="J30" s="7">
        <f>1000*(I30/C30)</f>
        <v>-3.7472225353906465E-2</v>
      </c>
    </row>
    <row r="31" spans="1:10" x14ac:dyDescent="0.25">
      <c r="A31" s="8" t="s">
        <v>36</v>
      </c>
      <c r="B31" s="5" t="str">
        <f>VLOOKUP(A31,[1]bigg_models_metabolites!A:C,3,FALSE)</f>
        <v>S-Adenosyl-L-methionine</v>
      </c>
      <c r="C31" s="6">
        <v>399.44551000000001</v>
      </c>
      <c r="D31" s="6"/>
      <c r="E31" s="6">
        <v>-2.23E-4</v>
      </c>
      <c r="F31" s="6">
        <f t="shared" si="0"/>
        <v>-8.9076348730000008E-5</v>
      </c>
      <c r="G31" s="6"/>
      <c r="H31" s="6"/>
      <c r="I31" s="6">
        <f t="shared" si="1"/>
        <v>0</v>
      </c>
      <c r="J31" s="7">
        <v>-2.23E-4</v>
      </c>
    </row>
    <row r="32" spans="1:10" x14ac:dyDescent="0.25">
      <c r="A32" s="10" t="s">
        <v>37</v>
      </c>
      <c r="B32" s="5" t="str">
        <f>VLOOKUP(A32,[1]bigg_models_metabolites!A:C,3,FALSE)</f>
        <v>L-Tryptophan</v>
      </c>
      <c r="C32" s="6">
        <v>204.22883999999999</v>
      </c>
      <c r="D32" s="6">
        <v>-9.3442937244474999E-2</v>
      </c>
      <c r="E32" s="6"/>
      <c r="F32" s="6">
        <f t="shared" si="0"/>
        <v>0</v>
      </c>
      <c r="G32" s="6">
        <f>D32*C32/1000</f>
        <v>-1.9083742679631924E-2</v>
      </c>
      <c r="H32" s="6"/>
      <c r="I32" s="6">
        <f t="shared" si="1"/>
        <v>-1.6537791661511848E-2</v>
      </c>
      <c r="J32" s="7">
        <f>1000*(I32/C32)</f>
        <v>-8.0976769302082169E-2</v>
      </c>
    </row>
    <row r="33" spans="1:10" x14ac:dyDescent="0.25">
      <c r="A33" s="10" t="s">
        <v>38</v>
      </c>
      <c r="B33" s="5" t="str">
        <f>VLOOKUP(A33,[1]bigg_models_metabolites!A:C,3,FALSE)</f>
        <v>L-Lysine</v>
      </c>
      <c r="C33" s="6">
        <v>147.19775000000001</v>
      </c>
      <c r="D33" s="6">
        <v>-0.29725913146764998</v>
      </c>
      <c r="E33" s="6"/>
      <c r="F33" s="6">
        <f t="shared" si="0"/>
        <v>0</v>
      </c>
      <c r="G33" s="6">
        <f>D33*C33/1000</f>
        <v>-4.3755875318992284E-2</v>
      </c>
      <c r="H33" s="6"/>
      <c r="I33" s="6">
        <f t="shared" si="1"/>
        <v>-3.7918429426577221E-2</v>
      </c>
      <c r="J33" s="7">
        <f>1000*(I33/C33)</f>
        <v>-0.25760196352578224</v>
      </c>
    </row>
    <row r="34" spans="1:10" x14ac:dyDescent="0.25">
      <c r="A34" s="15" t="s">
        <v>39</v>
      </c>
      <c r="B34" s="5" t="str">
        <f>VLOOKUP(A34,[1]bigg_models_metabolites!A:C,3,FALSE)</f>
        <v>ATP C10H12N5O13P3</v>
      </c>
      <c r="C34" s="6">
        <v>503.15262000000001</v>
      </c>
      <c r="D34" s="16">
        <f>1000*(G34/C34)</f>
        <v>-1.183854115675677E-2</v>
      </c>
      <c r="E34" s="16"/>
      <c r="F34" s="6">
        <f t="shared" si="0"/>
        <v>0</v>
      </c>
      <c r="G34" s="16">
        <v>-5.9565929999999996E-3</v>
      </c>
      <c r="H34" s="6">
        <v>-29.180422745025599</v>
      </c>
      <c r="I34" s="6">
        <f t="shared" si="1"/>
        <v>-5.1619273902471117E-3</v>
      </c>
      <c r="J34" s="7">
        <f>H34 +1000*(I34/C34)</f>
        <v>-29.190681913288</v>
      </c>
    </row>
    <row r="35" spans="1:10" x14ac:dyDescent="0.25">
      <c r="A35" s="8" t="s">
        <v>40</v>
      </c>
      <c r="B35" s="5" t="str">
        <f>VLOOKUP(A35,[1]bigg_models_metabolites!A:C,3,FALSE)</f>
        <v>5,6,7,8-Tetrahydrofolate</v>
      </c>
      <c r="C35" s="6">
        <v>443.41967</v>
      </c>
      <c r="D35" s="6"/>
      <c r="E35" s="6">
        <v>-2.23E-4</v>
      </c>
      <c r="F35" s="6">
        <f t="shared" si="0"/>
        <v>-9.8882586410000006E-5</v>
      </c>
      <c r="G35" s="6"/>
      <c r="H35" s="6"/>
      <c r="I35" s="6">
        <f t="shared" si="1"/>
        <v>0</v>
      </c>
      <c r="J35" s="7">
        <v>-2.23E-4</v>
      </c>
    </row>
    <row r="36" spans="1:10" x14ac:dyDescent="0.25">
      <c r="A36" s="15" t="s">
        <v>41</v>
      </c>
      <c r="B36" s="5" t="str">
        <f>VLOOKUP(A36,[1]bigg_models_metabolites!A:C,3,FALSE)</f>
        <v>DTTP C10H13N2O14P3</v>
      </c>
      <c r="C36" s="6">
        <v>478.13988999999998</v>
      </c>
      <c r="D36" s="16">
        <f>1000*(G36/C36)</f>
        <v>-1.5425364321726011E-2</v>
      </c>
      <c r="E36" s="6"/>
      <c r="F36" s="6">
        <f t="shared" si="0"/>
        <v>0</v>
      </c>
      <c r="G36" s="6">
        <v>-7.375482E-3</v>
      </c>
      <c r="H36" s="6"/>
      <c r="I36" s="6">
        <f t="shared" si="1"/>
        <v>-6.3915232335119343E-3</v>
      </c>
      <c r="J36" s="7">
        <f>1000*(I36/C36)</f>
        <v>-1.3367475433835764E-2</v>
      </c>
    </row>
    <row r="37" spans="1:10" x14ac:dyDescent="0.25">
      <c r="A37" s="15" t="s">
        <v>42</v>
      </c>
      <c r="B37" s="5" t="str">
        <f>VLOOKUP(A37,[1]bigg_models_metabolites!A:C,3,FALSE)</f>
        <v>DCTP C9H12N3O13P3</v>
      </c>
      <c r="C37" s="6">
        <v>463.12822</v>
      </c>
      <c r="D37" s="16">
        <f>1000*(G37/C37)</f>
        <v>-1.7885357968469295E-2</v>
      </c>
      <c r="E37" s="6"/>
      <c r="F37" s="6">
        <f t="shared" si="0"/>
        <v>0</v>
      </c>
      <c r="G37" s="6">
        <v>-8.2832140000000005E-3</v>
      </c>
      <c r="H37" s="6"/>
      <c r="I37" s="6">
        <f t="shared" si="1"/>
        <v>-7.1781552350275316E-3</v>
      </c>
      <c r="J37" s="7">
        <f>1000*(I37/C37)</f>
        <v>-1.54992827580827E-2</v>
      </c>
    </row>
    <row r="38" spans="1:10" x14ac:dyDescent="0.25">
      <c r="A38" s="12" t="s">
        <v>43</v>
      </c>
      <c r="B38" s="13" t="str">
        <f>VLOOKUP(A38,[1]bigg_models_metabolites!A:C,3,FALSE)</f>
        <v>Co2+</v>
      </c>
      <c r="C38" s="12">
        <v>58.933199999999999</v>
      </c>
      <c r="D38" s="12">
        <f>G38*1000/C38</f>
        <v>-1.9454800265080466E-4</v>
      </c>
      <c r="E38" s="12">
        <v>-2.4000000000000001E-5</v>
      </c>
      <c r="F38" s="12">
        <f t="shared" si="0"/>
        <v>-1.4143968000000002E-6</v>
      </c>
      <c r="G38" s="12">
        <f>-0.000001*11.4653363498204</f>
        <v>-1.1465336349820401E-5</v>
      </c>
      <c r="H38" s="12"/>
      <c r="I38" s="12">
        <f t="shared" si="1"/>
        <v>-9.9357524918243997E-6</v>
      </c>
      <c r="J38" s="18">
        <v>-2.4000000000000001E-5</v>
      </c>
    </row>
    <row r="39" spans="1:10" x14ac:dyDescent="0.25">
      <c r="A39" s="15" t="s">
        <v>44</v>
      </c>
      <c r="B39" s="5" t="str">
        <f>VLOOKUP(A39,[1]bigg_models_metabolites!A:C,3,FALSE)</f>
        <v>UTP C9H11N2O15P3</v>
      </c>
      <c r="C39" s="6">
        <v>480.11234999999999</v>
      </c>
      <c r="D39" s="16">
        <f>1000*(G39/C39)</f>
        <v>-7.8184595751390282E-3</v>
      </c>
      <c r="E39" s="16"/>
      <c r="F39" s="6">
        <f t="shared" si="0"/>
        <v>0</v>
      </c>
      <c r="G39" s="16">
        <v>-3.7537389999999999E-3</v>
      </c>
      <c r="H39" s="6"/>
      <c r="I39" s="6">
        <f t="shared" si="1"/>
        <v>-3.2529548619384947E-3</v>
      </c>
      <c r="J39" s="7">
        <f>1000*(I39/C39)</f>
        <v>-6.7754034278403683E-3</v>
      </c>
    </row>
    <row r="40" spans="1:10" x14ac:dyDescent="0.25">
      <c r="A40" s="12" t="s">
        <v>45</v>
      </c>
      <c r="B40" s="13" t="str">
        <f>VLOOKUP(A40,[1]bigg_models_metabolites!A:C,3,FALSE)</f>
        <v>Potassium</v>
      </c>
      <c r="C40" s="12">
        <v>39.098300000000002</v>
      </c>
      <c r="D40" s="12">
        <f>G40*1000/C40</f>
        <v>-0.17900323961427606</v>
      </c>
      <c r="E40" s="12">
        <v>-0.18568999999999999</v>
      </c>
      <c r="F40" s="12">
        <f t="shared" si="0"/>
        <v>-7.260163327E-3</v>
      </c>
      <c r="G40" s="12">
        <f>-0.000001*6998.72236341085</f>
        <v>-6.9987223634108498E-3</v>
      </c>
      <c r="H40" s="12"/>
      <c r="I40" s="12">
        <f t="shared" si="1"/>
        <v>-6.0650268810418084E-3</v>
      </c>
      <c r="J40" s="17">
        <v>-0.18568999999999999</v>
      </c>
    </row>
    <row r="41" spans="1:10" x14ac:dyDescent="0.25">
      <c r="A41" s="19" t="s">
        <v>46</v>
      </c>
      <c r="B41" s="20" t="str">
        <f>VLOOKUP(A41,[1]bigg_models_metabolites!A:C,3,FALSE)</f>
        <v>Fe2+ mitochondria</v>
      </c>
      <c r="C41" s="19">
        <v>55.847000000000001</v>
      </c>
      <c r="D41" s="12">
        <f>G41*1000/C41</f>
        <v>-8.8084198385084151E-3</v>
      </c>
      <c r="E41" s="19">
        <v>-6.3879999999999996E-3</v>
      </c>
      <c r="F41" s="19">
        <f t="shared" si="0"/>
        <v>-3.5675063600000003E-4</v>
      </c>
      <c r="G41" s="19">
        <f>-0.000001*1069.39961461126*0.46</f>
        <v>-4.919238227211795E-4</v>
      </c>
      <c r="H41" s="19"/>
      <c r="I41" s="19">
        <f t="shared" si="1"/>
        <v>-4.2629655147154107E-4</v>
      </c>
      <c r="J41" s="21">
        <v>-6.3879999999999996E-3</v>
      </c>
    </row>
    <row r="42" spans="1:10" x14ac:dyDescent="0.25">
      <c r="A42" s="15" t="s">
        <v>47</v>
      </c>
      <c r="B42" s="5" t="str">
        <f>VLOOKUP(A42,[1]bigg_models_metabolites!A:C,3,FALSE)</f>
        <v>DATP C10H12N5O12P3</v>
      </c>
      <c r="C42" s="6">
        <v>487.15321999999998</v>
      </c>
      <c r="D42" s="16">
        <f>1000*(G42/C42)</f>
        <v>-1.7116479287563779E-2</v>
      </c>
      <c r="E42" s="16"/>
      <c r="F42" s="6">
        <f t="shared" si="0"/>
        <v>0</v>
      </c>
      <c r="G42" s="16">
        <v>-8.3383480000000006E-3</v>
      </c>
      <c r="H42" s="6"/>
      <c r="I42" s="6">
        <f t="shared" si="1"/>
        <v>-7.2259338401351632E-3</v>
      </c>
      <c r="J42" s="7">
        <f>1000*(I42/C42)</f>
        <v>-1.4832979735072188E-2</v>
      </c>
    </row>
    <row r="43" spans="1:10" x14ac:dyDescent="0.25">
      <c r="A43" s="8" t="s">
        <v>48</v>
      </c>
      <c r="B43" s="5" t="str">
        <f>VLOOKUP(A43,[1]bigg_models_metabolites!A:C,3,FALSE)</f>
        <v>Diphosphate</v>
      </c>
      <c r="C43" s="6">
        <v>174.95129</v>
      </c>
      <c r="D43" s="6"/>
      <c r="E43" s="7"/>
      <c r="F43" s="6">
        <f t="shared" si="0"/>
        <v>0</v>
      </c>
      <c r="G43" s="7"/>
      <c r="H43" s="23"/>
      <c r="I43" s="6">
        <f t="shared" si="1"/>
        <v>0</v>
      </c>
      <c r="J43" s="24">
        <v>0.110381072928369</v>
      </c>
    </row>
    <row r="44" spans="1:10" ht="26.25" x14ac:dyDescent="0.25">
      <c r="A44" s="8" t="s">
        <v>49</v>
      </c>
      <c r="B44" s="5" t="str">
        <f>VLOOKUP(A44,[1]bigg_models_metabolites!A:C,3,FALSE)</f>
        <v>Nicotinamide adenine dinucleotide phosphate</v>
      </c>
      <c r="C44" s="6">
        <v>740.38823000000002</v>
      </c>
      <c r="D44" s="6"/>
      <c r="E44" s="6">
        <v>-1.12E-4</v>
      </c>
      <c r="F44" s="6">
        <f t="shared" si="0"/>
        <v>-8.2923481759999995E-5</v>
      </c>
      <c r="G44" s="6"/>
      <c r="H44" s="6"/>
      <c r="I44" s="6">
        <f t="shared" si="1"/>
        <v>0</v>
      </c>
      <c r="J44" s="7">
        <v>-1.12E-4</v>
      </c>
    </row>
    <row r="45" spans="1:10" x14ac:dyDescent="0.25">
      <c r="A45" s="10" t="s">
        <v>50</v>
      </c>
      <c r="B45" s="5" t="str">
        <f>VLOOKUP(A45,[1]bigg_models_metabolites!A:C,3,FALSE)</f>
        <v>L-Glutamate</v>
      </c>
      <c r="C45" s="6">
        <v>146.12306000000001</v>
      </c>
      <c r="D45" s="6">
        <v>-0.31770555080775298</v>
      </c>
      <c r="E45" s="6"/>
      <c r="F45" s="6">
        <f t="shared" si="0"/>
        <v>0</v>
      </c>
      <c r="G45" s="6">
        <f>D45*C45/1000</f>
        <v>-4.6424107263014339E-2</v>
      </c>
      <c r="H45" s="6"/>
      <c r="I45" s="6">
        <f t="shared" si="1"/>
        <v>-4.023069409790523E-2</v>
      </c>
      <c r="J45" s="7">
        <f>1000*(I45/C45)</f>
        <v>-0.27532063794657202</v>
      </c>
    </row>
    <row r="46" spans="1:10" x14ac:dyDescent="0.25">
      <c r="A46" s="25" t="s">
        <v>51</v>
      </c>
      <c r="B46" s="26" t="str">
        <f>VLOOKUP(A46,[1]bigg_models_metabolites!A:C,3,FALSE)</f>
        <v>Spermidine</v>
      </c>
      <c r="C46" s="27">
        <v>148.27243999999999</v>
      </c>
      <c r="D46" s="27"/>
      <c r="E46" s="27">
        <v>-6.744E-3</v>
      </c>
      <c r="F46" s="27">
        <f t="shared" si="0"/>
        <v>-9.9994933535999995E-4</v>
      </c>
      <c r="G46" s="27"/>
      <c r="H46" s="27"/>
      <c r="I46" s="27">
        <f t="shared" si="1"/>
        <v>0</v>
      </c>
      <c r="J46" s="18">
        <v>-6.744E-3</v>
      </c>
    </row>
    <row r="47" spans="1:10" x14ac:dyDescent="0.25">
      <c r="A47" s="10" t="s">
        <v>52</v>
      </c>
      <c r="B47" s="5" t="str">
        <f>VLOOKUP(A47,[1]bigg_models_metabolites!A:C,3,FALSE)</f>
        <v>L-Isoleucine</v>
      </c>
      <c r="C47" s="6">
        <v>131.17510999999999</v>
      </c>
      <c r="D47" s="6">
        <v>-0.28279133428374797</v>
      </c>
      <c r="E47" s="6"/>
      <c r="F47" s="6">
        <f t="shared" si="0"/>
        <v>0</v>
      </c>
      <c r="G47" s="6">
        <f>D47*C47/1000</f>
        <v>-3.7095184381717411E-2</v>
      </c>
      <c r="H47" s="6"/>
      <c r="I47" s="6">
        <f t="shared" si="1"/>
        <v>-3.2146337395597448E-2</v>
      </c>
      <c r="J47" s="7">
        <f>1000*(I47/C47)</f>
        <v>-0.24506430675451657</v>
      </c>
    </row>
    <row r="48" spans="1:10" x14ac:dyDescent="0.25">
      <c r="A48" s="8" t="s">
        <v>53</v>
      </c>
      <c r="B48" s="5" t="str">
        <f>VLOOKUP(A48,[1]bigg_models_metabolites!A:C,3,FALSE)</f>
        <v>Heme O C49H56FeN4O5</v>
      </c>
      <c r="C48" s="6">
        <v>836.85612000000003</v>
      </c>
      <c r="D48" s="6"/>
      <c r="E48" s="7">
        <v>-2.23E-4</v>
      </c>
      <c r="F48" s="6">
        <f t="shared" si="0"/>
        <v>-1.8661891476E-4</v>
      </c>
      <c r="G48" s="6"/>
      <c r="H48" s="6"/>
      <c r="I48" s="6">
        <f t="shared" si="1"/>
        <v>0</v>
      </c>
      <c r="J48" s="7">
        <v>-2.23E-4</v>
      </c>
    </row>
    <row r="49" spans="1:10" ht="51.75" x14ac:dyDescent="0.25">
      <c r="A49" s="8" t="s">
        <v>54</v>
      </c>
      <c r="B49" s="5" t="str">
        <f>VLOOKUP(A49,[1]bigg_models_metabolites!A:C,3,FALSE)</f>
        <v>Two linked disacharide tetrapeptide murein units (uncrosslinked, middle of chain)</v>
      </c>
      <c r="C49" s="6">
        <v>1839.7923800000001</v>
      </c>
      <c r="D49" s="6"/>
      <c r="E49" s="6">
        <v>-5.3810000000000004E-3</v>
      </c>
      <c r="F49" s="6">
        <f t="shared" si="0"/>
        <v>-9.8999227967799999E-3</v>
      </c>
      <c r="G49" s="6"/>
      <c r="H49" s="6"/>
      <c r="I49" s="6">
        <f t="shared" si="1"/>
        <v>0</v>
      </c>
      <c r="J49" s="7">
        <v>-5.3810000000000004E-3</v>
      </c>
    </row>
    <row r="50" spans="1:10" x14ac:dyDescent="0.25">
      <c r="A50" s="10" t="s">
        <v>55</v>
      </c>
      <c r="B50" s="5" t="str">
        <f>VLOOKUP(A50,[1]bigg_models_metabolites!A:C,3,FALSE)</f>
        <v>L-Glutamine</v>
      </c>
      <c r="C50" s="6">
        <v>146.1463</v>
      </c>
      <c r="D50" s="6">
        <v>-0.31770555080775298</v>
      </c>
      <c r="E50" s="6"/>
      <c r="F50" s="6">
        <f t="shared" si="0"/>
        <v>0</v>
      </c>
      <c r="G50" s="6">
        <f>D50*C50/1000</f>
        <v>-4.6431490740015111E-2</v>
      </c>
      <c r="H50" s="6"/>
      <c r="I50" s="6">
        <f t="shared" si="1"/>
        <v>-4.023709254953111E-2</v>
      </c>
      <c r="J50" s="7">
        <f>1000*(I50/C50)</f>
        <v>-0.27532063794657208</v>
      </c>
    </row>
    <row r="51" spans="1:10" x14ac:dyDescent="0.25">
      <c r="A51" s="19" t="s">
        <v>56</v>
      </c>
      <c r="B51" s="20" t="str">
        <f>VLOOKUP(A51,[1]bigg_models_metabolites!A:C,3,FALSE)</f>
        <v>Iron (Fe3+)</v>
      </c>
      <c r="C51" s="19">
        <v>55.847000000000001</v>
      </c>
      <c r="D51" s="12">
        <f>G51*1000/C51</f>
        <v>-1.0340318940857707E-2</v>
      </c>
      <c r="E51" s="19">
        <v>-7.4279999999999997E-3</v>
      </c>
      <c r="F51" s="19">
        <f t="shared" si="0"/>
        <v>-4.14831516E-4</v>
      </c>
      <c r="G51" s="19">
        <f>-0.000001*1069.39961461126*0.54</f>
        <v>-5.7747579189008035E-4</v>
      </c>
      <c r="H51" s="19"/>
      <c r="I51" s="19">
        <f t="shared" si="1"/>
        <v>-5.0043508216224394E-4</v>
      </c>
      <c r="J51" s="21">
        <v>-7.4279999999999997E-3</v>
      </c>
    </row>
    <row r="52" spans="1:10" ht="26.25" x14ac:dyDescent="0.25">
      <c r="A52" s="8" t="s">
        <v>57</v>
      </c>
      <c r="B52" s="5" t="str">
        <f>VLOOKUP(A52,[1]bigg_models_metabolites!A:C,3,FALSE)</f>
        <v>Molybdopterin cytosine dinucleotide</v>
      </c>
      <c r="C52" s="6">
        <v>824.43646000000001</v>
      </c>
      <c r="D52" s="6"/>
      <c r="E52" s="6">
        <v>-6.9999999999999999E-6</v>
      </c>
      <c r="F52" s="6">
        <f t="shared" si="0"/>
        <v>-5.7710552199999995E-6</v>
      </c>
      <c r="G52" s="6"/>
      <c r="H52" s="6"/>
      <c r="I52" s="6">
        <f t="shared" si="1"/>
        <v>0</v>
      </c>
      <c r="J52" s="7">
        <v>-6.9999999999999999E-6</v>
      </c>
    </row>
    <row r="53" spans="1:10" x14ac:dyDescent="0.25">
      <c r="A53" s="10" t="s">
        <v>58</v>
      </c>
      <c r="B53" s="5" t="str">
        <f>VLOOKUP(A53,[1]bigg_models_metabolites!A:C,3,FALSE)</f>
        <v>L-Alanine</v>
      </c>
      <c r="C53" s="6">
        <v>89.094290000000001</v>
      </c>
      <c r="D53" s="6">
        <v>-0.94262773661011401</v>
      </c>
      <c r="E53" s="6"/>
      <c r="F53" s="6">
        <f t="shared" si="0"/>
        <v>0</v>
      </c>
      <c r="G53" s="6">
        <f>D53*C53/1000</f>
        <v>-8.3982748927585116E-2</v>
      </c>
      <c r="H53" s="6"/>
      <c r="I53" s="6">
        <f t="shared" si="1"/>
        <v>-7.2778659209643479E-2</v>
      </c>
      <c r="J53" s="7">
        <f>1000*(I53/C53)</f>
        <v>-0.81687231818833139</v>
      </c>
    </row>
    <row r="54" spans="1:10" x14ac:dyDescent="0.25">
      <c r="A54" s="10" t="s">
        <v>59</v>
      </c>
      <c r="B54" s="5" t="str">
        <f>VLOOKUP(A54,[1]bigg_models_metabolites!A:C,3,FALSE)</f>
        <v>L-Phenylalanine</v>
      </c>
      <c r="C54" s="6">
        <v>165.19217</v>
      </c>
      <c r="D54" s="6">
        <v>-0.26363377300833202</v>
      </c>
      <c r="E54" s="6"/>
      <c r="F54" s="6">
        <f t="shared" si="0"/>
        <v>0</v>
      </c>
      <c r="G54" s="6">
        <f>D54*C54/1000</f>
        <v>-4.3550235048533795E-2</v>
      </c>
      <c r="H54" s="6"/>
      <c r="I54" s="6">
        <f t="shared" si="1"/>
        <v>-3.7740223505068483E-2</v>
      </c>
      <c r="J54" s="7">
        <f>1000*(I54/C54)</f>
        <v>-0.22846254459317583</v>
      </c>
    </row>
    <row r="55" spans="1:10" ht="39" x14ac:dyDescent="0.25">
      <c r="A55" s="8" t="s">
        <v>60</v>
      </c>
      <c r="B55" s="5" t="str">
        <f>VLOOKUP(A55,[1]bigg_models_metabolites!A:C,3,FALSE)</f>
        <v>5,10-Methylenetetrahydrofolate</v>
      </c>
      <c r="C55" s="6">
        <v>455.43067000000002</v>
      </c>
      <c r="D55" s="6"/>
      <c r="E55" s="7">
        <v>-2.23E-4</v>
      </c>
      <c r="F55" s="6">
        <f t="shared" si="0"/>
        <v>-1.0156103941E-4</v>
      </c>
      <c r="G55" s="6"/>
      <c r="H55" s="6"/>
      <c r="I55" s="6">
        <f t="shared" si="1"/>
        <v>0</v>
      </c>
      <c r="J55" s="7">
        <v>-2.23E-4</v>
      </c>
    </row>
    <row r="56" spans="1:10" x14ac:dyDescent="0.25">
      <c r="A56" s="8" t="s">
        <v>61</v>
      </c>
      <c r="B56" s="5" t="str">
        <f>VLOOKUP(A56,[1]bigg_models_metabolites!A:C,3,FALSE)</f>
        <v>2-Demethylmenaquinol 8</v>
      </c>
      <c r="C56" s="6">
        <v>705.12264000000005</v>
      </c>
      <c r="D56" s="6"/>
      <c r="E56" s="7">
        <v>-2.23E-4</v>
      </c>
      <c r="F56" s="6">
        <f t="shared" si="0"/>
        <v>-1.5724234872000002E-4</v>
      </c>
      <c r="G56" s="6"/>
      <c r="H56" s="6"/>
      <c r="I56" s="6">
        <f t="shared" si="1"/>
        <v>0</v>
      </c>
      <c r="J56" s="7">
        <v>-2.23E-4</v>
      </c>
    </row>
    <row r="57" spans="1:10" x14ac:dyDescent="0.25">
      <c r="A57" s="12" t="s">
        <v>62</v>
      </c>
      <c r="B57" s="13" t="str">
        <f>VLOOKUP(A57,[1]bigg_models_metabolites!A:C,3,FALSE)</f>
        <v>Copper</v>
      </c>
      <c r="C57" s="12">
        <v>63.545999999999999</v>
      </c>
      <c r="D57" s="12">
        <f>G57*1000/C57</f>
        <v>-3.949310606199367E-5</v>
      </c>
      <c r="E57" s="17">
        <v>-6.7400000000000001E-4</v>
      </c>
      <c r="F57" s="12">
        <f t="shared" si="0"/>
        <v>-4.2830003999999999E-5</v>
      </c>
      <c r="G57" s="12">
        <f>-0.000001*2.50962891781545</f>
        <v>-2.5096289178154499E-6</v>
      </c>
      <c r="H57" s="12"/>
      <c r="I57" s="12">
        <f t="shared" si="1"/>
        <v>-2.1748207826567619E-6</v>
      </c>
      <c r="J57" s="17">
        <v>-6.744E-3</v>
      </c>
    </row>
    <row r="58" spans="1:10" x14ac:dyDescent="0.25">
      <c r="A58" s="8" t="s">
        <v>63</v>
      </c>
      <c r="B58" s="5" t="str">
        <f>VLOOKUP(A58,[1]bigg_models_metabolites!A:C,3,FALSE)</f>
        <v>H2O H2O</v>
      </c>
      <c r="C58" s="6">
        <v>18.015339999999998</v>
      </c>
      <c r="D58" s="28"/>
      <c r="E58" s="28"/>
      <c r="F58" s="6">
        <f t="shared" si="0"/>
        <v>0</v>
      </c>
      <c r="G58" s="6"/>
      <c r="H58" s="6">
        <v>-29.180422745025599</v>
      </c>
      <c r="I58" s="6">
        <f t="shared" si="1"/>
        <v>0</v>
      </c>
      <c r="J58" s="7">
        <f>H58 +1000*(I58/C58)</f>
        <v>-29.180422745025599</v>
      </c>
    </row>
    <row r="59" spans="1:10" x14ac:dyDescent="0.25">
      <c r="A59" s="12" t="s">
        <v>64</v>
      </c>
      <c r="B59" s="13" t="str">
        <f>VLOOKUP(A59,[1]bigg_models_metabolites!A:C,3,FALSE)</f>
        <v>Calcium</v>
      </c>
      <c r="C59" s="12">
        <v>40.08</v>
      </c>
      <c r="D59" s="12">
        <f>G59*1000/C59</f>
        <v>-3.2918494931894714E-2</v>
      </c>
      <c r="E59" s="17">
        <v>-4.9519999999999998E-3</v>
      </c>
      <c r="F59" s="12">
        <f t="shared" si="0"/>
        <v>-1.9847615999999999E-4</v>
      </c>
      <c r="G59" s="12">
        <f>-0.000001*1319.37327687034</f>
        <v>-1.31937327687034E-3</v>
      </c>
      <c r="H59" s="12"/>
      <c r="I59" s="12">
        <f t="shared" si="1"/>
        <v>-1.1433564549125808E-3</v>
      </c>
      <c r="J59" s="17">
        <v>-4.9519999999999998E-3</v>
      </c>
    </row>
    <row r="60" spans="1:10" x14ac:dyDescent="0.25">
      <c r="A60" s="10" t="s">
        <v>65</v>
      </c>
      <c r="B60" s="5" t="str">
        <f>VLOOKUP(A60,[1]bigg_models_metabolites!A:C,3,FALSE)</f>
        <v>Glycine</v>
      </c>
      <c r="C60" s="6">
        <v>75.067350000000005</v>
      </c>
      <c r="D60" s="6">
        <v>-0.73617928559759904</v>
      </c>
      <c r="E60" s="6"/>
      <c r="F60" s="6">
        <f t="shared" si="0"/>
        <v>0</v>
      </c>
      <c r="G60" s="6">
        <f>D60*C60/1000</f>
        <v>-5.526302809470493E-2</v>
      </c>
      <c r="H60" s="6"/>
      <c r="I60" s="6">
        <f t="shared" si="1"/>
        <v>-4.789041963922213E-2</v>
      </c>
      <c r="J60" s="7">
        <f>1000*(I60/C60)</f>
        <v>-0.63796603502351057</v>
      </c>
    </row>
    <row r="61" spans="1:10" ht="26.25" x14ac:dyDescent="0.25">
      <c r="A61" s="8" t="s">
        <v>66</v>
      </c>
      <c r="B61" s="5" t="str">
        <f>VLOOKUP(A61,[1]bigg_models_metabolites!A:C,3,FALSE)</f>
        <v>Malonyl CoA C24H33N7O19P3S</v>
      </c>
      <c r="C61" s="6">
        <v>848.54378999999994</v>
      </c>
      <c r="D61" s="6"/>
      <c r="E61" s="7">
        <v>-3.1000000000000001E-5</v>
      </c>
      <c r="F61" s="6">
        <f t="shared" si="0"/>
        <v>-2.630485749E-5</v>
      </c>
      <c r="G61" s="6"/>
      <c r="H61" s="6"/>
      <c r="I61" s="6">
        <f t="shared" si="1"/>
        <v>0</v>
      </c>
      <c r="J61" s="7">
        <v>-3.1000000000000001E-5</v>
      </c>
    </row>
    <row r="62" spans="1:10" ht="64.5" x14ac:dyDescent="0.25">
      <c r="A62" s="8" t="s">
        <v>67</v>
      </c>
      <c r="B62" s="5" t="str">
        <f>VLOOKUP(A62,[1]bigg_models_metabolites!A:C,3,FALSE)</f>
        <v>Two disacharide linked murein units, tetrapeptide corsslinked tetrapeptide (A2pm-&gt;D-ala) (middle of chain)</v>
      </c>
      <c r="C62" s="6">
        <v>1821.7770399999999</v>
      </c>
      <c r="D62" s="6"/>
      <c r="E62" s="7">
        <v>-5.4479999999999997E-3</v>
      </c>
      <c r="F62" s="6">
        <f t="shared" si="0"/>
        <v>-9.9250413139200001E-3</v>
      </c>
      <c r="G62" s="6"/>
      <c r="H62" s="6"/>
      <c r="I62" s="6">
        <f t="shared" si="1"/>
        <v>0</v>
      </c>
      <c r="J62" s="7">
        <v>-5.4479999999999997E-3</v>
      </c>
    </row>
    <row r="63" spans="1:10" x14ac:dyDescent="0.25">
      <c r="A63" s="8" t="s">
        <v>68</v>
      </c>
      <c r="B63" s="5" t="str">
        <f>VLOOKUP(A63,[1]bigg_models_metabolites!A:C,3,FALSE)</f>
        <v>Menaquinol 8</v>
      </c>
      <c r="C63" s="6">
        <v>719.14958000000001</v>
      </c>
      <c r="D63" s="6"/>
      <c r="E63" s="7">
        <v>-2.23E-4</v>
      </c>
      <c r="F63" s="6">
        <f t="shared" si="0"/>
        <v>-1.6037035634E-4</v>
      </c>
      <c r="G63" s="6"/>
      <c r="H63" s="6"/>
      <c r="I63" s="6">
        <f t="shared" si="1"/>
        <v>0</v>
      </c>
      <c r="J63" s="7">
        <v>-2.23E-4</v>
      </c>
    </row>
    <row r="64" spans="1:10" x14ac:dyDescent="0.25">
      <c r="A64" s="12" t="s">
        <v>69</v>
      </c>
      <c r="B64" s="13" t="str">
        <f>VLOOKUP(A64,[1]bigg_models_metabolites!A:C,3,FALSE)</f>
        <v>Chloride</v>
      </c>
      <c r="C64" s="12">
        <v>35.453000000000003</v>
      </c>
      <c r="D64" s="12">
        <f>G64*1000/C64</f>
        <v>-2.9334612021549656E-3</v>
      </c>
      <c r="E64" s="17">
        <v>-4.9519999999999998E-3</v>
      </c>
      <c r="F64" s="12">
        <f t="shared" si="0"/>
        <v>-1.7556325600000001E-4</v>
      </c>
      <c r="G64" s="12">
        <f>-0.000001*104</f>
        <v>-1.0399999999999999E-4</v>
      </c>
      <c r="H64" s="12"/>
      <c r="I64" s="12">
        <f t="shared" si="1"/>
        <v>-9.0125420451875703E-5</v>
      </c>
      <c r="J64" s="17">
        <v>-4.9519999999999998E-3</v>
      </c>
    </row>
    <row r="65" spans="1:10" x14ac:dyDescent="0.25">
      <c r="A65" s="10" t="s">
        <v>70</v>
      </c>
      <c r="B65" s="5" t="str">
        <f>VLOOKUP(A65,[1]bigg_models_metabolites!A:C,3,FALSE)</f>
        <v>L-Histidine</v>
      </c>
      <c r="C65" s="6">
        <v>155.15663000000001</v>
      </c>
      <c r="D65" s="6">
        <v>-0.107919481566478</v>
      </c>
      <c r="E65" s="6"/>
      <c r="F65" s="6">
        <f t="shared" si="0"/>
        <v>0</v>
      </c>
      <c r="G65" s="6">
        <f>D65*C65/1000</f>
        <v>-1.6744423071201848E-2</v>
      </c>
      <c r="H65" s="6"/>
      <c r="I65" s="6">
        <f t="shared" si="1"/>
        <v>-1.4510559322270716E-2</v>
      </c>
      <c r="J65" s="7">
        <f>1000*(I65/C65)</f>
        <v>-9.3522006260839216E-2</v>
      </c>
    </row>
    <row r="66" spans="1:10" ht="26.25" x14ac:dyDescent="0.25">
      <c r="A66" s="25" t="s">
        <v>71</v>
      </c>
      <c r="B66" s="26" t="str">
        <f>VLOOKUP(A66,[1]bigg_models_metabolites!A:C,3,FALSE)</f>
        <v>[2Fe-2S] iron-sulfur cluster</v>
      </c>
      <c r="C66" s="27">
        <v>175.81399999999999</v>
      </c>
      <c r="D66" s="27"/>
      <c r="E66" s="18">
        <v>-2.5000000000000001E-5</v>
      </c>
      <c r="F66" s="27">
        <f t="shared" ref="F66:F116" si="2">C66*E66/1000</f>
        <v>-4.3953500000000002E-6</v>
      </c>
      <c r="G66" s="27"/>
      <c r="H66" s="27"/>
      <c r="I66" s="27">
        <f t="shared" ref="I66:I108" si="3">G66/1.15394745986825</f>
        <v>0</v>
      </c>
      <c r="J66" s="18">
        <v>-2.5000000000000001E-5</v>
      </c>
    </row>
    <row r="67" spans="1:10" x14ac:dyDescent="0.25">
      <c r="A67" s="12" t="s">
        <v>72</v>
      </c>
      <c r="B67" s="13" t="str">
        <f>VLOOKUP(A67,[1]bigg_models_metabolites!A:C,3,FALSE)</f>
        <v>Riboflavin C17H20N4O6</v>
      </c>
      <c r="C67" s="12">
        <v>376.36959999999999</v>
      </c>
      <c r="D67" s="12">
        <f>G67*1000/C67</f>
        <v>-6.2651181179351368E-5</v>
      </c>
      <c r="E67" s="17">
        <v>-2.23E-4</v>
      </c>
      <c r="F67" s="12">
        <f t="shared" si="2"/>
        <v>-8.3930420800000006E-5</v>
      </c>
      <c r="G67" s="12">
        <v>-2.3580000000000001E-5</v>
      </c>
      <c r="H67" s="12"/>
      <c r="I67" s="12">
        <f t="shared" si="3"/>
        <v>-2.0434205906300282E-5</v>
      </c>
      <c r="J67" s="17">
        <v>-2.23E-4</v>
      </c>
    </row>
    <row r="68" spans="1:10" x14ac:dyDescent="0.25">
      <c r="A68" s="8" t="s">
        <v>73</v>
      </c>
      <c r="B68" s="5" t="str">
        <f>VLOOKUP(A68,[1]bigg_models_metabolites!A:C,3,FALSE)</f>
        <v>Sulfate</v>
      </c>
      <c r="C68" s="6">
        <v>96.057599999999994</v>
      </c>
      <c r="D68" s="6"/>
      <c r="E68" s="28">
        <v>-4.1260000000000003E-3</v>
      </c>
      <c r="F68" s="6">
        <f t="shared" si="2"/>
        <v>-3.9633365760000002E-4</v>
      </c>
      <c r="G68" s="6"/>
      <c r="H68" s="6"/>
      <c r="I68" s="6">
        <f t="shared" si="3"/>
        <v>0</v>
      </c>
      <c r="J68" s="7">
        <v>-4.1260000000000003E-3</v>
      </c>
    </row>
    <row r="69" spans="1:10" x14ac:dyDescent="0.25">
      <c r="A69" s="12" t="s">
        <v>74</v>
      </c>
      <c r="B69" s="13" t="str">
        <f>VLOOKUP(A69,[1]bigg_models_metabolites!A:C,3,FALSE)</f>
        <v>Putrescine</v>
      </c>
      <c r="C69" s="12">
        <v>90.168980000000005</v>
      </c>
      <c r="D69" s="12">
        <f>G69*1000/C69</f>
        <v>-3.2161836587260937E-3</v>
      </c>
      <c r="E69" s="12">
        <v>-3.3270000000000001E-2</v>
      </c>
      <c r="F69" s="12">
        <f t="shared" si="2"/>
        <v>-2.9999219646000006E-3</v>
      </c>
      <c r="G69" s="12">
        <f>-0.000001*290</f>
        <v>-2.9E-4</v>
      </c>
      <c r="H69" s="12"/>
      <c r="I69" s="12">
        <f t="shared" si="3"/>
        <v>-2.5131126856773033E-4</v>
      </c>
      <c r="J69" s="17">
        <v>-3.3270000000000001E-2</v>
      </c>
    </row>
    <row r="70" spans="1:10" x14ac:dyDescent="0.25">
      <c r="A70" s="15" t="s">
        <v>75</v>
      </c>
      <c r="B70" s="5" t="str">
        <f>VLOOKUP(A70,[1]bigg_models_metabolites!A:C,3,FALSE)</f>
        <v>GTP C10H12N5O14P3</v>
      </c>
      <c r="C70" s="6">
        <v>519.15201999999999</v>
      </c>
      <c r="D70" s="16">
        <f>1000*(G70/C70)</f>
        <v>-1.9144174764070068E-2</v>
      </c>
      <c r="E70" s="6"/>
      <c r="F70" s="6">
        <f t="shared" si="2"/>
        <v>0</v>
      </c>
      <c r="G70" s="6">
        <v>-9.9387369999999996E-3</v>
      </c>
      <c r="H70" s="6"/>
      <c r="I70" s="6">
        <f t="shared" si="3"/>
        <v>-8.6128158739001322E-3</v>
      </c>
      <c r="J70" s="7">
        <f>1000*(I70/C70)</f>
        <v>-1.6590161536692339E-2</v>
      </c>
    </row>
    <row r="71" spans="1:10" x14ac:dyDescent="0.25">
      <c r="A71" s="29" t="s">
        <v>76</v>
      </c>
      <c r="B71" s="5" t="str">
        <f>VLOOKUP(A71,[1]bigg_models_metabolites!A:C,3,FALSE)</f>
        <v>Biotin</v>
      </c>
      <c r="C71" s="6">
        <v>243.30115000000001</v>
      </c>
      <c r="D71" s="6"/>
      <c r="E71" s="6"/>
      <c r="F71" s="6">
        <f t="shared" si="2"/>
        <v>0</v>
      </c>
      <c r="G71" s="6">
        <v>-3.2047116397200199E-8</v>
      </c>
      <c r="H71" s="6"/>
      <c r="I71" s="6">
        <f t="shared" si="3"/>
        <v>-2.7771729226614118E-8</v>
      </c>
      <c r="J71" s="7">
        <f>1000*(I71/C71)</f>
        <v>-1.1414549099588767E-7</v>
      </c>
    </row>
    <row r="72" spans="1:10" ht="26.25" x14ac:dyDescent="0.25">
      <c r="A72" s="8" t="s">
        <v>77</v>
      </c>
      <c r="B72" s="5" t="str">
        <f>VLOOKUP(A72,[1]bigg_models_metabolites!A:C,3,FALSE)</f>
        <v>Protoheme C34H30FeN4O4</v>
      </c>
      <c r="C72" s="6">
        <v>614.48450000000003</v>
      </c>
      <c r="D72" s="6"/>
      <c r="E72" s="6">
        <v>-2.23E-4</v>
      </c>
      <c r="F72" s="6">
        <f t="shared" si="2"/>
        <v>-1.370300435E-4</v>
      </c>
      <c r="G72" s="6"/>
      <c r="H72" s="6"/>
      <c r="I72" s="6">
        <f t="shared" si="3"/>
        <v>0</v>
      </c>
      <c r="J72" s="7">
        <v>-2.23E-4</v>
      </c>
    </row>
    <row r="73" spans="1:10" ht="39" x14ac:dyDescent="0.25">
      <c r="A73" s="8" t="s">
        <v>78</v>
      </c>
      <c r="B73" s="5" t="str">
        <f>VLOOKUP(A73,[1]bigg_models_metabolites!A:C,3,FALSE)</f>
        <v>Nicotinamide adenine dinucleotide phosphate - reduced</v>
      </c>
      <c r="C73" s="6">
        <v>741.39620000000002</v>
      </c>
      <c r="D73" s="6"/>
      <c r="E73" s="6">
        <v>-3.3500000000000001E-4</v>
      </c>
      <c r="F73" s="6">
        <f t="shared" si="2"/>
        <v>-2.4836772700000001E-4</v>
      </c>
      <c r="G73" s="6"/>
      <c r="H73" s="6"/>
      <c r="I73" s="6">
        <f t="shared" si="3"/>
        <v>0</v>
      </c>
      <c r="J73" s="7">
        <v>-3.3500000000000001E-4</v>
      </c>
    </row>
    <row r="74" spans="1:10" x14ac:dyDescent="0.25">
      <c r="A74" s="10" t="s">
        <v>79</v>
      </c>
      <c r="B74" s="5" t="str">
        <f>VLOOKUP(A74,[1]bigg_models_metabolites!A:C,3,FALSE)</f>
        <v>L-Valine</v>
      </c>
      <c r="C74" s="6">
        <v>117.14816999999999</v>
      </c>
      <c r="D74" s="6">
        <v>-0.47411981673554199</v>
      </c>
      <c r="E74" s="6"/>
      <c r="F74" s="6">
        <f t="shared" si="2"/>
        <v>0</v>
      </c>
      <c r="G74" s="6">
        <f>D74*C74/1000</f>
        <v>-5.5542268891304113E-2</v>
      </c>
      <c r="H74" s="6"/>
      <c r="I74" s="6">
        <f t="shared" si="3"/>
        <v>-4.8132407083460768E-2</v>
      </c>
      <c r="J74" s="7">
        <f>1000*(I74/C74)</f>
        <v>-0.41086776757554788</v>
      </c>
    </row>
    <row r="75" spans="1:10" x14ac:dyDescent="0.25">
      <c r="A75" s="10" t="s">
        <v>80</v>
      </c>
      <c r="B75" s="5" t="str">
        <f>VLOOKUP(A75,[1]bigg_models_metabolites!A:C,3,FALSE)</f>
        <v>L-Proline</v>
      </c>
      <c r="C75" s="6">
        <v>115.13223000000001</v>
      </c>
      <c r="D75" s="6">
        <v>-0.333624465299863</v>
      </c>
      <c r="E75" s="6"/>
      <c r="F75" s="6">
        <f t="shared" si="2"/>
        <v>0</v>
      </c>
      <c r="G75" s="6">
        <f>D75*C75/1000</f>
        <v>-3.8410928672530847E-2</v>
      </c>
      <c r="H75" s="6"/>
      <c r="I75" s="6">
        <f t="shared" si="3"/>
        <v>-3.3286549005373561E-2</v>
      </c>
      <c r="J75" s="7">
        <f>1000*(I75/C75)</f>
        <v>-0.28911581930944585</v>
      </c>
    </row>
    <row r="76" spans="1:10" x14ac:dyDescent="0.25">
      <c r="A76" s="12" t="s">
        <v>81</v>
      </c>
      <c r="B76" s="13" t="str">
        <f>VLOOKUP(A76,[1]bigg_models_metabolites!A:C,3,FALSE)</f>
        <v>Molybdate</v>
      </c>
      <c r="C76" s="12">
        <v>159.9376</v>
      </c>
      <c r="D76" s="12">
        <f>G76*1000/C76</f>
        <v>-9.5901659671700063E-6</v>
      </c>
      <c r="E76" s="12">
        <v>-6.9999999999999999E-6</v>
      </c>
      <c r="F76" s="12">
        <f t="shared" si="2"/>
        <v>-1.1195632E-6</v>
      </c>
      <c r="G76" s="12">
        <f>-0.000001*1.53382812839085</f>
        <v>-1.5338281283908498E-6</v>
      </c>
      <c r="H76" s="12"/>
      <c r="I76" s="12">
        <f t="shared" si="3"/>
        <v>-1.3292010093474898E-6</v>
      </c>
      <c r="J76" s="17">
        <v>-6.9999999999999999E-6</v>
      </c>
    </row>
    <row r="77" spans="1:10" ht="26.25" x14ac:dyDescent="0.25">
      <c r="A77" s="8" t="s">
        <v>82</v>
      </c>
      <c r="B77" s="5" t="str">
        <f>VLOOKUP(A77,[1]bigg_models_metabolites!A:C,3,FALSE)</f>
        <v>[4Fe-4S] iron-sulfur cluster</v>
      </c>
      <c r="C77" s="6">
        <v>351.62799999999999</v>
      </c>
      <c r="D77" s="6"/>
      <c r="E77" s="6">
        <v>-2.4800000000000001E-4</v>
      </c>
      <c r="F77" s="6">
        <f t="shared" si="2"/>
        <v>-8.7203743999999994E-5</v>
      </c>
      <c r="G77" s="6"/>
      <c r="H77" s="6"/>
      <c r="I77" s="6">
        <f t="shared" si="3"/>
        <v>0</v>
      </c>
      <c r="J77" s="7">
        <v>-2.4800000000000001E-4</v>
      </c>
    </row>
    <row r="78" spans="1:10" ht="26.25" x14ac:dyDescent="0.25">
      <c r="A78" s="8" t="s">
        <v>83</v>
      </c>
      <c r="B78" s="5" t="str">
        <f>VLOOKUP(A78,[1]bigg_models_metabolites!A:C,3,FALSE)</f>
        <v>Nicotinamide adenine dinucleotide - reduced</v>
      </c>
      <c r="C78" s="6">
        <v>663.43221000000005</v>
      </c>
      <c r="D78" s="6"/>
      <c r="E78" s="6">
        <v>-4.5000000000000003E-5</v>
      </c>
      <c r="F78" s="6">
        <f t="shared" si="2"/>
        <v>-2.9854449450000003E-5</v>
      </c>
      <c r="G78" s="6"/>
      <c r="H78" s="6"/>
      <c r="I78" s="6">
        <f t="shared" si="3"/>
        <v>0</v>
      </c>
      <c r="J78" s="7">
        <v>-4.5000000000000003E-5</v>
      </c>
    </row>
    <row r="79" spans="1:10" x14ac:dyDescent="0.25">
      <c r="A79" s="8" t="s">
        <v>84</v>
      </c>
      <c r="B79" s="5" t="str">
        <f>VLOOKUP(A79,[1]bigg_models_metabolites!A:C,3,FALSE)</f>
        <v>Coenzyme A</v>
      </c>
      <c r="C79" s="6">
        <v>763.50462000000005</v>
      </c>
      <c r="D79" s="6"/>
      <c r="E79" s="6">
        <v>-1.6799999999999999E-4</v>
      </c>
      <c r="F79" s="6">
        <f t="shared" si="2"/>
        <v>-1.2826877616000003E-4</v>
      </c>
      <c r="G79" s="6"/>
      <c r="H79" s="6"/>
      <c r="I79" s="6">
        <f t="shared" si="3"/>
        <v>0</v>
      </c>
      <c r="J79" s="7">
        <v>-1.6799999999999999E-4</v>
      </c>
    </row>
    <row r="80" spans="1:10" x14ac:dyDescent="0.25">
      <c r="A80" s="10" t="s">
        <v>85</v>
      </c>
      <c r="B80" s="5" t="str">
        <f>VLOOKUP(A80,[1]bigg_models_metabolites!A:C,3,FALSE)</f>
        <v>L-Asparagine</v>
      </c>
      <c r="C80" s="6">
        <v>132.11936</v>
      </c>
      <c r="D80" s="6">
        <v>-0.29190180248048198</v>
      </c>
      <c r="E80" s="6"/>
      <c r="F80" s="6">
        <f t="shared" si="2"/>
        <v>0</v>
      </c>
      <c r="G80" s="6">
        <f>D80*C80/1000</f>
        <v>-3.8565879326567687E-2</v>
      </c>
      <c r="H80" s="6"/>
      <c r="I80" s="6">
        <f t="shared" si="3"/>
        <v>-3.3420827782723213E-2</v>
      </c>
      <c r="J80" s="7">
        <f>1000*(I80/C80)</f>
        <v>-0.25295935268474817</v>
      </c>
    </row>
    <row r="81" spans="1:10" x14ac:dyDescent="0.25">
      <c r="A81" s="10" t="s">
        <v>86</v>
      </c>
      <c r="B81" s="5" t="str">
        <f>VLOOKUP(A81,[1]bigg_models_metabolites!A:C,3,FALSE)</f>
        <v>L-Leucine</v>
      </c>
      <c r="C81" s="6">
        <v>131.17510999999999</v>
      </c>
      <c r="D81" s="6">
        <v>-0.55497799353185495</v>
      </c>
      <c r="E81" s="6"/>
      <c r="F81" s="6">
        <f t="shared" si="2"/>
        <v>0</v>
      </c>
      <c r="G81" s="6">
        <f>D81*C81/1000</f>
        <v>-7.2799299349120355E-2</v>
      </c>
      <c r="H81" s="6"/>
      <c r="I81" s="6">
        <f t="shared" si="3"/>
        <v>-6.308718713885994E-2</v>
      </c>
      <c r="J81" s="7">
        <f>1000*(I81/C81)</f>
        <v>-0.48093870200573829</v>
      </c>
    </row>
    <row r="82" spans="1:10" x14ac:dyDescent="0.25">
      <c r="A82" s="8" t="s">
        <v>87</v>
      </c>
      <c r="B82" s="5" t="str">
        <f>VLOOKUP(A82,[1]bigg_models_metabolites!A:C,3,FALSE)</f>
        <v>Enterochelin</v>
      </c>
      <c r="C82" s="6">
        <v>669.55628999999999</v>
      </c>
      <c r="D82" s="6"/>
      <c r="E82" s="6">
        <v>-2.23E-4</v>
      </c>
      <c r="F82" s="6">
        <f t="shared" si="2"/>
        <v>-1.4931105266999999E-4</v>
      </c>
      <c r="G82" s="6"/>
      <c r="H82" s="6"/>
      <c r="I82" s="6">
        <f t="shared" si="3"/>
        <v>0</v>
      </c>
      <c r="J82" s="7">
        <v>-2.23E-4</v>
      </c>
    </row>
    <row r="83" spans="1:10" ht="90" x14ac:dyDescent="0.25">
      <c r="A83" s="8" t="s">
        <v>88</v>
      </c>
      <c r="B83" s="5" t="str">
        <f>VLOOKUP(A83,[1]bigg_models_metabolites!A:C,3,FALSE)</f>
        <v>Three disacharide linked murein units (tetrapeptide crosslinked tetrapeptide (A2pm-&gt;D-ala) &amp; tetrapeptide corsslinked tetrapeptide (A2pm-&gt;D-ala)) (middle of chain)</v>
      </c>
      <c r="C83" s="6">
        <v>2723.65789</v>
      </c>
      <c r="D83" s="6"/>
      <c r="E83" s="6">
        <v>-5.3990758398180004E-4</v>
      </c>
      <c r="F83" s="6">
        <f t="shared" si="2"/>
        <v>-1.4705235509828675E-3</v>
      </c>
      <c r="G83" s="6"/>
      <c r="H83" s="6"/>
      <c r="I83" s="6">
        <f t="shared" si="3"/>
        <v>0</v>
      </c>
      <c r="J83" s="7">
        <v>-6.7299999999999999E-4</v>
      </c>
    </row>
    <row r="84" spans="1:10" x14ac:dyDescent="0.25">
      <c r="A84" s="15" t="s">
        <v>89</v>
      </c>
      <c r="B84" s="5" t="str">
        <f>VLOOKUP(A84,[1]bigg_models_metabolites!A:C,3,FALSE)</f>
        <v>DGTP C10H12N5O13P3</v>
      </c>
      <c r="C84" s="6">
        <v>503.15262000000001</v>
      </c>
      <c r="D84" s="16">
        <f>1000*(G84/C84)</f>
        <v>-2.7701050230047496E-2</v>
      </c>
      <c r="E84" s="16"/>
      <c r="F84" s="6">
        <f t="shared" si="2"/>
        <v>0</v>
      </c>
      <c r="G84" s="16">
        <v>-1.3937856E-2</v>
      </c>
      <c r="H84" s="6"/>
      <c r="I84" s="6">
        <f t="shared" si="3"/>
        <v>-1.2078414732670179E-2</v>
      </c>
      <c r="J84" s="7">
        <f>1000*(I84/C84)</f>
        <v>-2.4005469220591911E-2</v>
      </c>
    </row>
    <row r="85" spans="1:10" ht="26.25" x14ac:dyDescent="0.25">
      <c r="A85" s="8" t="s">
        <v>90</v>
      </c>
      <c r="B85" s="5" t="str">
        <f>VLOOKUP(A85,[1]bigg_models_metabolites!A:C,3,FALSE)</f>
        <v>Flavin adenine dinucleotide oxidized</v>
      </c>
      <c r="C85" s="6">
        <v>783.54289000000006</v>
      </c>
      <c r="D85" s="6"/>
      <c r="E85" s="6">
        <v>-2.23E-4</v>
      </c>
      <c r="F85" s="6">
        <f t="shared" si="2"/>
        <v>-1.7473006447000001E-4</v>
      </c>
      <c r="G85" s="28"/>
      <c r="H85" s="6"/>
      <c r="I85" s="6">
        <f t="shared" si="3"/>
        <v>0</v>
      </c>
      <c r="J85" s="7">
        <v>-2.23E-4</v>
      </c>
    </row>
    <row r="86" spans="1:10" x14ac:dyDescent="0.25">
      <c r="A86" s="8" t="s">
        <v>91</v>
      </c>
      <c r="B86" s="5" t="str">
        <f>VLOOKUP(A86,[1]bigg_models_metabolites!A:C,3,FALSE)</f>
        <v>Succinyl-CoA</v>
      </c>
      <c r="C86" s="6">
        <v>862.57073000000003</v>
      </c>
      <c r="D86" s="6"/>
      <c r="E86" s="6">
        <v>-9.7999999999999997E-5</v>
      </c>
      <c r="F86" s="6">
        <f t="shared" si="2"/>
        <v>-8.4531931539999998E-5</v>
      </c>
      <c r="G86" s="28"/>
      <c r="H86" s="6"/>
      <c r="I86" s="6">
        <f t="shared" si="3"/>
        <v>0</v>
      </c>
      <c r="J86" s="7">
        <v>-9.7999999999999997E-5</v>
      </c>
    </row>
    <row r="87" spans="1:10" x14ac:dyDescent="0.25">
      <c r="A87" s="29" t="s">
        <v>92</v>
      </c>
      <c r="B87" s="5" t="str">
        <f>VLOOKUP(A87,[1]bigg_models_metabolites!A:C,3,FALSE)</f>
        <v>L-Rhamnose</v>
      </c>
      <c r="C87" s="6">
        <v>164.16</v>
      </c>
      <c r="D87" s="6">
        <v>-0.14376218323586701</v>
      </c>
      <c r="E87" s="6"/>
      <c r="F87" s="6">
        <f t="shared" si="2"/>
        <v>0</v>
      </c>
      <c r="G87" s="6">
        <f t="shared" ref="G87:G108" si="4">D87*C87/1000</f>
        <v>-2.3599999999999927E-2</v>
      </c>
      <c r="H87" s="6"/>
      <c r="I87" s="6">
        <f t="shared" si="3"/>
        <v>-2.0451537717925579E-2</v>
      </c>
      <c r="J87" s="7">
        <f t="shared" ref="J87:J108" si="5">1000*(I87/C87)</f>
        <v>-0.12458295393473183</v>
      </c>
    </row>
    <row r="88" spans="1:10" x14ac:dyDescent="0.25">
      <c r="A88" s="29" t="s">
        <v>93</v>
      </c>
      <c r="B88" s="5" t="str">
        <f>VLOOKUP(A88,[1]bigg_models_metabolites!A:C,3,FALSE)</f>
        <v>L-Arabinose</v>
      </c>
      <c r="C88" s="6">
        <v>150.13</v>
      </c>
      <c r="D88" s="6">
        <v>-3.4636648238193603E-2</v>
      </c>
      <c r="E88" s="6"/>
      <c r="F88" s="6">
        <f t="shared" si="2"/>
        <v>0</v>
      </c>
      <c r="G88" s="6">
        <f t="shared" si="4"/>
        <v>-5.2000000000000058E-3</v>
      </c>
      <c r="H88" s="6"/>
      <c r="I88" s="6">
        <f t="shared" si="3"/>
        <v>-4.5062710225937906E-3</v>
      </c>
      <c r="J88" s="7">
        <f t="shared" si="5"/>
        <v>-3.001579312991268E-2</v>
      </c>
    </row>
    <row r="89" spans="1:10" x14ac:dyDescent="0.25">
      <c r="A89" s="29" t="s">
        <v>94</v>
      </c>
      <c r="B89" s="5" t="str">
        <f>VLOOKUP(A89,[1]bigg_models_metabolites!A:C,3,FALSE)</f>
        <v>L-Galactose</v>
      </c>
      <c r="C89" s="30">
        <v>180.16</v>
      </c>
      <c r="D89" s="6">
        <v>-6.6607460035524001E-3</v>
      </c>
      <c r="E89" s="6"/>
      <c r="F89" s="6">
        <f t="shared" si="2"/>
        <v>0</v>
      </c>
      <c r="G89" s="6">
        <f t="shared" si="4"/>
        <v>-1.2000000000000003E-3</v>
      </c>
      <c r="H89" s="6"/>
      <c r="I89" s="6">
        <f t="shared" si="3"/>
        <v>-1.0399086975216431E-3</v>
      </c>
      <c r="J89" s="7">
        <f t="shared" si="5"/>
        <v>-5.7721397508972193E-3</v>
      </c>
    </row>
    <row r="90" spans="1:10" x14ac:dyDescent="0.25">
      <c r="A90" s="29" t="s">
        <v>95</v>
      </c>
      <c r="B90" s="5" t="str">
        <f>VLOOKUP(A90,[1]bigg_models_metabolites!A:C,3,FALSE)</f>
        <v>D-Glucose</v>
      </c>
      <c r="C90" s="6">
        <v>180.16</v>
      </c>
      <c r="D90" s="6">
        <v>-0.13543516873889899</v>
      </c>
      <c r="E90" s="6"/>
      <c r="F90" s="6">
        <f t="shared" si="2"/>
        <v>0</v>
      </c>
      <c r="G90" s="6">
        <f t="shared" si="4"/>
        <v>-2.440000000000004E-2</v>
      </c>
      <c r="H90" s="6"/>
      <c r="I90" s="6">
        <f t="shared" si="3"/>
        <v>-2.1144810182940104E-2</v>
      </c>
      <c r="J90" s="7">
        <f t="shared" si="5"/>
        <v>-0.11736684160157697</v>
      </c>
    </row>
    <row r="91" spans="1:10" x14ac:dyDescent="0.25">
      <c r="A91" s="29" t="s">
        <v>96</v>
      </c>
      <c r="B91" s="5" t="str">
        <f>VLOOKUP(A91,[1]bigg_models_metabolites!A:C,3,FALSE)</f>
        <v>D-Fructose</v>
      </c>
      <c r="C91" s="6">
        <v>180.16</v>
      </c>
      <c r="D91" s="6">
        <v>-0.743783303730018</v>
      </c>
      <c r="E91" s="6"/>
      <c r="F91" s="6">
        <f t="shared" si="2"/>
        <v>0</v>
      </c>
      <c r="G91" s="6">
        <f t="shared" si="4"/>
        <v>-0.13400000000000004</v>
      </c>
      <c r="H91" s="6"/>
      <c r="I91" s="6">
        <f t="shared" si="3"/>
        <v>-0.11612313788991681</v>
      </c>
      <c r="J91" s="7">
        <f t="shared" si="5"/>
        <v>-0.6445556055168562</v>
      </c>
    </row>
    <row r="92" spans="1:10" x14ac:dyDescent="0.25">
      <c r="A92" s="29" t="s">
        <v>97</v>
      </c>
      <c r="B92" s="5" t="str">
        <f>VLOOKUP(A92,[1]bigg_models_metabolites!A:C,3,FALSE)</f>
        <v>D-Xylose</v>
      </c>
      <c r="C92" s="6">
        <v>150.13</v>
      </c>
      <c r="D92" s="6">
        <v>-6.6608938919603001E-3</v>
      </c>
      <c r="E92" s="6"/>
      <c r="F92" s="6">
        <f t="shared" si="2"/>
        <v>0</v>
      </c>
      <c r="G92" s="6">
        <f t="shared" si="4"/>
        <v>-9.999999999999998E-4</v>
      </c>
      <c r="H92" s="6"/>
      <c r="I92" s="6">
        <f t="shared" si="3"/>
        <v>-8.6659058126803553E-4</v>
      </c>
      <c r="J92" s="7">
        <f t="shared" si="5"/>
        <v>-5.772267909598585E-3</v>
      </c>
    </row>
    <row r="93" spans="1:10" x14ac:dyDescent="0.25">
      <c r="A93" s="29" t="s">
        <v>98</v>
      </c>
      <c r="B93" s="5" t="str">
        <f>VLOOKUP(A93,[1]bigg_models_metabolites!A:C,3,FALSE)</f>
        <v>D-Mannose</v>
      </c>
      <c r="C93" s="30">
        <v>180.16</v>
      </c>
      <c r="D93" s="6">
        <v>-5.5506216696270001E-3</v>
      </c>
      <c r="E93" s="6"/>
      <c r="F93" s="6">
        <f t="shared" si="2"/>
        <v>0</v>
      </c>
      <c r="G93" s="6">
        <f t="shared" si="4"/>
        <v>-1.0000000000000002E-3</v>
      </c>
      <c r="H93" s="6"/>
      <c r="I93" s="6">
        <f t="shared" si="3"/>
        <v>-8.6659058126803586E-4</v>
      </c>
      <c r="J93" s="7">
        <f t="shared" si="5"/>
        <v>-4.8101164590810168E-3</v>
      </c>
    </row>
    <row r="94" spans="1:10" ht="26.25" x14ac:dyDescent="0.25">
      <c r="A94" s="29" t="s">
        <v>99</v>
      </c>
      <c r="B94" s="5" t="str">
        <f>VLOOKUP(A94,[1]bigg_models_metabolites!A:C,3,FALSE)</f>
        <v>D Galactosamine C6H13NO5</v>
      </c>
      <c r="C94" s="6">
        <v>179.17</v>
      </c>
      <c r="D94" s="6">
        <v>-5.5812915108556099E-3</v>
      </c>
      <c r="E94" s="6"/>
      <c r="F94" s="6">
        <f t="shared" si="2"/>
        <v>0</v>
      </c>
      <c r="G94" s="6">
        <f t="shared" si="4"/>
        <v>-9.9999999999999959E-4</v>
      </c>
      <c r="H94" s="6"/>
      <c r="I94" s="6">
        <f t="shared" si="3"/>
        <v>-8.6659058126803531E-4</v>
      </c>
      <c r="J94" s="7">
        <f t="shared" si="5"/>
        <v>-4.8366946546187159E-3</v>
      </c>
    </row>
    <row r="95" spans="1:10" x14ac:dyDescent="0.25">
      <c r="A95" s="29" t="s">
        <v>100</v>
      </c>
      <c r="B95" s="5" t="str">
        <f>VLOOKUP(A95,[1]bigg_models_metabolites!A:C,3,FALSE)</f>
        <v>D-Glucosamine</v>
      </c>
      <c r="C95" s="6">
        <v>179.17</v>
      </c>
      <c r="D95" s="6">
        <v>-5.5812915108556099E-3</v>
      </c>
      <c r="E95" s="6"/>
      <c r="F95" s="6">
        <f t="shared" si="2"/>
        <v>0</v>
      </c>
      <c r="G95" s="6">
        <f t="shared" si="4"/>
        <v>-9.9999999999999959E-4</v>
      </c>
      <c r="H95" s="6"/>
      <c r="I95" s="6">
        <f t="shared" si="3"/>
        <v>-8.6659058126803531E-4</v>
      </c>
      <c r="J95" s="7">
        <f t="shared" si="5"/>
        <v>-4.8366946546187159E-3</v>
      </c>
    </row>
    <row r="96" spans="1:10" x14ac:dyDescent="0.25">
      <c r="A96" s="29" t="s">
        <v>101</v>
      </c>
      <c r="B96" s="5" t="str">
        <f>VLOOKUP(A96,[1]bigg_models_metabolites!A:C,3,FALSE)</f>
        <v>All-trans-Retinol</v>
      </c>
      <c r="C96" s="6">
        <v>286.5</v>
      </c>
      <c r="D96" s="6">
        <v>-1.0471204188481701E-8</v>
      </c>
      <c r="E96" s="6"/>
      <c r="F96" s="6">
        <f t="shared" si="2"/>
        <v>0</v>
      </c>
      <c r="G96" s="6">
        <f t="shared" si="4"/>
        <v>-3.0000000000000074E-9</v>
      </c>
      <c r="H96" s="6"/>
      <c r="I96" s="6">
        <f t="shared" si="3"/>
        <v>-2.5997717438041134E-9</v>
      </c>
      <c r="J96" s="7">
        <f t="shared" si="5"/>
        <v>-9.0742469242726473E-9</v>
      </c>
    </row>
    <row r="97" spans="1:10" x14ac:dyDescent="0.25">
      <c r="A97" s="29" t="s">
        <v>102</v>
      </c>
      <c r="B97" s="5" t="str">
        <f>VLOOKUP(A97,[1]bigg_models_metabolites!A:C,3,FALSE)</f>
        <v>Alpha-Tocopherol</v>
      </c>
      <c r="C97" s="6">
        <v>430.7</v>
      </c>
      <c r="D97" s="6">
        <v>-3.48270257719991E-6</v>
      </c>
      <c r="E97" s="6"/>
      <c r="F97" s="6">
        <f t="shared" si="2"/>
        <v>0</v>
      </c>
      <c r="G97" s="6">
        <f t="shared" si="4"/>
        <v>-1.5000000000000011E-6</v>
      </c>
      <c r="H97" s="6"/>
      <c r="I97" s="6">
        <f t="shared" si="3"/>
        <v>-1.2998858719020544E-6</v>
      </c>
      <c r="J97" s="7">
        <f t="shared" si="5"/>
        <v>-3.0180772507593555E-6</v>
      </c>
    </row>
    <row r="98" spans="1:10" x14ac:dyDescent="0.25">
      <c r="A98" s="29" t="s">
        <v>103</v>
      </c>
      <c r="B98" s="5" t="str">
        <f>VLOOKUP(A98,[1]bigg_models_metabolites!A:C,3,FALSE)</f>
        <v>Calciol; (+)-Vitamin D3</v>
      </c>
      <c r="C98" s="6">
        <v>384.6</v>
      </c>
      <c r="D98" s="6">
        <v>-6.5002600104004204E-10</v>
      </c>
      <c r="E98" s="6"/>
      <c r="F98" s="6">
        <f t="shared" si="2"/>
        <v>0</v>
      </c>
      <c r="G98" s="6">
        <f t="shared" si="4"/>
        <v>-2.5000000000000022E-10</v>
      </c>
      <c r="H98" s="6"/>
      <c r="I98" s="6">
        <f t="shared" si="3"/>
        <v>-2.1664764531700911E-10</v>
      </c>
      <c r="J98" s="7">
        <f t="shared" si="5"/>
        <v>-5.6330641008062687E-10</v>
      </c>
    </row>
    <row r="99" spans="1:10" x14ac:dyDescent="0.25">
      <c r="A99" s="29" t="s">
        <v>104</v>
      </c>
      <c r="B99" s="5" t="str">
        <f>VLOOKUP(A99,[1]bigg_models_metabolites!A:C,3,FALSE)</f>
        <v>Vitamin D2; ergocalciferol</v>
      </c>
      <c r="C99" s="6">
        <v>396.6</v>
      </c>
      <c r="D99" s="6">
        <v>-6.3035804336863301E-10</v>
      </c>
      <c r="E99" s="6"/>
      <c r="F99" s="6">
        <f t="shared" si="2"/>
        <v>0</v>
      </c>
      <c r="G99" s="6">
        <f t="shared" si="4"/>
        <v>-2.4999999999999986E-10</v>
      </c>
      <c r="H99" s="6"/>
      <c r="I99" s="6">
        <f t="shared" si="3"/>
        <v>-2.166476453170088E-10</v>
      </c>
      <c r="J99" s="7">
        <f t="shared" si="5"/>
        <v>-5.4626234320980531E-10</v>
      </c>
    </row>
    <row r="100" spans="1:10" x14ac:dyDescent="0.25">
      <c r="A100" s="29" t="s">
        <v>105</v>
      </c>
      <c r="B100" s="5" t="str">
        <f>VLOOKUP(A100,[1]bigg_models_metabolites!A:C,3,FALSE)</f>
        <v>Thiamin</v>
      </c>
      <c r="C100" s="6">
        <v>265.36</v>
      </c>
      <c r="D100" s="6">
        <v>-1.5179378956888799E-5</v>
      </c>
      <c r="E100" s="6"/>
      <c r="F100" s="6">
        <f t="shared" si="2"/>
        <v>0</v>
      </c>
      <c r="G100" s="6">
        <f t="shared" si="4"/>
        <v>-4.0280000000000121E-6</v>
      </c>
      <c r="H100" s="6"/>
      <c r="I100" s="6">
        <f t="shared" si="3"/>
        <v>-3.4906268613476579E-6</v>
      </c>
      <c r="J100" s="7">
        <f t="shared" si="5"/>
        <v>-1.3154306833538052E-5</v>
      </c>
    </row>
    <row r="101" spans="1:10" x14ac:dyDescent="0.25">
      <c r="A101" s="29" t="s">
        <v>106</v>
      </c>
      <c r="B101" s="5" t="str">
        <f>VLOOKUP(A101,[1]bigg_models_metabolites!A:C,3,FALSE)</f>
        <v>Reduced riboflavin</v>
      </c>
      <c r="C101" s="6">
        <v>376.4</v>
      </c>
      <c r="D101" s="6">
        <v>-6.2646121147715201E-5</v>
      </c>
      <c r="E101" s="6"/>
      <c r="F101" s="6">
        <f t="shared" si="2"/>
        <v>0</v>
      </c>
      <c r="G101" s="6">
        <f t="shared" si="4"/>
        <v>-2.3580000000000001E-5</v>
      </c>
      <c r="H101" s="6"/>
      <c r="I101" s="6">
        <f t="shared" si="3"/>
        <v>-2.0434205906300282E-5</v>
      </c>
      <c r="J101" s="7">
        <f t="shared" si="5"/>
        <v>-5.4288538539586297E-5</v>
      </c>
    </row>
    <row r="102" spans="1:10" x14ac:dyDescent="0.25">
      <c r="A102" s="29" t="s">
        <v>107</v>
      </c>
      <c r="B102" s="5" t="str">
        <f>VLOOKUP(A102,[1]bigg_models_metabolites!A:C,3,FALSE)</f>
        <v>Pyridoxine</v>
      </c>
      <c r="C102" s="6">
        <v>169.18</v>
      </c>
      <c r="D102" s="6">
        <v>-7.4240453954368095E-5</v>
      </c>
      <c r="E102" s="6"/>
      <c r="F102" s="6">
        <f t="shared" si="2"/>
        <v>0</v>
      </c>
      <c r="G102" s="6">
        <f t="shared" si="4"/>
        <v>-1.2559999999999995E-5</v>
      </c>
      <c r="H102" s="6"/>
      <c r="I102" s="6">
        <f t="shared" si="3"/>
        <v>-1.0884377700726524E-5</v>
      </c>
      <c r="J102" s="7">
        <f t="shared" si="5"/>
        <v>-6.4336078145918693E-5</v>
      </c>
    </row>
    <row r="103" spans="1:10" x14ac:dyDescent="0.25">
      <c r="A103" s="29" t="s">
        <v>108</v>
      </c>
      <c r="B103" s="5" t="str">
        <f>VLOOKUP(A103,[1]bigg_models_metabolites!A:C,3,FALSE)</f>
        <v>Choline C5H14NO</v>
      </c>
      <c r="C103" s="6">
        <v>139.62</v>
      </c>
      <c r="D103" s="6">
        <v>-1.59719237931528E-3</v>
      </c>
      <c r="E103" s="6"/>
      <c r="F103" s="6">
        <f t="shared" si="2"/>
        <v>0</v>
      </c>
      <c r="G103" s="6">
        <f t="shared" si="4"/>
        <v>-2.229999999999994E-4</v>
      </c>
      <c r="H103" s="6"/>
      <c r="I103" s="6">
        <f t="shared" si="3"/>
        <v>-1.9324969962277144E-4</v>
      </c>
      <c r="J103" s="7">
        <f t="shared" si="5"/>
        <v>-1.3841118723877054E-3</v>
      </c>
    </row>
    <row r="104" spans="1:10" x14ac:dyDescent="0.25">
      <c r="A104" s="29" t="s">
        <v>109</v>
      </c>
      <c r="B104" s="5" t="str">
        <f>VLOOKUP(A104,[1]bigg_models_metabolites!A:C,3,FALSE)</f>
        <v>Folate</v>
      </c>
      <c r="C104" s="6">
        <v>441.4</v>
      </c>
      <c r="D104" s="6">
        <v>-2.4494789306751201E-5</v>
      </c>
      <c r="E104" s="6"/>
      <c r="F104" s="6">
        <f t="shared" si="2"/>
        <v>0</v>
      </c>
      <c r="G104" s="6">
        <f t="shared" si="4"/>
        <v>-1.0811999999999979E-5</v>
      </c>
      <c r="H104" s="6"/>
      <c r="I104" s="6">
        <f t="shared" si="3"/>
        <v>-9.3695773646699824E-6</v>
      </c>
      <c r="J104" s="7">
        <f t="shared" si="5"/>
        <v>-2.1226953703375583E-5</v>
      </c>
    </row>
    <row r="105" spans="1:10" x14ac:dyDescent="0.25">
      <c r="A105" s="29" t="s">
        <v>110</v>
      </c>
      <c r="B105" s="5" t="str">
        <f>VLOOKUP(A105,[1]bigg_models_metabolites!A:C,3,FALSE)</f>
        <v>Nicotinate</v>
      </c>
      <c r="C105" s="6">
        <v>123.11</v>
      </c>
      <c r="D105" s="6">
        <v>-5.7964422061570998E-4</v>
      </c>
      <c r="E105" s="6"/>
      <c r="F105" s="6">
        <f t="shared" si="2"/>
        <v>0</v>
      </c>
      <c r="G105" s="6">
        <f t="shared" si="4"/>
        <v>-7.1360000000000062E-5</v>
      </c>
      <c r="H105" s="6"/>
      <c r="I105" s="6">
        <f t="shared" si="3"/>
        <v>-6.183990387928708E-5</v>
      </c>
      <c r="J105" s="7">
        <f t="shared" si="5"/>
        <v>-5.0231422207202571E-4</v>
      </c>
    </row>
    <row r="106" spans="1:10" x14ac:dyDescent="0.25">
      <c r="A106" s="29" t="s">
        <v>111</v>
      </c>
      <c r="B106" s="5" t="str">
        <f>VLOOKUP(A106,[1]bigg_models_metabolites!A:C,3,FALSE)</f>
        <v>(R)-Pantothenate</v>
      </c>
      <c r="C106" s="6">
        <v>219.23</v>
      </c>
      <c r="D106" s="6">
        <v>-9.9347717009533394E-5</v>
      </c>
      <c r="E106" s="6"/>
      <c r="F106" s="6">
        <f t="shared" si="2"/>
        <v>0</v>
      </c>
      <c r="G106" s="6">
        <f t="shared" si="4"/>
        <v>-2.1780000000000005E-5</v>
      </c>
      <c r="H106" s="6"/>
      <c r="I106" s="6">
        <f t="shared" si="3"/>
        <v>-1.8874342860017821E-5</v>
      </c>
      <c r="J106" s="7">
        <f t="shared" si="5"/>
        <v>-8.609379583094386E-5</v>
      </c>
    </row>
    <row r="107" spans="1:10" x14ac:dyDescent="0.25">
      <c r="A107" s="29" t="s">
        <v>112</v>
      </c>
      <c r="B107" s="5" t="str">
        <f>VLOOKUP(A107,[1]bigg_models_metabolites!A:C,3,FALSE)</f>
        <v>Phylloquinone</v>
      </c>
      <c r="C107" s="6">
        <v>450.7</v>
      </c>
      <c r="D107" s="6">
        <v>-2.2187708009762601E-9</v>
      </c>
      <c r="E107" s="6"/>
      <c r="F107" s="6">
        <f t="shared" si="2"/>
        <v>0</v>
      </c>
      <c r="G107" s="6">
        <f t="shared" si="4"/>
        <v>-1.0000000000000005E-9</v>
      </c>
      <c r="H107" s="6"/>
      <c r="I107" s="6">
        <f t="shared" si="3"/>
        <v>-8.6659058126803603E-10</v>
      </c>
      <c r="J107" s="7">
        <f t="shared" si="5"/>
        <v>-1.9227658781185626E-9</v>
      </c>
    </row>
    <row r="108" spans="1:10" x14ac:dyDescent="0.25">
      <c r="A108" s="29" t="s">
        <v>113</v>
      </c>
      <c r="B108" s="5" t="str">
        <f>VLOOKUP(A108,[1]bigg_models_metabolites!A:C,3,FALSE)</f>
        <v>Beta-Carotene</v>
      </c>
      <c r="C108" s="6">
        <v>536.9</v>
      </c>
      <c r="D108" s="6">
        <v>-4.6086794561370799E-5</v>
      </c>
      <c r="E108" s="6"/>
      <c r="F108" s="6">
        <f t="shared" si="2"/>
        <v>0</v>
      </c>
      <c r="G108" s="6">
        <f t="shared" si="4"/>
        <v>-2.4743999999999982E-5</v>
      </c>
      <c r="H108" s="6"/>
      <c r="I108" s="6">
        <f t="shared" si="3"/>
        <v>-2.1442917342896258E-5</v>
      </c>
      <c r="J108" s="7">
        <f t="shared" si="5"/>
        <v>-3.9938382087718862E-5</v>
      </c>
    </row>
    <row r="109" spans="1:10" ht="26.25" x14ac:dyDescent="0.25">
      <c r="A109" s="6" t="s">
        <v>114</v>
      </c>
      <c r="B109" s="5" t="str">
        <f>VLOOKUP(A109,[1]bigg_models_metabolites!A:C,3,FALSE)</f>
        <v>Cardiolipin (tetrahexadec-9-enoyl, n-C16:1)</v>
      </c>
      <c r="C109" s="6">
        <v>1343.7923599999999</v>
      </c>
      <c r="D109" s="6"/>
      <c r="E109" s="7">
        <v>-2.2899999999999999E-3</v>
      </c>
      <c r="F109" s="6">
        <f t="shared" si="2"/>
        <v>-3.0772845043999996E-3</v>
      </c>
      <c r="G109" s="6"/>
      <c r="H109" s="6"/>
      <c r="I109" s="6"/>
      <c r="J109" s="7">
        <v>-2.2899999999999999E-3</v>
      </c>
    </row>
    <row r="110" spans="1:10" ht="39" x14ac:dyDescent="0.25">
      <c r="A110" s="6" t="s">
        <v>115</v>
      </c>
      <c r="B110" s="5" t="str">
        <f>VLOOKUP(A110,[1]bigg_models_metabolites!A:C,3,FALSE)</f>
        <v>Phosphatidylethanolamine (dihexadecanoyl, n-C16:0)</v>
      </c>
      <c r="C110" s="6">
        <v>691.97244000000001</v>
      </c>
      <c r="D110" s="6"/>
      <c r="E110" s="7">
        <v>-4.4164000000000002E-2</v>
      </c>
      <c r="F110" s="6">
        <f t="shared" si="2"/>
        <v>-3.0560270840160001E-2</v>
      </c>
      <c r="G110" s="6"/>
      <c r="H110" s="6"/>
      <c r="I110" s="7"/>
      <c r="J110" s="7">
        <v>-4.4164000000000002E-2</v>
      </c>
    </row>
    <row r="111" spans="1:10" ht="39" x14ac:dyDescent="0.25">
      <c r="A111" s="6" t="s">
        <v>116</v>
      </c>
      <c r="B111" s="5" t="str">
        <f>VLOOKUP(A111,[1]bigg_models_metabolites!A:C,3,FALSE)</f>
        <v>Phosphatidylglycerol (dihexadecanoyl, n-C16:0)</v>
      </c>
      <c r="C111" s="6">
        <v>721.97554000000002</v>
      </c>
      <c r="D111" s="6"/>
      <c r="E111" s="7">
        <v>-1.0599000000000001E-2</v>
      </c>
      <c r="F111" s="6">
        <f t="shared" si="2"/>
        <v>-7.6522187484600011E-3</v>
      </c>
      <c r="G111" s="6"/>
      <c r="H111" s="6"/>
      <c r="I111" s="7"/>
      <c r="J111" s="7">
        <v>-1.0599000000000001E-2</v>
      </c>
    </row>
    <row r="112" spans="1:10" ht="39" x14ac:dyDescent="0.25">
      <c r="A112" s="6" t="s">
        <v>117</v>
      </c>
      <c r="B112" s="5" t="str">
        <f>VLOOKUP(A112,[1]bigg_models_metabolites!A:C,3,FALSE)</f>
        <v>Cardiolipin (tetrahexadecanoyl, n-C16:0)</v>
      </c>
      <c r="C112" s="6">
        <v>1351.8561199999999</v>
      </c>
      <c r="D112" s="6"/>
      <c r="E112" s="7">
        <v>-2.944E-3</v>
      </c>
      <c r="F112" s="6">
        <f t="shared" si="2"/>
        <v>-3.9798644172800001E-3</v>
      </c>
      <c r="G112" s="6"/>
      <c r="H112" s="6"/>
      <c r="I112" s="6"/>
      <c r="J112" s="7">
        <v>-2.944E-3</v>
      </c>
    </row>
    <row r="113" spans="1:10" ht="26.25" x14ac:dyDescent="0.25">
      <c r="A113" s="6" t="s">
        <v>118</v>
      </c>
      <c r="B113" s="5" t="str">
        <f>VLOOKUP(A113,[1]bigg_models_metabolites!A:C,3,FALSE)</f>
        <v>Cardiolipin (tetraoctadec-11-enoyl, n-C18:1)</v>
      </c>
      <c r="C113" s="6">
        <v>1456.0078799999999</v>
      </c>
      <c r="D113" s="6"/>
      <c r="E113" s="7">
        <v>-1.1800000000000001E-3</v>
      </c>
      <c r="F113" s="6">
        <f t="shared" si="2"/>
        <v>-1.7180892983999999E-3</v>
      </c>
      <c r="G113" s="6"/>
      <c r="H113" s="6"/>
      <c r="I113" s="6"/>
      <c r="J113" s="7">
        <v>-1.1800000000000001E-3</v>
      </c>
    </row>
    <row r="114" spans="1:10" ht="26.25" x14ac:dyDescent="0.25">
      <c r="A114" s="6" t="s">
        <v>119</v>
      </c>
      <c r="B114" s="5" t="str">
        <f>VLOOKUP(A114,[1]bigg_models_metabolites!A:C,3,FALSE)</f>
        <v>Core oligosaccharide lipid A</v>
      </c>
      <c r="C114" s="6">
        <v>4171.1993499999999</v>
      </c>
      <c r="D114" s="6"/>
      <c r="E114" s="7">
        <v>-8.1510000000000003E-3</v>
      </c>
      <c r="F114" s="6">
        <f t="shared" si="2"/>
        <v>-3.3999445901850001E-2</v>
      </c>
      <c r="G114" s="6"/>
      <c r="H114" s="6"/>
      <c r="I114" s="6"/>
      <c r="J114" s="7">
        <v>-8.1510000000000003E-3</v>
      </c>
    </row>
    <row r="115" spans="1:10" ht="39" x14ac:dyDescent="0.25">
      <c r="A115" s="6" t="s">
        <v>120</v>
      </c>
      <c r="B115" s="5" t="str">
        <f>VLOOKUP(A115,[1]bigg_models_metabolites!A:C,3,FALSE)</f>
        <v>Phosphatidylethanolamine (dioctadec-11-enoyl, n-C18:1)</v>
      </c>
      <c r="C115" s="6">
        <v>744.04831999999999</v>
      </c>
      <c r="D115" s="6"/>
      <c r="E115" s="7">
        <v>-1.7704000000000001E-2</v>
      </c>
      <c r="F115" s="6">
        <f t="shared" si="2"/>
        <v>-1.3172631457280001E-2</v>
      </c>
      <c r="G115" s="6"/>
      <c r="H115" s="6"/>
      <c r="I115" s="6"/>
      <c r="J115" s="7">
        <v>-1.7704000000000001E-2</v>
      </c>
    </row>
    <row r="116" spans="1:10" ht="39" x14ac:dyDescent="0.25">
      <c r="A116" s="6" t="s">
        <v>121</v>
      </c>
      <c r="B116" s="5" t="str">
        <f>VLOOKUP(A116,[1]bigg_models_metabolites!A:C,3,FALSE)</f>
        <v>Phosphatidylglycerol (dihexadec-9-enoyl, n-C16:1)</v>
      </c>
      <c r="C116" s="6">
        <v>717.94366000000002</v>
      </c>
      <c r="D116" s="6"/>
      <c r="E116" s="7">
        <v>-8.2439999999999996E-3</v>
      </c>
      <c r="F116" s="6">
        <f t="shared" si="2"/>
        <v>-5.9187275330400005E-3</v>
      </c>
      <c r="G116" s="6"/>
      <c r="H116" s="6"/>
      <c r="I116" s="6"/>
      <c r="J116" s="7">
        <v>-8.2439999999999996E-3</v>
      </c>
    </row>
    <row r="117" spans="1:10" x14ac:dyDescent="0.25">
      <c r="A117" s="31" t="s">
        <v>122</v>
      </c>
      <c r="B117" s="5" t="str">
        <f>VLOOKUP(A117,[1]bigg_models_metabolites!A:C,3,FALSE)</f>
        <v>Tetradecanoate (n-C14:0)</v>
      </c>
      <c r="C117" s="31">
        <v>228.37</v>
      </c>
      <c r="D117" s="31">
        <v>-6.85729298944695E-4</v>
      </c>
      <c r="E117" s="31"/>
      <c r="F117" s="31">
        <f t="shared" ref="F117:F130" si="6">C117*E117/1000</f>
        <v>0</v>
      </c>
      <c r="G117" s="31">
        <f t="shared" ref="G117:G130" si="7">D117*C117/1000</f>
        <v>-1.5659999999999998E-4</v>
      </c>
      <c r="H117" s="31"/>
      <c r="I117" s="31">
        <f t="shared" ref="I117:I130" si="8">G117/1.15394745986825</f>
        <v>-1.3570808502657436E-4</v>
      </c>
      <c r="J117" s="32">
        <f t="shared" ref="J117:J130" si="9">1000*(I117/C117)</f>
        <v>-5.9424655176500574E-4</v>
      </c>
    </row>
    <row r="118" spans="1:10" ht="26.25" x14ac:dyDescent="0.25">
      <c r="A118" s="33" t="s">
        <v>123</v>
      </c>
      <c r="B118" s="5" t="str">
        <f>VLOOKUP(A118,[1]bigg_models_metabolites!A:C,3,FALSE)</f>
        <v>Hexadecanoic acid</v>
      </c>
      <c r="C118" s="31">
        <v>256.42</v>
      </c>
      <c r="D118" s="31">
        <v>-5.7621870368926E-2</v>
      </c>
      <c r="E118" s="31"/>
      <c r="F118" s="31">
        <f t="shared" si="6"/>
        <v>0</v>
      </c>
      <c r="G118" s="31">
        <f t="shared" si="7"/>
        <v>-1.4775400000000006E-2</v>
      </c>
      <c r="H118" s="31"/>
      <c r="I118" s="31">
        <f t="shared" si="8"/>
        <v>-1.280422247446774E-2</v>
      </c>
      <c r="J118" s="32">
        <f t="shared" si="9"/>
        <v>-4.9934570136758984E-2</v>
      </c>
    </row>
    <row r="119" spans="1:10" x14ac:dyDescent="0.25">
      <c r="A119" s="31" t="s">
        <v>124</v>
      </c>
      <c r="B119" s="5" t="str">
        <f>VLOOKUP(A119,[1]bigg_models_metabolites!A:C,3,FALSE)</f>
        <v>Hexadecenoic acid</v>
      </c>
      <c r="C119" s="31">
        <v>254.41</v>
      </c>
      <c r="D119" s="31">
        <v>-8.1160331747965903E-3</v>
      </c>
      <c r="E119" s="31"/>
      <c r="F119" s="31">
        <f t="shared" si="6"/>
        <v>0</v>
      </c>
      <c r="G119" s="31">
        <f t="shared" si="7"/>
        <v>-2.0648000000000003E-3</v>
      </c>
      <c r="H119" s="31"/>
      <c r="I119" s="31">
        <f t="shared" si="8"/>
        <v>-1.7893362322022404E-3</v>
      </c>
      <c r="J119" s="32">
        <f t="shared" si="9"/>
        <v>-7.0332779065376376E-3</v>
      </c>
    </row>
    <row r="120" spans="1:10" ht="26.25" x14ac:dyDescent="0.25">
      <c r="A120" s="31" t="s">
        <v>125</v>
      </c>
      <c r="B120" s="5" t="str">
        <f>VLOOKUP(A120,[1]bigg_models_metabolites!A:C,3,FALSE)</f>
        <v>Heptadecanoate  C170  C17H33O2</v>
      </c>
      <c r="C120" s="31">
        <v>270.5</v>
      </c>
      <c r="D120" s="31">
        <v>-3.3715341959334599E-4</v>
      </c>
      <c r="E120" s="31"/>
      <c r="F120" s="31">
        <f t="shared" si="6"/>
        <v>0</v>
      </c>
      <c r="G120" s="31">
        <f t="shared" si="7"/>
        <v>-9.1200000000000089E-5</v>
      </c>
      <c r="H120" s="31"/>
      <c r="I120" s="31">
        <f t="shared" si="8"/>
        <v>-7.9033061011644928E-5</v>
      </c>
      <c r="J120" s="32">
        <f t="shared" si="9"/>
        <v>-2.921739778619036E-4</v>
      </c>
    </row>
    <row r="121" spans="1:10" x14ac:dyDescent="0.25">
      <c r="A121" s="31" t="s">
        <v>126</v>
      </c>
      <c r="B121" s="5" t="str">
        <f>VLOOKUP(A121,[1]bigg_models_metabolites!A:C,3,FALSE)</f>
        <v>Octadecanoic acid</v>
      </c>
      <c r="C121" s="31">
        <v>284.5</v>
      </c>
      <c r="D121" s="31">
        <v>-8.2783831282952601E-3</v>
      </c>
      <c r="E121" s="31"/>
      <c r="F121" s="31">
        <f t="shared" si="6"/>
        <v>0</v>
      </c>
      <c r="G121" s="31">
        <f t="shared" si="7"/>
        <v>-2.3552000000000013E-3</v>
      </c>
      <c r="H121" s="31"/>
      <c r="I121" s="31">
        <f t="shared" si="8"/>
        <v>-2.0409941370024788E-3</v>
      </c>
      <c r="J121" s="32">
        <f t="shared" si="9"/>
        <v>-7.1739688471088884E-3</v>
      </c>
    </row>
    <row r="122" spans="1:10" x14ac:dyDescent="0.25">
      <c r="A122" s="31" t="s">
        <v>127</v>
      </c>
      <c r="B122" s="5" t="str">
        <f>VLOOKUP(A122,[1]bigg_models_metabolites!A:C,3,FALSE)</f>
        <v>Octadecenoic acid</v>
      </c>
      <c r="C122" s="31">
        <v>282.5</v>
      </c>
      <c r="D122" s="31">
        <v>-0.15229653153931999</v>
      </c>
      <c r="E122" s="31"/>
      <c r="F122" s="31">
        <f t="shared" si="6"/>
        <v>0</v>
      </c>
      <c r="G122" s="31">
        <f t="shared" si="7"/>
        <v>-4.3023770159857894E-2</v>
      </c>
      <c r="H122" s="31"/>
      <c r="I122" s="31">
        <f t="shared" si="8"/>
        <v>-3.7283993991173617E-2</v>
      </c>
      <c r="J122" s="32">
        <f t="shared" si="9"/>
        <v>-0.13197873979176503</v>
      </c>
    </row>
    <row r="123" spans="1:10" ht="26.25" x14ac:dyDescent="0.25">
      <c r="A123" s="31" t="s">
        <v>128</v>
      </c>
      <c r="B123" s="5" t="str">
        <f>VLOOKUP(A123,[1]bigg_models_metabolites!A:C,3,FALSE)</f>
        <v>Linoleic acid (all cis C18:2) n-6</v>
      </c>
      <c r="C123" s="31">
        <v>280.39999999999998</v>
      </c>
      <c r="D123" s="31">
        <v>-6.8116975748930102E-3</v>
      </c>
      <c r="E123" s="31"/>
      <c r="F123" s="31">
        <f t="shared" si="6"/>
        <v>0</v>
      </c>
      <c r="G123" s="31">
        <f t="shared" si="7"/>
        <v>-1.91E-3</v>
      </c>
      <c r="H123" s="31"/>
      <c r="I123" s="31">
        <f t="shared" si="8"/>
        <v>-1.6551880102219482E-3</v>
      </c>
      <c r="J123" s="32">
        <f t="shared" si="9"/>
        <v>-5.9029529608486033E-3</v>
      </c>
    </row>
    <row r="124" spans="1:10" x14ac:dyDescent="0.25">
      <c r="A124" s="31" t="s">
        <v>129</v>
      </c>
      <c r="B124" s="5" t="str">
        <f>VLOOKUP(A124,[1]bigg_models_metabolites!A:C,3,FALSE)</f>
        <v>Gamma-linolenic acid</v>
      </c>
      <c r="C124" s="31">
        <v>278.39999999999998</v>
      </c>
      <c r="D124" s="31">
        <v>-4.2025862068965501E-4</v>
      </c>
      <c r="E124" s="31"/>
      <c r="F124" s="31">
        <f t="shared" si="6"/>
        <v>0</v>
      </c>
      <c r="G124" s="31">
        <f t="shared" si="7"/>
        <v>-1.1699999999999996E-4</v>
      </c>
      <c r="H124" s="31"/>
      <c r="I124" s="31">
        <f t="shared" si="8"/>
        <v>-1.0139109800836014E-4</v>
      </c>
      <c r="J124" s="32">
        <f t="shared" si="9"/>
        <v>-3.6419216238635111E-4</v>
      </c>
    </row>
    <row r="125" spans="1:10" x14ac:dyDescent="0.25">
      <c r="A125" s="31" t="s">
        <v>130</v>
      </c>
      <c r="B125" s="5" t="str">
        <f>VLOOKUP(A125,[1]bigg_models_metabolites!A:C,3,FALSE)</f>
        <v>Arachidic acid</v>
      </c>
      <c r="C125" s="31">
        <v>312.5</v>
      </c>
      <c r="D125" s="31">
        <v>-8.4480000000000004E-5</v>
      </c>
      <c r="E125" s="31"/>
      <c r="F125" s="31">
        <f t="shared" si="6"/>
        <v>0</v>
      </c>
      <c r="G125" s="31">
        <f t="shared" si="7"/>
        <v>-2.6400000000000001E-5</v>
      </c>
      <c r="H125" s="31"/>
      <c r="I125" s="31">
        <f t="shared" si="8"/>
        <v>-2.2877991345476142E-5</v>
      </c>
      <c r="J125" s="32">
        <f t="shared" si="9"/>
        <v>-7.3209572305523661E-5</v>
      </c>
    </row>
    <row r="126" spans="1:10" ht="26.25" x14ac:dyDescent="0.25">
      <c r="A126" s="31" t="s">
        <v>131</v>
      </c>
      <c r="B126" s="5" t="str">
        <f>VLOOKUP(A126,[1]bigg_models_metabolites!A:C,3,FALSE)</f>
        <v>Timnodonic acid C20:5, n-3</v>
      </c>
      <c r="C126" s="31">
        <v>302.5</v>
      </c>
      <c r="D126" s="31">
        <v>-4.3636363636363602E-5</v>
      </c>
      <c r="E126" s="31"/>
      <c r="F126" s="31">
        <f t="shared" si="6"/>
        <v>0</v>
      </c>
      <c r="G126" s="31">
        <f t="shared" si="7"/>
        <v>-1.3199999999999989E-5</v>
      </c>
      <c r="H126" s="31"/>
      <c r="I126" s="31">
        <f t="shared" si="8"/>
        <v>-1.1438995672738061E-5</v>
      </c>
      <c r="J126" s="32">
        <f t="shared" si="9"/>
        <v>-3.7814861728059712E-5</v>
      </c>
    </row>
    <row r="127" spans="1:10" ht="26.25" x14ac:dyDescent="0.25">
      <c r="A127" s="33" t="s">
        <v>132</v>
      </c>
      <c r="B127" s="5" t="str">
        <f>VLOOKUP(A127,[1]bigg_models_metabolites!A:C,3,FALSE)</f>
        <v>13Z)-13-docosenoic acid</v>
      </c>
      <c r="C127" s="31">
        <v>338.6</v>
      </c>
      <c r="D127" s="31">
        <v>-7.7377436503248695E-5</v>
      </c>
      <c r="E127" s="31"/>
      <c r="F127" s="31">
        <f t="shared" si="6"/>
        <v>0</v>
      </c>
      <c r="G127" s="31">
        <f t="shared" si="7"/>
        <v>-2.620000000000001E-5</v>
      </c>
      <c r="H127" s="31"/>
      <c r="I127" s="31">
        <f t="shared" si="8"/>
        <v>-2.2704673229222544E-5</v>
      </c>
      <c r="J127" s="32">
        <f t="shared" si="9"/>
        <v>-6.7054557676380822E-5</v>
      </c>
    </row>
    <row r="128" spans="1:10" ht="26.25" x14ac:dyDescent="0.25">
      <c r="A128" s="34" t="s">
        <v>133</v>
      </c>
      <c r="B128" s="5" t="str">
        <f>VLOOKUP(A128,[1]bigg_models_metabolites!A:C,3,FALSE)</f>
        <v>Tetracosanoate  n C240  C24H47O2</v>
      </c>
      <c r="C128" s="31">
        <v>368.6</v>
      </c>
      <c r="D128" s="31">
        <v>-3.4725990233315197E-5</v>
      </c>
      <c r="E128" s="31"/>
      <c r="F128" s="31">
        <f t="shared" si="6"/>
        <v>0</v>
      </c>
      <c r="G128" s="31">
        <f t="shared" si="7"/>
        <v>-1.2799999999999981E-5</v>
      </c>
      <c r="H128" s="31"/>
      <c r="I128" s="31">
        <f t="shared" si="8"/>
        <v>-1.1092359440230839E-5</v>
      </c>
      <c r="J128" s="32">
        <f t="shared" si="9"/>
        <v>-3.0093216061396738E-5</v>
      </c>
    </row>
    <row r="129" spans="1:10" ht="26.25" x14ac:dyDescent="0.25">
      <c r="A129" s="34" t="s">
        <v>128</v>
      </c>
      <c r="B129" s="5" t="str">
        <f>VLOOKUP(A129,[1]bigg_models_metabolites!A:C,3,FALSE)</f>
        <v>Linoleic acid (all cis C18:2) n-6</v>
      </c>
      <c r="C129" s="31">
        <v>280.39999999999998</v>
      </c>
      <c r="D129" s="31">
        <v>-2.2239657631954301E-4</v>
      </c>
      <c r="E129" s="31"/>
      <c r="F129" s="31">
        <f t="shared" si="6"/>
        <v>0</v>
      </c>
      <c r="G129" s="31">
        <f t="shared" si="7"/>
        <v>-6.2359999999999857E-5</v>
      </c>
      <c r="H129" s="31"/>
      <c r="I129" s="31">
        <f t="shared" si="8"/>
        <v>-5.4040588647874582E-5</v>
      </c>
      <c r="J129" s="32">
        <f t="shared" si="9"/>
        <v>-1.9272677834477386E-4</v>
      </c>
    </row>
    <row r="130" spans="1:10" x14ac:dyDescent="0.25">
      <c r="A130" s="34" t="s">
        <v>129</v>
      </c>
      <c r="B130" s="5" t="str">
        <f>VLOOKUP(A130,[1]bigg_models_metabolites!A:C,3,FALSE)</f>
        <v>Gamma-linolenic acid</v>
      </c>
      <c r="C130" s="31">
        <v>278.39999999999998</v>
      </c>
      <c r="D130" s="31">
        <v>-9.6752873563218402E-4</v>
      </c>
      <c r="E130" s="31"/>
      <c r="F130" s="31">
        <f t="shared" si="6"/>
        <v>0</v>
      </c>
      <c r="G130" s="31">
        <f t="shared" si="7"/>
        <v>-2.6936000000000001E-4</v>
      </c>
      <c r="H130" s="31"/>
      <c r="I130" s="31">
        <f t="shared" si="8"/>
        <v>-2.3342483897035809E-4</v>
      </c>
      <c r="J130" s="32">
        <f t="shared" si="9"/>
        <v>-8.3845128940502191E-4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Ammar,Aziz</dc:creator>
  <cp:lastModifiedBy>Ben Ammar,Aziz</cp:lastModifiedBy>
  <dcterms:created xsi:type="dcterms:W3CDTF">2015-06-05T18:17:20Z</dcterms:created>
  <dcterms:modified xsi:type="dcterms:W3CDTF">2024-05-14T09:04:44Z</dcterms:modified>
</cp:coreProperties>
</file>