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am-1y9pxi6q95ggpmx\Documents\PhD\SoF1-GEM\Data\"/>
    </mc:Choice>
  </mc:AlternateContent>
  <xr:revisionPtr revIDLastSave="0" documentId="13_ncr:1_{1616D8A2-8BC5-4DD4-B23F-A041B8D41B3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2" i="1" l="1"/>
  <c r="T2" i="1"/>
  <c r="S2" i="1"/>
  <c r="R2" i="1"/>
  <c r="Q2" i="1"/>
  <c r="P2" i="1"/>
  <c r="O2" i="1"/>
</calcChain>
</file>

<file path=xl/sharedStrings.xml><?xml version="1.0" encoding="utf-8"?>
<sst xmlns="http://schemas.openxmlformats.org/spreadsheetml/2006/main" count="45" uniqueCount="45">
  <si>
    <t>Group name </t>
  </si>
  <si>
    <t>Sample name </t>
  </si>
  <si>
    <t>massFlowIn_H2</t>
  </si>
  <si>
    <t>massFlowIn_O2</t>
  </si>
  <si>
    <t>massFlowIn_CO2</t>
  </si>
  <si>
    <t>od</t>
  </si>
  <si>
    <t>pH</t>
  </si>
  <si>
    <t>DO</t>
  </si>
  <si>
    <t>dilRate</t>
  </si>
  <si>
    <t>sampleOD</t>
  </si>
  <si>
    <t>sampleDS</t>
  </si>
  <si>
    <t>H2consumption</t>
  </si>
  <si>
    <t>O2consumption</t>
  </si>
  <si>
    <t>CO2consumption</t>
  </si>
  <si>
    <t>H2/CO2</t>
  </si>
  <si>
    <t>O2/CO2</t>
  </si>
  <si>
    <t>H2/O2</t>
  </si>
  <si>
    <t>Rx</t>
  </si>
  <si>
    <t>H2 Flux theoretic</t>
  </si>
  <si>
    <t>O2 flux theoretic</t>
  </si>
  <si>
    <t>CO2 flux theoretic</t>
  </si>
  <si>
    <t>SF72-107 </t>
  </si>
  <si>
    <t>SF72-108 </t>
  </si>
  <si>
    <t>SF72-120 </t>
  </si>
  <si>
    <t>SF72-121 </t>
  </si>
  <si>
    <t>SF72-122 </t>
  </si>
  <si>
    <t>SF72-134 </t>
  </si>
  <si>
    <t>SF72-135 </t>
  </si>
  <si>
    <t>SF72-136 </t>
  </si>
  <si>
    <t>SF72-150 </t>
  </si>
  <si>
    <t>SF72-153 </t>
  </si>
  <si>
    <t>SF72-155 </t>
  </si>
  <si>
    <t>SF72-169 </t>
  </si>
  <si>
    <t>SF72-170 </t>
  </si>
  <si>
    <t>SF72-171 </t>
  </si>
  <si>
    <t>SF72-178 </t>
  </si>
  <si>
    <t>SF72-182 </t>
  </si>
  <si>
    <t>SF72-99 </t>
  </si>
  <si>
    <t>D1</t>
  </si>
  <si>
    <t>D2</t>
  </si>
  <si>
    <t>D3</t>
  </si>
  <si>
    <t>D4</t>
  </si>
  <si>
    <t>D5</t>
  </si>
  <si>
    <t>D6</t>
  </si>
  <si>
    <t>exp_growth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</si>
</sst>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justify" vertical="center" wrapText="1"/>
    </xf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"/>
  <sheetViews>
    <sheetView tabSelected="1" topLeftCell="L1" workbookViewId="0">
      <selection activeCell="V1" sqref="V1"/>
    </sheetView>
  </sheetViews>
  <sheetFormatPr defaultRowHeight="15" x14ac:dyDescent="0.25"/>
  <cols>
    <col min="2" max="2" width="18.5703125" customWidth="1"/>
    <col min="3" max="3" width="20.140625" customWidth="1"/>
    <col min="4" max="4" width="19.85546875" customWidth="1"/>
    <col min="5" max="5" width="17.85546875" customWidth="1"/>
    <col min="6" max="6" width="14.42578125" customWidth="1"/>
    <col min="7" max="7" width="12.5703125" customWidth="1"/>
    <col min="9" max="9" width="11.85546875" customWidth="1"/>
    <col min="10" max="10" width="11" customWidth="1"/>
    <col min="11" max="11" width="21.140625" customWidth="1"/>
    <col min="12" max="12" width="24.5703125" customWidth="1"/>
    <col min="13" max="13" width="14.7109375" customWidth="1"/>
    <col min="14" max="14" width="18.5703125" customWidth="1"/>
    <col min="15" max="15" width="15.28515625" customWidth="1"/>
    <col min="16" max="16" width="12.28515625" customWidth="1"/>
    <col min="17" max="17" width="12.5703125" customWidth="1"/>
    <col min="18" max="18" width="9.5703125" customWidth="1"/>
    <col min="19" max="19" width="20.28515625" customWidth="1"/>
    <col min="20" max="20" width="15.42578125" customWidth="1"/>
    <col min="21" max="21" width="18.42578125" customWidth="1"/>
    <col min="22" max="22" width="11.855468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44</v>
      </c>
    </row>
    <row r="2" spans="1:22" x14ac:dyDescent="0.25">
      <c r="A2" s="6" t="s">
        <v>38</v>
      </c>
      <c r="B2" s="2" t="s">
        <v>37</v>
      </c>
      <c r="C2" s="4">
        <v>2.1801089049180327</v>
      </c>
      <c r="D2" s="4">
        <v>0.6600392175409836</v>
      </c>
      <c r="E2" s="4">
        <v>0.45001015459016391</v>
      </c>
      <c r="F2" s="4">
        <v>2.4784993426229507</v>
      </c>
      <c r="G2" s="4">
        <v>6.6334637672131151</v>
      </c>
      <c r="H2" s="4">
        <v>-1.1680998327868852</v>
      </c>
      <c r="I2" s="4">
        <v>4.6333164894716068E-2</v>
      </c>
      <c r="J2" s="3">
        <v>35.950000000000003</v>
      </c>
      <c r="K2" s="4">
        <v>2.4239999999999999</v>
      </c>
      <c r="L2" s="4">
        <v>1.5817808997462328</v>
      </c>
      <c r="M2" s="4">
        <v>0.56122305482052837</v>
      </c>
      <c r="N2" s="4">
        <v>0.20469296444963225</v>
      </c>
      <c r="O2" s="4">
        <f>L2/N2</f>
        <v>7.727578248716279</v>
      </c>
      <c r="P2" s="4">
        <f>M2/N2</f>
        <v>2.7417798961948479</v>
      </c>
      <c r="Q2" s="4">
        <f>L2/M2</f>
        <v>2.8184531732255107</v>
      </c>
      <c r="R2" s="4">
        <f>10*K2*I2</f>
        <v>1.1231159170479175</v>
      </c>
      <c r="S2" s="4">
        <f>(((L2/22.4)*60)*1000)/($K2*10*9)</f>
        <v>19.421127265861145</v>
      </c>
      <c r="T2" s="4">
        <f t="shared" ref="T2:U2" si="0">(((M2/22.4)*60)*1000)/($K2*10*9)</f>
        <v>6.8907042523736894</v>
      </c>
      <c r="U2" s="4">
        <f t="shared" si="0"/>
        <v>2.5132229840684461</v>
      </c>
      <c r="V2" s="4">
        <v>4.6333164894716068E-2</v>
      </c>
    </row>
    <row r="3" spans="1:22" x14ac:dyDescent="0.25">
      <c r="A3" s="5"/>
      <c r="B3" t="s">
        <v>21</v>
      </c>
      <c r="C3" s="4">
        <v>2.180122324590164</v>
      </c>
      <c r="D3" s="4">
        <v>0.66002918606557381</v>
      </c>
      <c r="E3" s="4">
        <v>0.45001347786885249</v>
      </c>
      <c r="F3" s="4">
        <v>2.475027367213114</v>
      </c>
      <c r="G3" s="4">
        <v>6.6744942163934438</v>
      </c>
      <c r="H3" s="4">
        <v>-1.190239145901639</v>
      </c>
      <c r="I3" s="4">
        <v>4.603843657912355E-2</v>
      </c>
      <c r="J3" s="3">
        <v>36.200000000000003</v>
      </c>
      <c r="K3" s="4">
        <v>2.4350000000000001</v>
      </c>
      <c r="L3" s="4">
        <v>1.566231610892004</v>
      </c>
      <c r="M3" s="4">
        <v>0.55732854009761512</v>
      </c>
      <c r="N3" s="4">
        <v>0.2012648140923482</v>
      </c>
      <c r="O3" s="4">
        <v>7.7819444891810798</v>
      </c>
      <c r="P3" s="4">
        <v>2.769130523936941</v>
      </c>
      <c r="Q3" s="4">
        <v>2.810248351210725</v>
      </c>
      <c r="R3" s="4">
        <v>1.121035930701658</v>
      </c>
      <c r="S3" s="4">
        <v>19.143341288892191</v>
      </c>
      <c r="T3" s="4">
        <v>6.8119749205242881</v>
      </c>
      <c r="U3" s="4">
        <v>2.4599688825211228</v>
      </c>
      <c r="V3" s="4">
        <v>4.603843657912355E-2</v>
      </c>
    </row>
    <row r="4" spans="1:22" x14ac:dyDescent="0.25">
      <c r="A4" s="5"/>
      <c r="B4" t="s">
        <v>22</v>
      </c>
      <c r="C4" s="4">
        <v>2.1801200409836068</v>
      </c>
      <c r="D4" s="4">
        <v>0.66003826852459013</v>
      </c>
      <c r="E4" s="4">
        <v>0.45001415901639341</v>
      </c>
      <c r="F4" s="4">
        <v>2.472120231147541</v>
      </c>
      <c r="G4" s="4">
        <v>6.6639035459016398</v>
      </c>
      <c r="H4" s="4">
        <v>-1.1849810868852459</v>
      </c>
      <c r="I4" s="4">
        <v>4.6109320258048342E-2</v>
      </c>
      <c r="J4" s="3">
        <v>36.549999999999997</v>
      </c>
      <c r="K4" s="4">
        <v>2.351</v>
      </c>
      <c r="L4" s="4">
        <v>1.572280191657689</v>
      </c>
      <c r="M4" s="4">
        <v>0.55892948984072488</v>
      </c>
      <c r="N4" s="4">
        <v>0.20186271981306131</v>
      </c>
      <c r="O4" s="4">
        <v>7.7888586516308136</v>
      </c>
      <c r="P4" s="4">
        <v>2.7688594028572089</v>
      </c>
      <c r="Q4" s="4">
        <v>2.813020640771223</v>
      </c>
      <c r="R4" s="4">
        <v>1.0840301192667161</v>
      </c>
      <c r="S4" s="4">
        <v>19.9038933743707</v>
      </c>
      <c r="T4" s="4">
        <v>7.0756300490258068</v>
      </c>
      <c r="U4" s="4">
        <v>2.5554313237156081</v>
      </c>
      <c r="V4" s="4">
        <v>4.6109320258048342E-2</v>
      </c>
    </row>
    <row r="5" spans="1:22" x14ac:dyDescent="0.25">
      <c r="A5" s="5" t="s">
        <v>39</v>
      </c>
      <c r="B5" t="s">
        <v>23</v>
      </c>
      <c r="C5" s="4">
        <v>2.0801136426229512</v>
      </c>
      <c r="D5" s="4">
        <v>0.63003464475409821</v>
      </c>
      <c r="E5" s="4">
        <v>0.42001219557377051</v>
      </c>
      <c r="F5" s="4">
        <v>2.519905026229508</v>
      </c>
      <c r="G5" s="4">
        <v>6.6887688786885233</v>
      </c>
      <c r="H5" s="4">
        <v>-1.184877350919469</v>
      </c>
      <c r="I5" s="4">
        <v>3.3814142804236128E-2</v>
      </c>
      <c r="J5" s="3">
        <v>36.049999999999997</v>
      </c>
      <c r="K5" s="4">
        <v>2.4950000000000001</v>
      </c>
      <c r="L5" s="4">
        <v>1.45764486372765</v>
      </c>
      <c r="M5" s="4">
        <v>0.5297392380341911</v>
      </c>
      <c r="N5" s="4">
        <v>0.1725093339758639</v>
      </c>
      <c r="O5" s="4">
        <v>8.4496579410108446</v>
      </c>
      <c r="P5" s="4">
        <v>3.0707859443032111</v>
      </c>
      <c r="Q5" s="4">
        <v>2.751627138546171</v>
      </c>
      <c r="R5" s="4">
        <v>0.8436628629656916</v>
      </c>
      <c r="S5" s="4">
        <v>17.387690425227241</v>
      </c>
      <c r="T5" s="4">
        <v>6.3190576156383136</v>
      </c>
      <c r="U5" s="4">
        <v>2.057798143618951</v>
      </c>
      <c r="V5" s="4">
        <v>3.3814142804236128E-2</v>
      </c>
    </row>
    <row r="6" spans="1:22" x14ac:dyDescent="0.25">
      <c r="A6" s="5"/>
      <c r="B6" t="s">
        <v>24</v>
      </c>
      <c r="C6" s="4">
        <v>2.0801316704918031</v>
      </c>
      <c r="D6" s="4">
        <v>0.63004072786885246</v>
      </c>
      <c r="E6" s="4">
        <v>0.42001669475409842</v>
      </c>
      <c r="F6" s="4">
        <v>2.5189334721311472</v>
      </c>
      <c r="G6" s="4">
        <v>6.6880979967213134</v>
      </c>
      <c r="H6" s="4">
        <v>-1.183719309836065</v>
      </c>
      <c r="I6" s="4">
        <v>3.5983292116139792E-2</v>
      </c>
      <c r="J6" s="3">
        <v>38.25</v>
      </c>
      <c r="K6" s="4">
        <v>2.484</v>
      </c>
      <c r="L6" s="4">
        <v>1.4584453823077741</v>
      </c>
      <c r="M6" s="4">
        <v>0.52986541486915351</v>
      </c>
      <c r="N6" s="4">
        <v>0.17261355528208849</v>
      </c>
      <c r="O6" s="4">
        <v>8.4491938070816861</v>
      </c>
      <c r="P6" s="4">
        <v>3.0696628315385599</v>
      </c>
      <c r="Q6" s="4">
        <v>2.7524826897183452</v>
      </c>
      <c r="R6" s="4">
        <v>0.89382497616491241</v>
      </c>
      <c r="S6" s="4">
        <v>17.474280422175429</v>
      </c>
      <c r="T6" s="4">
        <v>6.348552340564777</v>
      </c>
      <c r="U6" s="4">
        <v>2.0681594979546301</v>
      </c>
      <c r="V6" s="4">
        <v>3.5983292116139792E-2</v>
      </c>
    </row>
    <row r="7" spans="1:22" x14ac:dyDescent="0.25">
      <c r="A7" s="5"/>
      <c r="B7" t="s">
        <v>25</v>
      </c>
      <c r="C7" s="4">
        <v>2.0801119655737712</v>
      </c>
      <c r="D7" s="4">
        <v>0.63003444442622958</v>
      </c>
      <c r="E7" s="4">
        <v>0.42000846344262288</v>
      </c>
      <c r="F7" s="4">
        <v>2.520690042622951</v>
      </c>
      <c r="G7" s="4">
        <v>6.6950792344262302</v>
      </c>
      <c r="H7" s="4">
        <v>-1.1835722344262301</v>
      </c>
      <c r="I7" s="4">
        <v>3.5983292116139792E-2</v>
      </c>
      <c r="J7" s="3">
        <v>38.450000000000003</v>
      </c>
      <c r="K7" s="4">
        <v>2.5150000000000001</v>
      </c>
      <c r="L7" s="4">
        <v>1.4601839818174891</v>
      </c>
      <c r="M7" s="4">
        <v>0.53052543992976164</v>
      </c>
      <c r="N7" s="4">
        <v>0.17318473940029</v>
      </c>
      <c r="O7" s="4">
        <v>8.4313663367445884</v>
      </c>
      <c r="P7" s="4">
        <v>3.0633498180433398</v>
      </c>
      <c r="Q7" s="4">
        <v>2.7523354620106599</v>
      </c>
      <c r="R7" s="4">
        <v>0.90497979672091589</v>
      </c>
      <c r="S7" s="4">
        <v>17.27946584561073</v>
      </c>
      <c r="T7" s="4">
        <v>6.2781103844760198</v>
      </c>
      <c r="U7" s="4">
        <v>2.0494265289251401</v>
      </c>
      <c r="V7" s="4">
        <v>3.5983292116139792E-2</v>
      </c>
    </row>
    <row r="8" spans="1:22" x14ac:dyDescent="0.25">
      <c r="A8" s="5" t="s">
        <v>40</v>
      </c>
      <c r="B8" t="s">
        <v>26</v>
      </c>
      <c r="C8" s="4">
        <v>1.990138191803279</v>
      </c>
      <c r="D8" s="4">
        <v>0.61003894491803279</v>
      </c>
      <c r="E8" s="4">
        <v>0.3900131404918033</v>
      </c>
      <c r="F8" s="4">
        <v>2.5600896606557382</v>
      </c>
      <c r="G8" s="4">
        <v>6.7271579737704919</v>
      </c>
      <c r="H8" s="4">
        <v>-1.188800791803279</v>
      </c>
      <c r="I8" s="4">
        <v>2.6490651372405961E-2</v>
      </c>
      <c r="J8" s="3">
        <v>38.75</v>
      </c>
      <c r="K8" s="4">
        <v>2.625</v>
      </c>
      <c r="L8" s="4">
        <v>1.361099002521192</v>
      </c>
      <c r="M8" s="4">
        <v>0.51380166196142496</v>
      </c>
      <c r="N8" s="4">
        <v>0.14054056928787501</v>
      </c>
      <c r="O8" s="4">
        <v>9.6847409215569389</v>
      </c>
      <c r="P8" s="4">
        <v>3.6558956930719688</v>
      </c>
      <c r="Q8" s="4">
        <v>2.6490747369816412</v>
      </c>
      <c r="R8" s="4">
        <v>0.69537959852565634</v>
      </c>
      <c r="S8" s="4">
        <v>15.431961479832109</v>
      </c>
      <c r="T8" s="4">
        <v>5.8254156684968814</v>
      </c>
      <c r="U8" s="4">
        <v>1.5934304907922341</v>
      </c>
      <c r="V8" s="4">
        <v>2.6490651372405961E-2</v>
      </c>
    </row>
    <row r="9" spans="1:22" x14ac:dyDescent="0.25">
      <c r="A9" s="5"/>
      <c r="B9" t="s">
        <v>27</v>
      </c>
      <c r="C9" s="4">
        <v>1.9901266540983611</v>
      </c>
      <c r="D9" s="4">
        <v>0.61004215475409829</v>
      </c>
      <c r="E9" s="4">
        <v>0.39001204278688528</v>
      </c>
      <c r="F9" s="4">
        <v>2.5560926180327872</v>
      </c>
      <c r="G9" s="4">
        <v>6.7225845639344266</v>
      </c>
      <c r="H9" s="4">
        <v>-1.1801469885245901</v>
      </c>
      <c r="I9" s="4">
        <v>2.6290537041244181E-2</v>
      </c>
      <c r="J9" s="3">
        <v>37.6</v>
      </c>
      <c r="K9" s="4">
        <v>2.601</v>
      </c>
      <c r="L9" s="4">
        <v>1.3620725760878301</v>
      </c>
      <c r="M9" s="4">
        <v>0.51443191558488599</v>
      </c>
      <c r="N9" s="4">
        <v>0.1405570302944972</v>
      </c>
      <c r="O9" s="4">
        <v>9.6905332535412505</v>
      </c>
      <c r="P9" s="4">
        <v>3.6599515122583379</v>
      </c>
      <c r="Q9" s="4">
        <v>2.647721758357886</v>
      </c>
      <c r="R9" s="4">
        <v>0.68381686844276124</v>
      </c>
      <c r="S9" s="4">
        <v>15.58549568947646</v>
      </c>
      <c r="T9" s="4">
        <v>5.8863797301505603</v>
      </c>
      <c r="U9" s="4">
        <v>1.6083217797927669</v>
      </c>
      <c r="V9" s="4">
        <v>2.6290537041244181E-2</v>
      </c>
    </row>
    <row r="10" spans="1:22" x14ac:dyDescent="0.25">
      <c r="A10" s="5"/>
      <c r="B10" t="s">
        <v>28</v>
      </c>
      <c r="C10" s="4">
        <v>1.990107537704918</v>
      </c>
      <c r="D10" s="4">
        <v>0.61003788229508193</v>
      </c>
      <c r="E10" s="4">
        <v>0.39000839901639339</v>
      </c>
      <c r="F10" s="4">
        <v>2.5537734163934429</v>
      </c>
      <c r="G10" s="4">
        <v>6.7209162885245908</v>
      </c>
      <c r="H10" s="4">
        <v>-1.179112633305103</v>
      </c>
      <c r="I10" s="4">
        <v>2.6290537041244181E-2</v>
      </c>
      <c r="J10" s="3">
        <v>28.55</v>
      </c>
      <c r="K10" s="4">
        <v>2.5659999999999998</v>
      </c>
      <c r="L10" s="4">
        <v>1.368028032921081</v>
      </c>
      <c r="M10" s="4">
        <v>0.51569162320632234</v>
      </c>
      <c r="N10" s="4">
        <v>0.1422005682988256</v>
      </c>
      <c r="O10" s="4">
        <v>9.6204118540950976</v>
      </c>
      <c r="P10" s="4">
        <v>3.62650887669189</v>
      </c>
      <c r="Q10" s="4">
        <v>2.6528025109567248</v>
      </c>
      <c r="R10" s="4">
        <v>0.67461518047832569</v>
      </c>
      <c r="S10" s="4">
        <v>15.86715511590536</v>
      </c>
      <c r="T10" s="4">
        <v>5.9812801934445217</v>
      </c>
      <c r="U10" s="4">
        <v>1.649321812470141</v>
      </c>
      <c r="V10" s="4">
        <v>2.6290537041244181E-2</v>
      </c>
    </row>
    <row r="11" spans="1:22" x14ac:dyDescent="0.25">
      <c r="A11" s="5" t="s">
        <v>41</v>
      </c>
      <c r="B11" t="s">
        <v>29</v>
      </c>
      <c r="C11" s="4">
        <v>1.890098670491803</v>
      </c>
      <c r="D11" s="4">
        <v>0.61003338868852464</v>
      </c>
      <c r="E11" s="4">
        <v>0.38001120196721322</v>
      </c>
      <c r="F11" s="4">
        <v>2.5562727524590159</v>
      </c>
      <c r="G11" s="4">
        <v>6.7135465836065578</v>
      </c>
      <c r="H11" s="4">
        <v>-1.186993478688525</v>
      </c>
      <c r="I11" s="4">
        <v>2.0828216038825471E-2</v>
      </c>
      <c r="J11" s="3">
        <v>39.799999999999997</v>
      </c>
      <c r="K11" s="4">
        <v>2.5409999999999999</v>
      </c>
      <c r="L11" s="4">
        <v>1.3268432431836199</v>
      </c>
      <c r="M11" s="4">
        <v>0.52204836987118541</v>
      </c>
      <c r="N11" s="4">
        <v>0.1224904903878179</v>
      </c>
      <c r="O11" s="4">
        <v>10.832214312986199</v>
      </c>
      <c r="P11" s="4">
        <v>4.2619501988956454</v>
      </c>
      <c r="Q11" s="4">
        <v>2.5416097813139729</v>
      </c>
      <c r="R11" s="4">
        <v>0.52924496954655531</v>
      </c>
      <c r="S11" s="4">
        <v>15.54088242330096</v>
      </c>
      <c r="T11" s="4">
        <v>6.1145823948106459</v>
      </c>
      <c r="U11" s="4">
        <v>1.434691188178373</v>
      </c>
      <c r="V11" s="4">
        <v>2.0828216038825471E-2</v>
      </c>
    </row>
    <row r="12" spans="1:22" x14ac:dyDescent="0.25">
      <c r="A12" s="5"/>
      <c r="B12" t="s">
        <v>30</v>
      </c>
      <c r="C12" s="4">
        <v>1.890124742622951</v>
      </c>
      <c r="D12" s="4">
        <v>0.61003493459016389</v>
      </c>
      <c r="E12" s="4">
        <v>0.38001271344262288</v>
      </c>
      <c r="F12" s="4">
        <v>2.559371585245902</v>
      </c>
      <c r="G12" s="4">
        <v>6.7174750754098369</v>
      </c>
      <c r="H12" s="4">
        <v>-1.1943646901639351</v>
      </c>
      <c r="I12" s="4">
        <v>2.11696284081858E-2</v>
      </c>
      <c r="J12" s="3">
        <v>38.049999999999997</v>
      </c>
      <c r="K12" s="4">
        <v>2.5790000000000002</v>
      </c>
      <c r="L12" s="4">
        <v>1.299226705626698</v>
      </c>
      <c r="M12" s="4">
        <v>0.51082478518147612</v>
      </c>
      <c r="N12" s="4">
        <v>0.1192772198475632</v>
      </c>
      <c r="O12" s="4">
        <v>10.89249654952652</v>
      </c>
      <c r="P12" s="4">
        <v>4.2826684410846623</v>
      </c>
      <c r="Q12" s="4">
        <v>2.5433901081466388</v>
      </c>
      <c r="R12" s="4">
        <v>0.54596471664711188</v>
      </c>
      <c r="S12" s="4">
        <v>14.993199487004681</v>
      </c>
      <c r="T12" s="4">
        <v>5.8949665011987404</v>
      </c>
      <c r="U12" s="4">
        <v>1.3764704371337551</v>
      </c>
      <c r="V12" s="4">
        <v>2.11696284081858E-2</v>
      </c>
    </row>
    <row r="13" spans="1:22" x14ac:dyDescent="0.25">
      <c r="A13" s="5"/>
      <c r="B13" t="s">
        <v>31</v>
      </c>
      <c r="C13" s="4">
        <v>1.8901075491803281</v>
      </c>
      <c r="D13" s="4">
        <v>0.61003344508196711</v>
      </c>
      <c r="E13" s="4">
        <v>0.38000993147540979</v>
      </c>
      <c r="F13" s="4">
        <v>2.5684935508196718</v>
      </c>
      <c r="G13" s="4">
        <v>6.7190847016393436</v>
      </c>
      <c r="H13" s="4">
        <v>-1.190456050819672</v>
      </c>
      <c r="I13" s="4">
        <v>2.017461580733303E-2</v>
      </c>
      <c r="J13" s="3">
        <v>37.5</v>
      </c>
      <c r="K13" s="4">
        <v>2.524</v>
      </c>
      <c r="L13" s="4">
        <v>1.325263964684432</v>
      </c>
      <c r="M13" s="4">
        <v>0.51828772674073798</v>
      </c>
      <c r="N13" s="4">
        <v>0.1257632048043382</v>
      </c>
      <c r="O13" s="4">
        <v>10.537771892393099</v>
      </c>
      <c r="P13" s="4">
        <v>4.1211396254340666</v>
      </c>
      <c r="Q13" s="4">
        <v>2.5570043362176049</v>
      </c>
      <c r="R13" s="4">
        <v>0.50920730297708572</v>
      </c>
      <c r="S13" s="4">
        <v>15.62693339989001</v>
      </c>
      <c r="T13" s="4">
        <v>6.1114223306346913</v>
      </c>
      <c r="U13" s="4">
        <v>1.4829447400707749</v>
      </c>
      <c r="V13" s="4">
        <v>2.017461580733303E-2</v>
      </c>
    </row>
    <row r="14" spans="1:22" x14ac:dyDescent="0.25">
      <c r="A14" s="5" t="s">
        <v>42</v>
      </c>
      <c r="B14" t="s">
        <v>32</v>
      </c>
      <c r="C14" s="4">
        <v>1.9001156819672129</v>
      </c>
      <c r="D14" s="4">
        <v>0.69003328344262305</v>
      </c>
      <c r="E14" s="4">
        <v>0.38001020573770489</v>
      </c>
      <c r="F14" s="4">
        <v>2.5622861049180332</v>
      </c>
      <c r="G14" s="4">
        <v>6.7140897426229511</v>
      </c>
      <c r="H14" s="4">
        <v>-1.185257140983607</v>
      </c>
      <c r="I14" s="4">
        <v>2.1498892456792301E-2</v>
      </c>
      <c r="J14" s="3">
        <v>38.5</v>
      </c>
      <c r="K14" s="4">
        <v>2.2770000000000001</v>
      </c>
      <c r="L14" s="4">
        <v>1.4719044227810381</v>
      </c>
      <c r="M14" s="4">
        <v>0.60333507668608732</v>
      </c>
      <c r="N14" s="4">
        <v>0.12930603331976001</v>
      </c>
      <c r="O14" s="4">
        <v>11.3831070754539</v>
      </c>
      <c r="P14" s="4">
        <v>4.6659468332317031</v>
      </c>
      <c r="Q14" s="4">
        <v>2.4396135408962198</v>
      </c>
      <c r="R14" s="4">
        <v>0.48952978124116081</v>
      </c>
      <c r="S14" s="4">
        <v>19.238769982185179</v>
      </c>
      <c r="T14" s="4">
        <v>7.8859908176758156</v>
      </c>
      <c r="U14" s="4">
        <v>1.690115875626869</v>
      </c>
      <c r="V14" s="4">
        <v>2.1498892456792301E-2</v>
      </c>
    </row>
    <row r="15" spans="1:22" x14ac:dyDescent="0.25">
      <c r="A15" s="5"/>
      <c r="B15" t="s">
        <v>33</v>
      </c>
      <c r="C15" s="4">
        <v>1.900109978688524</v>
      </c>
      <c r="D15" s="4">
        <v>0.6900407167213114</v>
      </c>
      <c r="E15" s="4">
        <v>0.38001093508196709</v>
      </c>
      <c r="F15" s="4">
        <v>2.558167729508197</v>
      </c>
      <c r="G15" s="4">
        <v>6.7175564590163939</v>
      </c>
      <c r="H15" s="4">
        <v>-1.202454375409836</v>
      </c>
      <c r="I15" s="4">
        <v>2.1498892456792301E-2</v>
      </c>
      <c r="J15" s="3">
        <v>39.35</v>
      </c>
      <c r="K15" s="4">
        <v>2.4590000000000001</v>
      </c>
      <c r="L15" s="4">
        <v>1.4691818757412931</v>
      </c>
      <c r="M15" s="4">
        <v>0.60226559273961977</v>
      </c>
      <c r="N15" s="4">
        <v>0.12841531283056321</v>
      </c>
      <c r="O15" s="4">
        <v>11.44086202305013</v>
      </c>
      <c r="P15" s="4">
        <v>4.6899826778000806</v>
      </c>
      <c r="Q15" s="4">
        <v>2.439425219458736</v>
      </c>
      <c r="R15" s="4">
        <v>0.52865776551252264</v>
      </c>
      <c r="S15" s="4">
        <v>17.781883311805181</v>
      </c>
      <c r="T15" s="4">
        <v>7.2893742222402134</v>
      </c>
      <c r="U15" s="4">
        <v>1.554243314531691</v>
      </c>
      <c r="V15" s="4">
        <v>2.1498892456792301E-2</v>
      </c>
    </row>
    <row r="16" spans="1:22" x14ac:dyDescent="0.25">
      <c r="A16" s="5"/>
      <c r="B16" t="s">
        <v>34</v>
      </c>
      <c r="C16" s="4">
        <v>1.900124232786885</v>
      </c>
      <c r="D16" s="4">
        <v>0.69003823639344264</v>
      </c>
      <c r="E16" s="4">
        <v>0.38001557442622952</v>
      </c>
      <c r="F16" s="4">
        <v>2.5628481213114749</v>
      </c>
      <c r="G16" s="4">
        <v>6.710943296721311</v>
      </c>
      <c r="H16" s="4">
        <v>-1.1890244961849561</v>
      </c>
      <c r="I16" s="4">
        <v>2.1498892456792301E-2</v>
      </c>
      <c r="J16" s="3">
        <v>38.799999999999997</v>
      </c>
      <c r="K16" s="4">
        <v>2.2610000000000001</v>
      </c>
      <c r="L16" s="4">
        <v>1.480827951670002</v>
      </c>
      <c r="M16" s="4">
        <v>0.60576793680212904</v>
      </c>
      <c r="N16" s="4">
        <v>0.13277230054426259</v>
      </c>
      <c r="O16" s="4">
        <v>11.153139213523939</v>
      </c>
      <c r="P16" s="4">
        <v>4.5624571866191523</v>
      </c>
      <c r="Q16" s="4">
        <v>2.444546602263808</v>
      </c>
      <c r="R16" s="4">
        <v>0.4860899584480739</v>
      </c>
      <c r="S16" s="4">
        <v>19.492375261552009</v>
      </c>
      <c r="T16" s="4">
        <v>7.973820275506637</v>
      </c>
      <c r="U16" s="4">
        <v>1.747703035744069</v>
      </c>
      <c r="V16" s="4">
        <v>2.1498892456792301E-2</v>
      </c>
    </row>
    <row r="17" spans="1:22" x14ac:dyDescent="0.25">
      <c r="A17" s="5" t="s">
        <v>43</v>
      </c>
      <c r="B17" t="s">
        <v>35</v>
      </c>
      <c r="C17" s="4">
        <v>1.9001268442622949</v>
      </c>
      <c r="D17" s="4">
        <v>0.69004019295081975</v>
      </c>
      <c r="E17" s="4">
        <v>0.3800132386885246</v>
      </c>
      <c r="F17" s="4">
        <v>2.5831894393442618</v>
      </c>
      <c r="G17" s="4">
        <v>6.7066681540983604</v>
      </c>
      <c r="H17" s="4">
        <v>-1.1938797196721309</v>
      </c>
      <c r="I17" s="4">
        <v>1.8696884574294421E-2</v>
      </c>
      <c r="J17" s="3">
        <v>41</v>
      </c>
      <c r="K17" s="4">
        <v>2.4590000000000001</v>
      </c>
      <c r="L17" s="4">
        <v>1.4535752311151859</v>
      </c>
      <c r="M17" s="4">
        <v>0.60553099039599878</v>
      </c>
      <c r="N17" s="4">
        <v>0.11554638094783171</v>
      </c>
      <c r="O17" s="4">
        <v>12.580015221519259</v>
      </c>
      <c r="P17" s="4">
        <v>5.2405881121399327</v>
      </c>
      <c r="Q17" s="4">
        <v>2.4004968435465082</v>
      </c>
      <c r="R17" s="4">
        <v>0.4597563916818998</v>
      </c>
      <c r="S17" s="4">
        <v>17.592992107651021</v>
      </c>
      <c r="T17" s="4">
        <v>7.3288961637037753</v>
      </c>
      <c r="U17" s="4">
        <v>1.3984873466255121</v>
      </c>
      <c r="V17" s="4">
        <v>1.8696884574294421E-2</v>
      </c>
    </row>
    <row r="18" spans="1:22" x14ac:dyDescent="0.25">
      <c r="A18" s="5"/>
      <c r="B18" t="s">
        <v>36</v>
      </c>
      <c r="C18" s="4">
        <v>1.900136665573771</v>
      </c>
      <c r="D18" s="4">
        <v>0.69004693590163924</v>
      </c>
      <c r="E18" s="4">
        <v>0.38001050426229499</v>
      </c>
      <c r="F18" s="4">
        <v>2.5910127704918029</v>
      </c>
      <c r="G18" s="4">
        <v>6.7117777540983612</v>
      </c>
      <c r="H18" s="4">
        <v>-1.1627499098360661</v>
      </c>
      <c r="I18" s="4">
        <v>1.8367113320993809E-2</v>
      </c>
      <c r="J18" s="3">
        <v>39.950000000000003</v>
      </c>
      <c r="K18" s="4">
        <v>2.4550000000000001</v>
      </c>
      <c r="L18" s="4">
        <v>1.4706496552190249</v>
      </c>
      <c r="M18" s="4">
        <v>0.60697097901102515</v>
      </c>
      <c r="N18" s="4">
        <v>0.12633492511421199</v>
      </c>
      <c r="O18" s="4">
        <v>11.64087962128839</v>
      </c>
      <c r="P18" s="4">
        <v>4.8044590873212494</v>
      </c>
      <c r="Q18" s="4">
        <v>2.4229324071065879</v>
      </c>
      <c r="R18" s="4">
        <v>0.45091263203039789</v>
      </c>
      <c r="S18" s="4">
        <v>17.82864968503328</v>
      </c>
      <c r="T18" s="4">
        <v>7.3582942853630247</v>
      </c>
      <c r="U18" s="4">
        <v>1.531555197291872</v>
      </c>
      <c r="V18" s="4">
        <v>1.8367113320993809E-2</v>
      </c>
    </row>
  </sheetData>
  <mergeCells count="6">
    <mergeCell ref="A17:A18"/>
    <mergeCell ref="A2:A4"/>
    <mergeCell ref="A5:A7"/>
    <mergeCell ref="A8:A10"/>
    <mergeCell ref="A11:A13"/>
    <mergeCell ref="A14:A16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Aziz Ben Ammar</cp:lastModifiedBy>
  <dcterms:created xsi:type="dcterms:W3CDTF">2024-07-04T07:37:54Z</dcterms:created>
  <dcterms:modified xsi:type="dcterms:W3CDTF">2025-11-14T10:45:20Z</dcterms:modified>
</cp:coreProperties>
</file>